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HẬP ĐƠN" sheetId="1" r:id="rId5"/>
    <sheet state="visible" name="Trang tính8" sheetId="2" r:id="rId6"/>
    <sheet state="visible" name="HÀNG DƯ" sheetId="3" r:id="rId7"/>
    <sheet state="visible" name="LỊCH SỬ" sheetId="4" r:id="rId8"/>
    <sheet state="visible" name="KHO HÀNG" sheetId="5" r:id="rId9"/>
    <sheet state="visible" name="LỆNH GỬI HÀNG" sheetId="6" r:id="rId10"/>
    <sheet state="visible" name="CATALOG" sheetId="7" r:id="rId11"/>
    <sheet state="hidden" name="THỐNG KÊ" sheetId="8" r:id="rId12"/>
    <sheet state="visible" name="KHÁCH HÀNG" sheetId="9" r:id="rId13"/>
    <sheet state="visible" name="LỊCH SỬ EMS" sheetId="10" r:id="rId14"/>
    <sheet state="hidden" name="số lượng cần đặt" sheetId="11" r:id="rId15"/>
    <sheet state="hidden" name="DATA_ĐÃ_ĐẶT" sheetId="12" r:id="rId16"/>
  </sheets>
  <definedNames>
    <definedName hidden="1" localSheetId="0" name="_xlnm._FilterDatabase">'NHẬP ĐƠN'!$A$1:$A$3046</definedName>
    <definedName hidden="1" localSheetId="4" name="_xlnm._FilterDatabase">'KHO HÀNG'!$A$1:$F$843</definedName>
    <definedName hidden="1" localSheetId="5" name="_xlnm._FilterDatabase">'LỆNH GỬI HÀNG'!$A$1:$E$600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65">
      <text>
        <t xml:space="preserve">📮SENT 2026-03-31 💰CK 2026-05-06</t>
      </text>
    </comment>
    <comment authorId="0" ref="I1190">
      <text>
        <t xml:space="preserve">📦 BOSS 📮SENT 2026-05-08</t>
      </text>
    </comment>
    <comment authorId="0" ref="I133">
      <text>
        <t xml:space="preserve">📮SENT 2026-03-31 💰CK 2026-04-11</t>
      </text>
    </comment>
    <comment authorId="0" ref="I1058">
      <text>
        <t xml:space="preserve">📦 BOSS 📮SENT 2026-04-20 💰CK 2026-05-06</t>
      </text>
    </comment>
    <comment authorId="0" ref="I3040">
      <text>
        <t xml:space="preserve">📦EMS EB859664846CN</t>
      </text>
    </comment>
    <comment authorId="0" ref="I926">
      <text>
        <t xml:space="preserve">📦 BOSS 📮SENT 2026-04-20 💰CK 2026-05-10</t>
      </text>
    </comment>
    <comment authorId="0" ref="I1851">
      <text>
        <t xml:space="preserve">📦 BOSS 📮SENT 2026-05-11</t>
      </text>
    </comment>
    <comment authorId="0" ref="I794">
      <text>
        <t xml:space="preserve">📦 BOSS 📮SENT 2026-04-14 💰CK 2026-05-10</t>
      </text>
    </comment>
    <comment authorId="0" ref="I1719">
      <text>
        <t xml:space="preserve">📦EMS EB858203321CN</t>
      </text>
    </comment>
    <comment authorId="0" ref="I662">
      <text>
        <t xml:space="preserve">📦 BOSS 📮SENT 2026-04-21 💰CK 2026-04-26</t>
      </text>
    </comment>
    <comment authorId="0" ref="I530">
      <text>
        <t xml:space="preserve">📮SENT 2026-05-07 💰CK 2026-05-10</t>
      </text>
    </comment>
    <comment authorId="0" ref="I2512">
      <text>
        <t xml:space="preserve">📦EMS EB859866786CN</t>
      </text>
    </comment>
    <comment authorId="0" ref="I1455">
      <text>
        <t xml:space="preserve">📦 BOSS 📮SENT 2026-05-11</t>
      </text>
    </comment>
    <comment authorId="0" ref="I398">
      <text>
        <t xml:space="preserve">📦 BOSS 📮SENT 2026-04-12 💰CK 2026-04-13</t>
      </text>
    </comment>
    <comment authorId="0" ref="I266">
      <text>
        <t xml:space="preserve">📮SENT 2026-03-31 💰CK 2026-05-06</t>
      </text>
    </comment>
    <comment authorId="0" ref="I1191">
      <text>
        <t xml:space="preserve">📦EMS EB857551400CN/EB857551736CN</t>
      </text>
    </comment>
    <comment authorId="0" ref="I134">
      <text>
        <t xml:space="preserve">📮SENT 2026-03-31 💰CK 2026-04-11</t>
      </text>
    </comment>
    <comment authorId="0" ref="I1059">
      <text>
        <t xml:space="preserve">📦 BOSS 📮SENT 2026-04-20 💰CK 2026-05-06</t>
      </text>
    </comment>
    <comment authorId="0" ref="I2">
      <text>
        <t xml:space="preserve">📮SENT 2026-03-31 💰CK 2026-03-31</t>
      </text>
    </comment>
    <comment authorId="0" ref="I3041">
      <text>
        <t xml:space="preserve">📦EMS EB859664846CN</t>
      </text>
    </comment>
    <comment authorId="0" ref="I927">
      <text>
        <t xml:space="preserve">📦 BOSS 📮SENT 2026-04-21</t>
      </text>
    </comment>
    <comment authorId="0" ref="I1852">
      <text>
        <t xml:space="preserve">📦EMS EB858203321CN</t>
      </text>
    </comment>
    <comment authorId="0" ref="I1720">
      <text>
        <t xml:space="preserve">📦EMS EB858203321CN</t>
      </text>
    </comment>
    <comment authorId="0" ref="I531">
      <text>
        <t xml:space="preserve">📦EMS EB856696646CN 📮SENT 2026-04-16 💰CK 2026-04-21</t>
      </text>
    </comment>
    <comment authorId="0" ref="I1456">
      <text>
        <t xml:space="preserve">📦 BOSS 📮SENT 2026-05-11</t>
      </text>
    </comment>
    <comment authorId="0" ref="I399">
      <text>
        <t xml:space="preserve">📮SENT 2026-04-02 💰CK 2026-04-11</t>
      </text>
    </comment>
    <comment authorId="0" ref="I267">
      <text>
        <t xml:space="preserve">📮SENT 2026-03-31 💰CK 2026-05-06</t>
      </text>
    </comment>
    <comment authorId="0" ref="I1060">
      <text>
        <t xml:space="preserve">📦 BOSS 📮SENT 2026-04-18</t>
      </text>
    </comment>
    <comment authorId="0" ref="I3">
      <text>
        <t xml:space="preserve">📮SENT 2026-03-31 💰CK 2026-03-31</t>
      </text>
    </comment>
    <comment authorId="0" ref="I3042">
      <text>
        <t xml:space="preserve">📦EMS EB859664846CN</t>
      </text>
    </comment>
    <comment authorId="0" ref="I1853">
      <text>
        <t xml:space="preserve">📦 BOSS 📮SENT 2026-05-11</t>
      </text>
    </comment>
    <comment authorId="0" ref="I796">
      <text>
        <t xml:space="preserve">📮SENT 2026-04-27</t>
      </text>
    </comment>
    <comment authorId="0" ref="I2778">
      <text>
        <t xml:space="preserve">📦 BOSS 📮SENT 2026-06-09</t>
      </text>
    </comment>
    <comment authorId="0" ref="I532">
      <text>
        <t xml:space="preserve">📦 BOSS 📮SENT 2026-04-12 💰CK 2026-04-26</t>
      </text>
    </comment>
    <comment authorId="0" ref="I2514">
      <text>
        <t xml:space="preserve">📦EMS EB859866786CN</t>
      </text>
    </comment>
    <comment authorId="0" ref="I1457">
      <text>
        <t xml:space="preserve">📦 BOSS 📮SENT 2026-05-11</t>
      </text>
    </comment>
    <comment authorId="0" ref="I400">
      <text>
        <t xml:space="preserve">📮SENT 2026-04-11</t>
      </text>
    </comment>
    <comment authorId="0" ref="I268">
      <text>
        <t xml:space="preserve">📮SENT 2026-04-08 💰CK 2026-05-06</t>
      </text>
    </comment>
    <comment authorId="0" ref="I1193">
      <text>
        <t xml:space="preserve">📦EMS EB857551400CN/EB857551736CN</t>
      </text>
    </comment>
    <comment authorId="0" ref="I136">
      <text>
        <t xml:space="preserve">📮SENT 2026-03-31</t>
      </text>
    </comment>
    <comment authorId="0" ref="I1061">
      <text>
        <t xml:space="preserve">📦 BOSS 📮SENT 2026-04-20</t>
      </text>
    </comment>
    <comment authorId="0" ref="I4">
      <text>
        <t xml:space="preserve">📮SENT 2026-03-31 💰CK 2026-03-31</t>
      </text>
    </comment>
    <comment authorId="0" ref="I3043">
      <text>
        <t xml:space="preserve">📦EMS EB859664846CN</t>
      </text>
    </comment>
    <comment authorId="0" ref="I929">
      <text>
        <t xml:space="preserve">📦EMS EB857164343CN</t>
      </text>
    </comment>
    <comment authorId="0" ref="I1854">
      <text>
        <t xml:space="preserve">📦EMS EB858203321CN</t>
      </text>
    </comment>
    <comment authorId="0" ref="I2779">
      <text>
        <t xml:space="preserve">📦 BOSS 📮SENT 2026-06-09</t>
      </text>
    </comment>
    <comment authorId="0" ref="I533">
      <text>
        <t xml:space="preserve">📦 BOSS 📮SENT 2026-05-07 💰CK 2026-05-08</t>
      </text>
    </comment>
    <comment authorId="0" ref="I1458">
      <text>
        <t xml:space="preserve">📦 BOSS 📮SENT 2026-05-09</t>
      </text>
    </comment>
    <comment authorId="0" ref="I401">
      <text>
        <t xml:space="preserve">📮SENT 2026-04-05 💰CK 2026-04-08</t>
      </text>
    </comment>
    <comment authorId="0" ref="I1326">
      <text>
        <t xml:space="preserve">📦 BOSS 📮SENT 2026-05-07 💰CK 2026-05-10</t>
      </text>
    </comment>
    <comment authorId="0" ref="I269">
      <text>
        <t xml:space="preserve">📮SENT 2026-04-16 💰CK 2026-05-06</t>
      </text>
    </comment>
    <comment authorId="0" ref="I137">
      <text>
        <t xml:space="preserve">📮SENT 2026-03-31 💰CK 2026-04-02</t>
      </text>
    </comment>
    <comment authorId="0" ref="I1062">
      <text>
        <t xml:space="preserve">📦 BOSS 📮SENT 2026-05-07</t>
      </text>
    </comment>
    <comment authorId="0" ref="I5">
      <text>
        <t xml:space="preserve">📮SENT 2026-03-31 💰CK 2026-03-31</t>
      </text>
    </comment>
    <comment authorId="0" ref="I3044">
      <text>
        <t xml:space="preserve">📦EMS EB859664846CN</t>
      </text>
    </comment>
    <comment authorId="0" ref="I930">
      <text>
        <t xml:space="preserve">📦EMS EB857164343CN</t>
      </text>
    </comment>
    <comment authorId="0" ref="I798">
      <text>
        <t xml:space="preserve">📦 BOSS 📮SENT 2026-04-16</t>
      </text>
    </comment>
    <comment authorId="0" ref="I2780">
      <text>
        <t xml:space="preserve">📦DƯ</t>
      </text>
    </comment>
    <comment authorId="0" ref="I534">
      <text>
        <t xml:space="preserve">📦 BOSS 📮SENT 2026-04-12 💰CK 2026-05-10</t>
      </text>
    </comment>
    <comment authorId="0" ref="I1459">
      <text>
        <t xml:space="preserve">📦 BOSS 📮SENT 2026-04-29</t>
      </text>
    </comment>
    <comment authorId="0" ref="I402">
      <text>
        <t xml:space="preserve">📮SENT 2026-03-31 💰CK 2026-04-02</t>
      </text>
    </comment>
    <comment authorId="0" ref="I2384">
      <text>
        <t xml:space="preserve">📦 BOSS 📮SENT 2026-06-10</t>
      </text>
    </comment>
    <comment authorId="0" ref="I1327">
      <text>
        <t xml:space="preserve">📦 BOSS 📮SENT 2026-05-07 💰CK 2026-05-10</t>
      </text>
    </comment>
    <comment authorId="0" ref="I138">
      <text>
        <t xml:space="preserve">📮SENT 2026-04-04 💰CK 2026-04-04</t>
      </text>
    </comment>
    <comment authorId="0" ref="I1063">
      <text>
        <t xml:space="preserve">📦 BOSS 📮SENT 2026-05-07</t>
      </text>
    </comment>
    <comment authorId="0" ref="I6">
      <text>
        <t xml:space="preserve">📮SENT 2026-03-31 💰CK 2026-03-31</t>
      </text>
    </comment>
    <comment authorId="0" ref="I3045">
      <text>
        <t xml:space="preserve">📦EMS EB859664846CN</t>
      </text>
    </comment>
    <comment authorId="0" ref="I931">
      <text>
        <t xml:space="preserve">📦EMS EB857164343CN</t>
      </text>
    </comment>
    <comment authorId="0" ref="I799">
      <text>
        <t xml:space="preserve">📦 BOSS 📮SENT 2026-04-20</t>
      </text>
    </comment>
    <comment authorId="0" ref="I2781">
      <text>
        <t xml:space="preserve">📦 BOSS 📮SENT 2026-06-04</t>
      </text>
    </comment>
    <comment authorId="0" ref="I1592">
      <text>
        <t xml:space="preserve">📦EMS EB858203321CN</t>
      </text>
    </comment>
    <comment authorId="0" ref="I535">
      <text>
        <t xml:space="preserve">📦 BOSS 📮SENT 2026-04-12 💰CK 2026-05-10</t>
      </text>
    </comment>
    <comment authorId="0" ref="I1460">
      <text>
        <t xml:space="preserve">📦EMS EB857651181CN</t>
      </text>
    </comment>
    <comment authorId="0" ref="I403">
      <text>
        <t xml:space="preserve">📮SENT 2026-03-31</t>
      </text>
    </comment>
    <comment authorId="0" ref="I1328">
      <text>
        <t xml:space="preserve">📦 BOSS 📮SENT 2026-05-07</t>
      </text>
    </comment>
    <comment authorId="0" ref="I2385">
      <text>
        <t xml:space="preserve">📦EMS EB859866786CN</t>
      </text>
    </comment>
    <comment authorId="0" ref="I271">
      <text>
        <t xml:space="preserve">📦EMS EB856696646CN</t>
      </text>
    </comment>
    <comment authorId="0" ref="I1196">
      <text>
        <t xml:space="preserve">📦EMS EB857551400CN/EB857551736CN</t>
      </text>
    </comment>
    <comment authorId="0" ref="I139">
      <text>
        <t xml:space="preserve">📮SENT 2026-03-31 💰CK 2026-04-02</t>
      </text>
    </comment>
    <comment authorId="0" ref="I1064">
      <text>
        <t xml:space="preserve">📦 BOSS 📮SENT 2026-04-20</t>
      </text>
    </comment>
    <comment authorId="0" ref="I7">
      <text>
        <t xml:space="preserve">📮SENT 2026-03-31 💰CK 2026-03-31</t>
      </text>
    </comment>
    <comment authorId="0" ref="I932">
      <text>
        <t xml:space="preserve">📦 BOSS 📮SENT 2026-04-20 💰CK 2026-04-26</t>
      </text>
    </comment>
    <comment authorId="0" ref="I800">
      <text>
        <t xml:space="preserve">📮SENT 2026-04-11</t>
      </text>
    </comment>
    <comment authorId="0" ref="I2782">
      <text>
        <t xml:space="preserve">📦 BOSS 📮SENT 2026-06-09</t>
      </text>
    </comment>
    <comment authorId="0" ref="I1593">
      <text>
        <t xml:space="preserve">📦 BOSS 📮SENT 2026-05-11</t>
      </text>
    </comment>
    <comment authorId="0" ref="I536">
      <text>
        <t xml:space="preserve">📦 BOSS 📮SENT 2026-04-21 💰CK 2026-05-10</t>
      </text>
    </comment>
    <comment authorId="0" ref="I2518">
      <text>
        <t xml:space="preserve">📦 BOSS 📮SENT 2026-06-09</t>
      </text>
    </comment>
    <comment authorId="0" ref="I1461">
      <text>
        <t xml:space="preserve">📦 BOSS 📮SENT 2026-05-11</t>
      </text>
    </comment>
    <comment authorId="0" ref="I404">
      <text>
        <t xml:space="preserve">📮SENT 2026-03-31</t>
      </text>
    </comment>
    <comment authorId="0" ref="I2386">
      <text>
        <t xml:space="preserve">📦EMS EB859866786CN</t>
      </text>
    </comment>
    <comment authorId="0" ref="I272">
      <text>
        <t xml:space="preserve">📮SENT 2026-04-08</t>
      </text>
    </comment>
    <comment authorId="0" ref="I140">
      <text>
        <t xml:space="preserve">📮SENT 2026-03-31 💰CK 2026-04-02</t>
      </text>
    </comment>
    <comment authorId="0" ref="I1065">
      <text>
        <t xml:space="preserve">📦 BOSS 📮SENT 2026-05-07 💰CK 2026-05-08</t>
      </text>
    </comment>
    <comment authorId="0" ref="I933">
      <text>
        <t xml:space="preserve">📦 BOSS 📮SENT 2026-04-20 💰CK 2026-04-26</t>
      </text>
    </comment>
    <comment authorId="0" ref="I801">
      <text>
        <t xml:space="preserve">📮SENT 2026-04-04</t>
      </text>
    </comment>
    <comment authorId="0" ref="I2783">
      <text>
        <t xml:space="preserve">📦 BOSS 📮SENT 2026-06-10</t>
      </text>
    </comment>
    <comment authorId="0" ref="I1594">
      <text>
        <t xml:space="preserve">📦 BOSS 📮SENT 2026-05-11</t>
      </text>
    </comment>
    <comment authorId="0" ref="I1462">
      <text>
        <t xml:space="preserve">📦 BOSS 📮SENT 2026-05-11</t>
      </text>
    </comment>
    <comment authorId="0" ref="I405">
      <text>
        <t xml:space="preserve">📮SENT 2026-04-05 💰CK 2026-04-08</t>
      </text>
    </comment>
    <comment authorId="0" ref="I1330">
      <text>
        <t xml:space="preserve">📦EMS EB857651181CN</t>
      </text>
    </comment>
    <comment authorId="0" ref="I273">
      <text>
        <t xml:space="preserve">📮SENT 2026-04-18</t>
      </text>
    </comment>
    <comment authorId="0" ref="I141">
      <text>
        <t xml:space="preserve">📮SENT 2026-03-31 💰CK 2026-04-02</t>
      </text>
    </comment>
    <comment authorId="0" ref="I1066">
      <text>
        <t xml:space="preserve">📦 BOSS 📮SENT 2026-04-21 💰CK 2026-04-22</t>
      </text>
    </comment>
    <comment authorId="0" ref="I9">
      <text>
        <t xml:space="preserve">📮SENT 2026-03-31 💰CK 2026-03-31</t>
      </text>
    </comment>
    <comment authorId="0" ref="I934">
      <text>
        <t xml:space="preserve">📦 BOSS 📮SENT 2026-04-20 💰CK 2026-04-26</t>
      </text>
    </comment>
    <comment authorId="0" ref="I802">
      <text>
        <t xml:space="preserve">📦 BOSS 📮SENT 2026-04-27</t>
      </text>
    </comment>
    <comment authorId="0" ref="I1727">
      <text>
        <t xml:space="preserve">📦EMS EB858203321CN</t>
      </text>
    </comment>
    <comment authorId="0" ref="I1595">
      <text>
        <t xml:space="preserve">📦 BOSS 📮SENT 2026-05-12</t>
      </text>
    </comment>
    <comment authorId="0" ref="I538">
      <text>
        <t xml:space="preserve">📦 BOSS 📮SENT 2026-04-16 💰CK 2026-04-27</t>
      </text>
    </comment>
    <comment authorId="0" ref="I1463">
      <text>
        <t xml:space="preserve">📦 BOSS 📮SENT 2026-05-11</t>
      </text>
    </comment>
    <comment authorId="0" ref="I406">
      <text>
        <t xml:space="preserve">📮SENT 2026-03-31 💰CK 2026-04-26</t>
      </text>
    </comment>
    <comment authorId="0" ref="I2388">
      <text>
        <t xml:space="preserve">📦 BOSS 📮SENT 2026-06-04</t>
      </text>
    </comment>
    <comment authorId="0" ref="I1331">
      <text>
        <t xml:space="preserve">📦 BOSS 📮SENT 2026-05-12</t>
      </text>
    </comment>
    <comment authorId="0" ref="I274">
      <text>
        <t xml:space="preserve">📮SENT 2026-04-06</t>
      </text>
    </comment>
    <comment authorId="0" ref="I142">
      <text>
        <t xml:space="preserve">📮SENT 2026-04-02 💰CK 2026-04-11</t>
      </text>
    </comment>
    <comment authorId="0" ref="I1067">
      <text>
        <t xml:space="preserve">📦 BOSS 📮SENT 2026-04-21 💰CK 2026-04-22</t>
      </text>
    </comment>
    <comment authorId="0" ref="I10">
      <text>
        <t xml:space="preserve">📮SENT 2026-03-31 💰CK 2026-03-31</t>
      </text>
    </comment>
    <comment authorId="0" ref="I935">
      <text>
        <t xml:space="preserve">📦 BOSS 📮SENT 2026-04-20 💰CK 2026-04-26</t>
      </text>
    </comment>
    <comment authorId="0" ref="I803">
      <text>
        <t xml:space="preserve">📮SENT 2026-04-16 💰CK 2026-04-21</t>
      </text>
    </comment>
    <comment authorId="0" ref="I1728">
      <text>
        <t xml:space="preserve">📦 BOSS 📮SENT 2026-05-11</t>
      </text>
    </comment>
    <comment authorId="0" ref="I2785">
      <text>
        <t xml:space="preserve">📦 BOSS 📮SENT 2026-06-09</t>
      </text>
    </comment>
    <comment authorId="0" ref="I1596">
      <text>
        <t xml:space="preserve">📦 BOSS 📮SENT 2026-05-12</t>
      </text>
    </comment>
    <comment authorId="0" ref="I539">
      <text>
        <t xml:space="preserve">📮SENT 2026-04-06 💰CK 2026-04-27</t>
      </text>
    </comment>
    <comment authorId="0" ref="I1464">
      <text>
        <t xml:space="preserve">📦DƯ 💰CK 2026-05-06</t>
      </text>
    </comment>
    <comment authorId="0" ref="I407">
      <text>
        <t xml:space="preserve">📮SENT 2026-04-04 💰CK 2026-04-11</t>
      </text>
    </comment>
    <comment authorId="0" ref="I1332">
      <text>
        <t xml:space="preserve">📦EMS EB857651181CN</t>
      </text>
    </comment>
    <comment authorId="0" ref="I2389">
      <text>
        <t xml:space="preserve">📦EMS EB859866786CN</t>
      </text>
    </comment>
    <comment authorId="0" ref="I275">
      <text>
        <t xml:space="preserve">📮SENT 2026-04-11</t>
      </text>
    </comment>
    <comment authorId="0" ref="I143">
      <text>
        <t xml:space="preserve">📮SENT 2026-04-05</t>
      </text>
    </comment>
    <comment authorId="0" ref="I1068">
      <text>
        <t xml:space="preserve">📦 BOSS 📮SENT 2026-04-27 💰CK 2026-05-06</t>
      </text>
    </comment>
    <comment authorId="0" ref="I11">
      <text>
        <t xml:space="preserve">📮SENT 2026-03-31 💰CK 2026-03-31</t>
      </text>
    </comment>
    <comment authorId="0" ref="I936">
      <text>
        <t xml:space="preserve">📦 BOSS 📮SENT 2026-04-20 💰CK 2026-04-26</t>
      </text>
    </comment>
    <comment authorId="0" ref="I804">
      <text>
        <t xml:space="preserve">📦 BOSS 📮SENT 2026-04-12 💰CK 2026-04-12</t>
      </text>
    </comment>
    <comment authorId="0" ref="I2786">
      <text>
        <t xml:space="preserve">📦 BOSS 📮SENT 2026-06-09</t>
      </text>
    </comment>
    <comment authorId="0" ref="I1729">
      <text>
        <t xml:space="preserve">📦 BOSS 📮SENT 2026-05-11</t>
      </text>
    </comment>
    <comment authorId="0" ref="I1597">
      <text>
        <t xml:space="preserve">📦 BOSS 📮SENT 2026-05-12</t>
      </text>
    </comment>
    <comment authorId="0" ref="I540">
      <text>
        <t xml:space="preserve">📮SENT 2026-04-06 💰CK 2026-04-27</t>
      </text>
    </comment>
    <comment authorId="0" ref="I2522">
      <text>
        <t xml:space="preserve">📦EMS EB859866786CN</t>
      </text>
    </comment>
    <comment authorId="0" ref="I408">
      <text>
        <t xml:space="preserve">📮SENT 2026-04-04 💰CK 2026-04-11</t>
      </text>
    </comment>
    <comment authorId="0" ref="I2390">
      <text>
        <t xml:space="preserve">📦 BOSS 📮SENT 2026-06-04</t>
      </text>
    </comment>
    <comment authorId="0" ref="I1333">
      <text>
        <t xml:space="preserve">📦 BOSS 📮SENT 2026-04-28 💰CK 2026-05-10</t>
      </text>
    </comment>
    <comment authorId="0" ref="I276">
      <text>
        <t xml:space="preserve">📮SENT 2026-04-11 💰CK 2026-05-10</t>
      </text>
    </comment>
    <comment authorId="0" ref="I1201">
      <text>
        <t xml:space="preserve">📦 BOSS 📮SENT 2026-05-09 💰CK 2026-05-10</t>
      </text>
    </comment>
    <comment authorId="0" ref="I144">
      <text>
        <t xml:space="preserve">📮SENT 2026-03-31 💰CK 2026-03-31</t>
      </text>
    </comment>
    <comment authorId="0" ref="I1069">
      <text>
        <t xml:space="preserve">📦 BOSS 📮SENT 2026-04-18</t>
      </text>
    </comment>
    <comment authorId="0" ref="I12">
      <text>
        <t xml:space="preserve">📮SENT 2026-03-31 💰CK 2026-03-31</t>
      </text>
    </comment>
    <comment authorId="0" ref="I937">
      <text>
        <t xml:space="preserve">📦 BOSS 📮SENT 2026-04-20 💰CK 2026-04-26</t>
      </text>
    </comment>
    <comment authorId="0" ref="I805">
      <text>
        <t xml:space="preserve">📦 BOSS 📮SENT 2026-04-28 💰CK 2026-04-29</t>
      </text>
    </comment>
    <comment authorId="0" ref="I2787">
      <text>
        <t xml:space="preserve">📦 BOSS 📮SENT 2026-06-09</t>
      </text>
    </comment>
    <comment authorId="0" ref="I1598">
      <text>
        <t xml:space="preserve">📦 BOSS 📮SENT 2026-05-12</t>
      </text>
    </comment>
    <comment authorId="0" ref="I1466">
      <text>
        <t xml:space="preserve">📦 BOSS 📮SENT 2026-06-10</t>
      </text>
    </comment>
    <comment authorId="0" ref="I409">
      <text>
        <t xml:space="preserve">📮SENT 2026-03-31</t>
      </text>
    </comment>
    <comment authorId="0" ref="I1334">
      <text>
        <t xml:space="preserve">📦 BOSS 📮SENT 2026-04-28 💰CK 2026-05-10</t>
      </text>
    </comment>
    <comment authorId="0" ref="I2391">
      <text>
        <t xml:space="preserve">📦 BOSS 📮SENT 2026-06-05</t>
      </text>
    </comment>
    <comment authorId="0" ref="I277">
      <text>
        <t xml:space="preserve">📮SENT 2026-04-08 💰CK 2026-05-10</t>
      </text>
    </comment>
    <comment authorId="0" ref="I1202">
      <text>
        <t xml:space="preserve">📦 BOSS 📮SENT 2026-05-09 💰CK 2026-05-10</t>
      </text>
    </comment>
    <comment authorId="0" ref="I145">
      <text>
        <t xml:space="preserve">📮SENT 2026-03-31 💰CK 2026-05-06</t>
      </text>
    </comment>
    <comment authorId="0" ref="I1070">
      <text>
        <t xml:space="preserve">📦EMS EB857015049CN</t>
      </text>
    </comment>
    <comment authorId="0" ref="I13">
      <text>
        <t xml:space="preserve">📮SENT 2026-03-31 💰CK 2026-04-02</t>
      </text>
    </comment>
    <comment authorId="0" ref="I1863">
      <text>
        <t xml:space="preserve">📦DƯ 💰CK 2026-05-06</t>
      </text>
    </comment>
    <comment authorId="0" ref="I806">
      <text>
        <t xml:space="preserve">📦 BOSS 📮SENT 2026-04-13 💰CK 2026-04-13</t>
      </text>
    </comment>
    <comment authorId="0" ref="I2788">
      <text>
        <t xml:space="preserve">📦 BOSS 📮SENT 2026-06-04</t>
      </text>
    </comment>
    <comment authorId="0" ref="I2656">
      <text>
        <t xml:space="preserve">📦DƯ</t>
      </text>
    </comment>
    <comment authorId="0" ref="I1599">
      <text>
        <t xml:space="preserve">📦 BOSS 📮SENT 2026-05-12</t>
      </text>
    </comment>
    <comment authorId="0" ref="I410">
      <text>
        <t xml:space="preserve">📮SENT 2026-04-05 💰CK 2026-04-17</t>
      </text>
    </comment>
    <comment authorId="0" ref="I2392">
      <text>
        <t xml:space="preserve">📦 BOSS 📮SENT 2026-06-05</t>
      </text>
    </comment>
    <comment authorId="0" ref="I1335">
      <text>
        <t xml:space="preserve">📦EMS EB857446344CN</t>
      </text>
    </comment>
    <comment authorId="0" ref="I278">
      <text>
        <t xml:space="preserve">💰CK 2026-03-31</t>
      </text>
    </comment>
    <comment authorId="0" ref="I1203">
      <text>
        <t xml:space="preserve">📦 BOSS 📮SENT 2026-05-12</t>
      </text>
    </comment>
    <comment authorId="0" ref="I146">
      <text>
        <t xml:space="preserve">📮SENT 2026-03-31 💰CK 2026-05-06</t>
      </text>
    </comment>
    <comment authorId="0" ref="I1071">
      <text>
        <t xml:space="preserve">📦 BOSS 📮SENT 2026-04-28 💰CK 2026-05-06</t>
      </text>
    </comment>
    <comment authorId="0" ref="I14">
      <text>
        <t xml:space="preserve">📮SENT 2026-03-31 💰CK 2026-04-02</t>
      </text>
    </comment>
    <comment authorId="0" ref="I939">
      <text>
        <t xml:space="preserve">📦 BOSS 📮SENT 2026-05-07 💰CK 2026-05-08</t>
      </text>
    </comment>
    <comment authorId="0" ref="I1864">
      <text>
        <t xml:space="preserve">📦DƯ 💰CK 2026-05-06</t>
      </text>
    </comment>
    <comment authorId="0" ref="I807">
      <text>
        <t xml:space="preserve">📦 BOSS 📮SENT 2026-04-18 💰CK 2026-04-26</t>
      </text>
    </comment>
    <comment authorId="0" ref="I2789">
      <text>
        <t xml:space="preserve">📦 BOSS 📮SENT 2026-06-04</t>
      </text>
    </comment>
    <comment authorId="0" ref="I1600">
      <text>
        <t xml:space="preserve">📦 BOSS 📮SENT 2026-05-12</t>
      </text>
    </comment>
    <comment authorId="0" ref="I543">
      <text>
        <t xml:space="preserve">📮SENT 2026-04-04</t>
      </text>
    </comment>
    <comment authorId="0" ref="I1468">
      <text>
        <t xml:space="preserve">📦 BOSS 📮SENT 2026-05-11</t>
      </text>
    </comment>
    <comment authorId="0" ref="I2525">
      <text>
        <t xml:space="preserve">📦EMS EB859866786CN</t>
      </text>
    </comment>
    <comment authorId="0" ref="I411">
      <text>
        <t xml:space="preserve">📮SENT 2026-04-05 💰CK 2026-04-21</t>
      </text>
    </comment>
    <comment authorId="0" ref="I1336">
      <text>
        <t xml:space="preserve">📦 BOSS 📮SENT 2026-05-09</t>
      </text>
    </comment>
    <comment authorId="0" ref="I2393">
      <text>
        <t xml:space="preserve">📦DƯ</t>
      </text>
    </comment>
    <comment authorId="0" ref="I279">
      <text>
        <t xml:space="preserve">📮SENT 2026-04-18 💰CK 2026-04-29</t>
      </text>
    </comment>
    <comment authorId="0" ref="I1204">
      <text>
        <t xml:space="preserve">📦 BOSS 📮SENT 2026-05-07 💰CK 2026-05-10</t>
      </text>
    </comment>
    <comment authorId="0" ref="I147">
      <text>
        <t xml:space="preserve">📮SENT 2026-03-31 💰CK 2026-04-02</t>
      </text>
    </comment>
    <comment authorId="0" ref="I1072">
      <text>
        <t xml:space="preserve">📦 BOSS 📮SENT 2026-04-21 💰CK 2026-05-08</t>
      </text>
    </comment>
    <comment authorId="0" ref="I15">
      <text>
        <t xml:space="preserve">📮SENT 2026-04-04 💰CK 2026-04-08</t>
      </text>
    </comment>
    <comment authorId="0" ref="I940">
      <text>
        <t xml:space="preserve">💰CK 2026-05-06</t>
      </text>
    </comment>
    <comment authorId="0" ref="I808">
      <text>
        <t xml:space="preserve">📮SENT 2026-04-16 💰CK 2026-04-20</t>
      </text>
    </comment>
    <comment authorId="0" ref="I2790">
      <text>
        <t xml:space="preserve">📦DƯ</t>
      </text>
    </comment>
    <comment authorId="0" ref="I544">
      <text>
        <t xml:space="preserve">📮SENT 2026-04-19</t>
      </text>
    </comment>
    <comment authorId="0" ref="I1469">
      <text>
        <t xml:space="preserve">📦EMS EB857651181CN</t>
      </text>
    </comment>
    <comment authorId="0" ref="I412">
      <text>
        <t xml:space="preserve">📮SENT 2026-03-31 💰CK 2026-03-31</t>
      </text>
    </comment>
    <comment authorId="0" ref="I2394">
      <text>
        <t xml:space="preserve">📦 BOSS 📮SENT 2026-06-04 💰CK 2026-06-08</t>
      </text>
    </comment>
    <comment authorId="0" ref="I1337">
      <text>
        <t xml:space="preserve">📦EMS EB857651181CN</t>
      </text>
    </comment>
    <comment authorId="0" ref="I280">
      <text>
        <t xml:space="preserve">📮SENT 2026-04-05 💰CK 2026-04-29</t>
      </text>
    </comment>
    <comment authorId="0" ref="I1205">
      <text>
        <t xml:space="preserve">📦 BOSS 📮SENT 2026-05-12</t>
      </text>
    </comment>
    <comment authorId="0" ref="I148">
      <text>
        <t xml:space="preserve">📮SENT 2026-03-31 💰CK 2026-04-02</t>
      </text>
    </comment>
    <comment authorId="0" ref="I1073">
      <text>
        <t xml:space="preserve">📦 BOSS 📮SENT 2026-04-27 💰CK 2026-04-27</t>
      </text>
    </comment>
    <comment authorId="0" ref="I16">
      <text>
        <t xml:space="preserve">📮SENT 2026-04-04 💰CK 2026-04-08</t>
      </text>
    </comment>
    <comment authorId="0" ref="I941">
      <text>
        <t xml:space="preserve">💰CK 2026-05-06</t>
      </text>
    </comment>
    <comment authorId="0" ref="I809">
      <text>
        <t xml:space="preserve">📮SENT 2026-04-04</t>
      </text>
    </comment>
    <comment authorId="0" ref="I2791">
      <text>
        <t xml:space="preserve">📦DƯ</t>
      </text>
    </comment>
    <comment authorId="0" ref="I2659">
      <text>
        <t xml:space="preserve">📦 BOSS 📮SENT 2026-06-09</t>
      </text>
    </comment>
    <comment authorId="0" ref="I545">
      <text>
        <t xml:space="preserve">📮SENT 2026-04-19</t>
      </text>
    </comment>
    <comment authorId="0" ref="I1470">
      <text>
        <t xml:space="preserve">📦 BOSS 📮SENT 2026-04-29 💰CK 2026-05-10</t>
      </text>
    </comment>
    <comment authorId="0" ref="I413">
      <text>
        <t xml:space="preserve">📮SENT 2026-03-31</t>
      </text>
    </comment>
    <comment authorId="0" ref="I1338">
      <text>
        <t xml:space="preserve">📦EMS EB857651181CN</t>
      </text>
    </comment>
    <comment authorId="0" ref="I2395">
      <text>
        <t xml:space="preserve">📦EMS EB859424465CN</t>
      </text>
    </comment>
    <comment authorId="0" ref="I281">
      <text>
        <t xml:space="preserve">📮SENT 2026-04-04 💰CK 2026-04-10</t>
      </text>
    </comment>
    <comment authorId="0" ref="I1206">
      <text>
        <t xml:space="preserve">📦 BOSS 📮SENT 2026-05-07 💰CK 2026-05-08</t>
      </text>
    </comment>
    <comment authorId="0" ref="I149">
      <text>
        <t xml:space="preserve">📮SENT 2026-04-04 💰CK 2026-04-04</t>
      </text>
    </comment>
    <comment authorId="0" ref="I1074">
      <text>
        <t xml:space="preserve">📦 BOSS 📮SENT 2026-05-07 💰CK 2026-05-10</t>
      </text>
    </comment>
    <comment authorId="0" ref="I17">
      <text>
        <t xml:space="preserve">📮SENT 2026-03-31</t>
      </text>
    </comment>
    <comment authorId="0" ref="I942">
      <text>
        <t xml:space="preserve">📦 BOSS 📮SENT 2026-04-28</t>
      </text>
    </comment>
    <comment authorId="0" ref="I810">
      <text>
        <t xml:space="preserve">📦 BOSS 📮SENT 2026-04-21</t>
      </text>
    </comment>
    <comment authorId="0" ref="I2792">
      <text>
        <t xml:space="preserve">📦DƯ</t>
      </text>
    </comment>
    <comment authorId="0" ref="I1735">
      <text>
        <t xml:space="preserve">📦EMS EB858203321CN</t>
      </text>
    </comment>
    <comment authorId="0" ref="I678">
      <text>
        <t xml:space="preserve">📦 BOSS 📮SENT 2026-04-14 💰CK 2026-04-26</t>
      </text>
    </comment>
    <comment authorId="0" ref="I1603">
      <text>
        <t xml:space="preserve">📦EMS EB858203321CN</t>
      </text>
    </comment>
    <comment authorId="0" ref="I546">
      <text>
        <t xml:space="preserve">📮SENT 2026-04-08 💰CK 2026-04-11</t>
      </text>
    </comment>
    <comment authorId="0" ref="I414">
      <text>
        <t xml:space="preserve">📮SENT 2026-03-31 💰CK 2026-03-31</t>
      </text>
    </comment>
    <comment authorId="0" ref="I2396">
      <text>
        <t xml:space="preserve">📦 BOSS 📮SENT 2026-05-24 💰CK 2026-06-01</t>
      </text>
    </comment>
    <comment authorId="0" ref="I1339">
      <text>
        <t xml:space="preserve">📦EMS EB857446344CN</t>
      </text>
    </comment>
    <comment authorId="0" ref="I282">
      <text>
        <t xml:space="preserve">📮SENT 2026-04-04 💰CK 2026-04-10</t>
      </text>
    </comment>
    <comment authorId="0" ref="I1207">
      <text>
        <t xml:space="preserve">📦 BOSS 📮SENT 2026-05-07 💰CK 2026-05-10</t>
      </text>
    </comment>
    <comment authorId="0" ref="I150">
      <text>
        <t xml:space="preserve">📮SENT 2026-04-04 💰CK 2026-04-04</t>
      </text>
    </comment>
    <comment authorId="0" ref="I1075">
      <text>
        <t xml:space="preserve">📮SENT 2026-05-07</t>
      </text>
    </comment>
    <comment authorId="0" ref="I18">
      <text>
        <t xml:space="preserve">📮SENT 2026-03-31</t>
      </text>
    </comment>
    <comment authorId="0" ref="I811">
      <text>
        <t xml:space="preserve">📮SENT 2026-04-04 💰CK 2026-04-11</t>
      </text>
    </comment>
    <comment authorId="0" ref="I2793">
      <text>
        <t xml:space="preserve">📦DƯ</t>
      </text>
    </comment>
    <comment authorId="0" ref="I679">
      <text>
        <t xml:space="preserve">📦 BOSS 📮SENT 2026-04-12</t>
      </text>
    </comment>
    <comment authorId="0" ref="I2661">
      <text>
        <t xml:space="preserve">📦EMS EB859866786CN</t>
      </text>
    </comment>
    <comment authorId="0" ref="I547">
      <text>
        <t xml:space="preserve">📮SENT 2026-04-08 💰CK 2026-04-11</t>
      </text>
    </comment>
    <comment authorId="0" ref="I1472">
      <text>
        <t xml:space="preserve">📦EMS EB857651181CN</t>
      </text>
    </comment>
    <comment authorId="0" ref="I2529">
      <text>
        <t xml:space="preserve">📦EMS EB859424465CN</t>
      </text>
    </comment>
    <comment authorId="0" ref="I415">
      <text>
        <t xml:space="preserve">📮SENT 2026-03-31</t>
      </text>
    </comment>
    <comment authorId="0" ref="I1340">
      <text>
        <t xml:space="preserve">📦EMS EB857651181CN</t>
      </text>
    </comment>
    <comment authorId="0" ref="I2397">
      <text>
        <t xml:space="preserve">📦 BOSS 📮SENT 2026-05-24</t>
      </text>
    </comment>
    <comment authorId="0" ref="I283">
      <text>
        <t xml:space="preserve">📮SENT 2026-03-31 💰CK 2026-03-31</t>
      </text>
    </comment>
    <comment authorId="0" ref="I151">
      <text>
        <t xml:space="preserve">📮SENT 2026-04-04 💰CK 2026-04-11</t>
      </text>
    </comment>
    <comment authorId="0" ref="I1076">
      <text>
        <t xml:space="preserve">📦 BOSS 📮SENT 2026-04-18 💰CK 2026-04-26</t>
      </text>
    </comment>
    <comment authorId="0" ref="I19">
      <text>
        <t xml:space="preserve">📮SENT 2026-03-31 💰CK 2026-04-02</t>
      </text>
    </comment>
    <comment authorId="0" ref="I2001">
      <text>
        <t xml:space="preserve">📦DƯ</t>
      </text>
    </comment>
    <comment authorId="0" ref="I944">
      <text>
        <t xml:space="preserve">📦 BOSS 📮SENT 2026-05-08 💰CK 2026-05-10</t>
      </text>
    </comment>
    <comment authorId="0" ref="I1869">
      <text>
        <t xml:space="preserve">📦 BOSS 📮SENT 2026-04-29 💰CK 2026-05-06</t>
      </text>
    </comment>
    <comment authorId="0" ref="I812">
      <text>
        <t xml:space="preserve">📦 BOSS 📮SENT 2026-04-14 💰CK 2026-05-10</t>
      </text>
    </comment>
    <comment authorId="0" ref="I2794">
      <text>
        <t xml:space="preserve">📦DƯ</t>
      </text>
    </comment>
    <comment authorId="0" ref="I680">
      <text>
        <t xml:space="preserve">📦 BOSS 📮SENT 2026-04-12</t>
      </text>
    </comment>
    <comment authorId="0" ref="I548">
      <text>
        <t xml:space="preserve">📮SENT 2026-04-05</t>
      </text>
    </comment>
    <comment authorId="0" ref="I2530">
      <text>
        <t xml:space="preserve">📦EMS EB859866786CN</t>
      </text>
    </comment>
    <comment authorId="0" ref="I1473">
      <text>
        <t xml:space="preserve">📦 BOSS 📮SENT 2026-05-07 💰CK 2026-05-08</t>
      </text>
    </comment>
    <comment authorId="0" ref="I416">
      <text>
        <t xml:space="preserve">📮SENT 2026-04-05</t>
      </text>
    </comment>
    <comment authorId="0" ref="I2398">
      <text>
        <t xml:space="preserve">📦EMS EB859424465CN</t>
      </text>
    </comment>
    <comment authorId="0" ref="I1341">
      <text>
        <t xml:space="preserve">📦EMS EB857551400CN/EB857551736CN 📮SENT 2026-05-07</t>
      </text>
    </comment>
    <comment authorId="0" ref="I284">
      <text>
        <t xml:space="preserve">📮SENT 2026-03-31 💰CK 2026-03-31</t>
      </text>
    </comment>
    <comment authorId="0" ref="I152">
      <text>
        <t xml:space="preserve">📮SENT 2026-03-31 💰CK 2026-04-11</t>
      </text>
    </comment>
    <comment authorId="0" ref="I1077">
      <text>
        <t xml:space="preserve">📦 BOSS 📮SENT 2026-04-21 💰CK 2026-05-08</t>
      </text>
    </comment>
    <comment authorId="0" ref="I20">
      <text>
        <t xml:space="preserve">📮SENT 2026-03-31 💰CK 2026-05-06</t>
      </text>
    </comment>
    <comment authorId="0" ref="I2002">
      <text>
        <t xml:space="preserve">📦DƯ</t>
      </text>
    </comment>
    <comment authorId="0" ref="I945">
      <text>
        <t xml:space="preserve">📦 BOSS 📮SENT 2026-04-20 💰CK 2026-05-06</t>
      </text>
    </comment>
    <comment authorId="0" ref="I1870">
      <text>
        <t xml:space="preserve">📦 BOSS 📮SENT 2026-04-29 💰CK 2026-05-06</t>
      </text>
    </comment>
    <comment authorId="0" ref="I813">
      <text>
        <t xml:space="preserve">📮SENT 2026-04-16</t>
      </text>
    </comment>
    <comment authorId="0" ref="I2795">
      <text>
        <t xml:space="preserve">📦DƯ</t>
      </text>
    </comment>
    <comment authorId="0" ref="I681">
      <text>
        <t xml:space="preserve">📦 BOSS 📮SENT 2026-04-13</t>
      </text>
    </comment>
    <comment authorId="0" ref="I549">
      <text>
        <t xml:space="preserve">📮SENT 2026-04-05</t>
      </text>
    </comment>
    <comment authorId="0" ref="I1474">
      <text>
        <t xml:space="preserve">📦 BOSS 📮SENT 2026-04-29 💰CK 2026-05-10</t>
      </text>
    </comment>
    <comment authorId="0" ref="I417">
      <text>
        <t xml:space="preserve">📦 BOSS 📮SENT 2026-04-16 💰CK 2026-05-10</t>
      </text>
    </comment>
    <comment authorId="0" ref="I1342">
      <text>
        <t xml:space="preserve">📦EMS EB857551400CN/EB857551736CN 📮SENT 2026-05-07</t>
      </text>
    </comment>
    <comment authorId="0" ref="I2399">
      <text>
        <t xml:space="preserve">📦 BOSS 📮SENT 2026-06-04</t>
      </text>
    </comment>
    <comment authorId="0" ref="I285">
      <text>
        <t xml:space="preserve">📮SENT 2026-04-04 💰CK 2026-04-11</t>
      </text>
    </comment>
    <comment authorId="0" ref="I1210">
      <text>
        <t xml:space="preserve">📦 BOSS 📮SENT 2026-05-07</t>
      </text>
    </comment>
    <comment authorId="0" ref="I153">
      <text>
        <t xml:space="preserve">📮SENT 2026-03-31 💰CK 2026-03-31</t>
      </text>
    </comment>
    <comment authorId="0" ref="I1078">
      <text>
        <t xml:space="preserve">📦 BOSS 📮SENT 2026-04-20 💰CK 2026-05-10</t>
      </text>
    </comment>
    <comment authorId="0" ref="I21">
      <text>
        <t xml:space="preserve">📮SENT 2026-03-31 💰CK 2026-05-06</t>
      </text>
    </comment>
    <comment authorId="0" ref="I946">
      <text>
        <t xml:space="preserve">📦 BOSS 📮SENT 2026-04-20 💰CK 2026-05-06</t>
      </text>
    </comment>
    <comment authorId="0" ref="I1871">
      <text>
        <t xml:space="preserve">📦 BOSS 📮SENT 2026-04-29 💰CK 2026-05-06</t>
      </text>
    </comment>
    <comment authorId="0" ref="I814">
      <text>
        <t xml:space="preserve">📮SENT 2026-04-16</t>
      </text>
    </comment>
    <comment authorId="0" ref="I2796">
      <text>
        <t xml:space="preserve">📦DƯ</t>
      </text>
    </comment>
    <comment authorId="0" ref="I682">
      <text>
        <t xml:space="preserve">📦 BOSS 📮SENT 2026-04-23</t>
      </text>
    </comment>
    <comment authorId="0" ref="I550">
      <text>
        <t xml:space="preserve">📦 BOSS 📮SENT 2026-04-18 💰CK 2026-04-26</t>
      </text>
    </comment>
    <comment authorId="0" ref="I1475">
      <text>
        <t xml:space="preserve">📦 BOSS 📮SENT 2026-04-29</t>
      </text>
    </comment>
    <comment authorId="0" ref="I418">
      <text>
        <t xml:space="preserve">📦 BOSS 📮SENT 2026-04-13</t>
      </text>
    </comment>
    <comment authorId="0" ref="I1343">
      <text>
        <t xml:space="preserve">📦 BOSS 📮SENT 2026-04-28</t>
      </text>
    </comment>
    <comment authorId="0" ref="I286">
      <text>
        <t xml:space="preserve">📮SENT 2026-04-04 💰CK 2026-04-11</t>
      </text>
    </comment>
    <comment authorId="0" ref="I154">
      <text>
        <t xml:space="preserve">📮SENT 2026-03-31</t>
      </text>
    </comment>
    <comment authorId="0" ref="I1079">
      <text>
        <t xml:space="preserve">📦EMS EB857015049CN</t>
      </text>
    </comment>
    <comment authorId="0" ref="I22">
      <text>
        <t xml:space="preserve">📮SENT 2026-03-31 💰CK 2026-05-06</t>
      </text>
    </comment>
    <comment authorId="0" ref="I947">
      <text>
        <t xml:space="preserve">📦 BOSS 📮SENT 2026-05-11</t>
      </text>
    </comment>
    <comment authorId="0" ref="I1872">
      <text>
        <t xml:space="preserve">💰CK 2026-05-06</t>
      </text>
    </comment>
    <comment authorId="0" ref="I2929">
      <text>
        <t xml:space="preserve">📦 BOSS 📮SENT 2026-06-10</t>
      </text>
    </comment>
    <comment authorId="0" ref="I815">
      <text>
        <t xml:space="preserve">📦 BOSS 📮SENT 2026-04-20 💰CK 2026-04-21</t>
      </text>
    </comment>
    <comment authorId="0" ref="I2797">
      <text>
        <t xml:space="preserve">📦 BOSS 📮SENT 2026-06-05</t>
      </text>
    </comment>
    <comment authorId="0" ref="I683">
      <text>
        <t xml:space="preserve">📦 BOSS 📮SENT 2026-04-23</t>
      </text>
    </comment>
    <comment authorId="0" ref="I551">
      <text>
        <t xml:space="preserve">📦 BOSS 📮SENT 2026-04-18 💰CK 2026-04-26</t>
      </text>
    </comment>
    <comment authorId="0" ref="I1476">
      <text>
        <t xml:space="preserve">📦 BOSS 📮SENT 2026-05-11</t>
      </text>
    </comment>
    <comment authorId="0" ref="I419">
      <text>
        <t xml:space="preserve">📮SENT 2026-03-31 💰CK 2026-04-02</t>
      </text>
    </comment>
    <comment authorId="0" ref="I1344">
      <text>
        <t xml:space="preserve">📦EMS EB857651181CN</t>
      </text>
    </comment>
    <comment authorId="0" ref="I2401">
      <text>
        <t xml:space="preserve">📦EMS EB859866786CN</t>
      </text>
    </comment>
    <comment authorId="0" ref="I287">
      <text>
        <t xml:space="preserve">📮SENT 2026-03-31 💰CK 2026-03-31</t>
      </text>
    </comment>
    <comment authorId="0" ref="I155">
      <text>
        <t xml:space="preserve">📮SENT 2026-03-31 💰CK 2026-03-31</t>
      </text>
    </comment>
    <comment authorId="0" ref="I1080">
      <text>
        <t xml:space="preserve">📦 BOSS 📮SENT 2026-04-18</t>
      </text>
    </comment>
    <comment authorId="0" ref="I2005">
      <text>
        <t xml:space="preserve">📦 BOSS 📮SENT 2026-05-02 💰CK 2026-05-09</t>
      </text>
    </comment>
    <comment authorId="0" ref="I948">
      <text>
        <t xml:space="preserve">📦 BOSS 📮SENT 2026-04-20 💰CK 2026-05-10</t>
      </text>
    </comment>
    <comment authorId="0" ref="I2930">
      <text>
        <t xml:space="preserve">📦 BOSS 📮SENT 2026-06-09</t>
      </text>
    </comment>
    <comment authorId="0" ref="I2798">
      <text>
        <t xml:space="preserve">📦 BOSS 📮SENT 2026-06-05</t>
      </text>
    </comment>
    <comment authorId="0" ref="I684">
      <text>
        <t xml:space="preserve">📦 BOSS 📮SENT 2026-04-16 💰CK 2026-04-26</t>
      </text>
    </comment>
    <comment authorId="0" ref="I552">
      <text>
        <t xml:space="preserve">📮SENT 2026-04-08 💰CK 2026-04-11</t>
      </text>
    </comment>
    <comment authorId="0" ref="I1477">
      <text>
        <t xml:space="preserve">📦EMS EB857651181CN</t>
      </text>
    </comment>
    <comment authorId="0" ref="I420">
      <text>
        <t xml:space="preserve">📮SENT 2026-04-04 💰CK 2026-04-10</t>
      </text>
    </comment>
    <comment authorId="0" ref="I1345">
      <text>
        <t xml:space="preserve">📦 BOSS 📮SENT 2026-04-28 💰CK 2026-05-09</t>
      </text>
    </comment>
    <comment authorId="0" ref="I288">
      <text>
        <t xml:space="preserve">📮SENT 2026-03-31 💰CK 2026-04-11</t>
      </text>
    </comment>
    <comment authorId="0" ref="I1213">
      <text>
        <t xml:space="preserve">📦 BOSS 📮SENT 2026-05-11</t>
      </text>
    </comment>
    <comment authorId="0" ref="I156">
      <text>
        <t xml:space="preserve">📮SENT 2026-03-31 💰CK 2026-03-31</t>
      </text>
    </comment>
    <comment authorId="0" ref="I1081">
      <text>
        <t xml:space="preserve">📦 BOSS 📮SENT 2026-05-07 💰CK 2026-05-10</t>
      </text>
    </comment>
    <comment authorId="0" ref="I24">
      <text>
        <t xml:space="preserve">📮SENT 2026-03-31 💰CK 2026-03-31</t>
      </text>
    </comment>
    <comment authorId="0" ref="I2006">
      <text>
        <t xml:space="preserve">📦 BOSS 📮SENT 2026-05-02 💰CK 2026-05-02</t>
      </text>
    </comment>
    <comment authorId="0" ref="I949">
      <text>
        <t xml:space="preserve">📦 BOSS 📮SENT 2026-04-20 💰CK 2026-05-10</t>
      </text>
    </comment>
    <comment authorId="0" ref="I1874">
      <text>
        <t xml:space="preserve">💰CK 2026-05-06</t>
      </text>
    </comment>
    <comment authorId="0" ref="I2931">
      <text>
        <t xml:space="preserve">📦 BOSS 📮SENT 2026-06-09</t>
      </text>
    </comment>
    <comment authorId="0" ref="I817">
      <text>
        <t xml:space="preserve">📦 BOSS 📮SENT 2026-04-20 💰CK 2026-04-21</t>
      </text>
    </comment>
    <comment authorId="0" ref="I2799">
      <text>
        <t xml:space="preserve">📦 BOSS 📮SENT 2026-06-05</t>
      </text>
    </comment>
    <comment authorId="0" ref="I685">
      <text>
        <t xml:space="preserve">📦 BOSS 📮SENT 2026-04-14</t>
      </text>
    </comment>
    <comment authorId="0" ref="I1610">
      <text>
        <t xml:space="preserve">📦 BOSS 📮SENT 2026-05-12</t>
      </text>
    </comment>
    <comment authorId="0" ref="I553">
      <text>
        <t xml:space="preserve">📮SENT 2026-04-08 💰CK 2026-04-11</t>
      </text>
    </comment>
    <comment authorId="0" ref="I1478">
      <text>
        <t xml:space="preserve">📦EMS EB858203321CN</t>
      </text>
    </comment>
    <comment authorId="0" ref="I421">
      <text>
        <t xml:space="preserve">📮SENT 2026-04-04 💰CK 2026-04-08</t>
      </text>
    </comment>
    <comment authorId="0" ref="I289">
      <text>
        <t xml:space="preserve">📮SENT 2026-04-12 💰CK 2026-04-13</t>
      </text>
    </comment>
    <comment authorId="0" ref="I1214">
      <text>
        <t xml:space="preserve">📦 BOSS 📮SENT 2026-05-07</t>
      </text>
    </comment>
    <comment authorId="0" ref="I157">
      <text>
        <t xml:space="preserve">📮SENT 2026-03-31 💰CK 2026-03-31</t>
      </text>
    </comment>
    <comment authorId="0" ref="I1082">
      <text>
        <t xml:space="preserve">📦 BOSS 📮SENT 2026-05-11</t>
      </text>
    </comment>
    <comment authorId="0" ref="I25">
      <text>
        <t xml:space="preserve">📮SENT 2026-03-31 💰CK 2026-03-31</t>
      </text>
    </comment>
    <comment authorId="0" ref="I2007">
      <text>
        <t xml:space="preserve">📦 BOSS 📮SENT 2026-05-02</t>
      </text>
    </comment>
    <comment authorId="0" ref="I950">
      <text>
        <t xml:space="preserve">📦EMS EB857015049CN</t>
      </text>
    </comment>
    <comment authorId="0" ref="I2932">
      <text>
        <t xml:space="preserve">📦 BOSS 📮SENT 2026-06-09</t>
      </text>
    </comment>
    <comment authorId="0" ref="I818">
      <text>
        <t xml:space="preserve">📦EMS EB857446239CN</t>
      </text>
    </comment>
    <comment authorId="0" ref="I2800">
      <text>
        <t xml:space="preserve">📦 BOSS 📮SENT 2026-06-05</t>
      </text>
    </comment>
    <comment authorId="0" ref="I686">
      <text>
        <t xml:space="preserve">📦EMS EB856696646CN</t>
      </text>
    </comment>
    <comment authorId="0" ref="I554">
      <text>
        <t xml:space="preserve">📮SENT 2026-04-13 💰CK 2026-04-13</t>
      </text>
    </comment>
    <comment authorId="0" ref="I1479">
      <text>
        <t xml:space="preserve">📦EMS EB858203321CN</t>
      </text>
    </comment>
    <comment authorId="0" ref="I422">
      <text>
        <t xml:space="preserve">📮SENT 2026-04-05 💰CK 2026-04-11</t>
      </text>
    </comment>
    <comment authorId="0" ref="I290">
      <text>
        <t xml:space="preserve">📮SENT 2026-04-04 💰CK 2026-04-11</t>
      </text>
    </comment>
    <comment authorId="0" ref="I158">
      <text>
        <t xml:space="preserve">📮SENT 2026-03-31 💰CK 2026-03-31</t>
      </text>
    </comment>
    <comment authorId="0" ref="I1083">
      <text>
        <t xml:space="preserve">📦 BOSS 📮SENT 2026-04-21 💰CK 2026-04-26</t>
      </text>
    </comment>
    <comment authorId="0" ref="I26">
      <text>
        <t xml:space="preserve">📮SENT 2026-03-31 💰CK 2026-03-31</t>
      </text>
    </comment>
    <comment authorId="0" ref="I951">
      <text>
        <t xml:space="preserve">📦EMS EB857015049CN</t>
      </text>
    </comment>
    <comment authorId="0" ref="I819">
      <text>
        <t xml:space="preserve">📦 BOSS 📮SENT 2026-04-27</t>
      </text>
    </comment>
    <comment authorId="0" ref="I687">
      <text>
        <t xml:space="preserve">📦EMS EB856696646CN</t>
      </text>
    </comment>
    <comment authorId="0" ref="I555">
      <text>
        <t xml:space="preserve">📮SENT 2026-04-13 💰CK 2026-04-13</t>
      </text>
    </comment>
    <comment authorId="0" ref="I423">
      <text>
        <t xml:space="preserve">📮SENT 2026-04-16</t>
      </text>
    </comment>
    <comment authorId="0" ref="I2405">
      <text>
        <t xml:space="preserve">📦 BOSS 📮SENT 2026-05-25</t>
      </text>
    </comment>
    <comment authorId="0" ref="I291">
      <text>
        <t xml:space="preserve">📮SENT 2026-03-31 💰CK 2026-03-31</t>
      </text>
    </comment>
    <comment authorId="0" ref="I1216">
      <text>
        <t xml:space="preserve">📦 BOSS 📮SENT 2026-05-12</t>
      </text>
    </comment>
    <comment authorId="0" ref="I159">
      <text>
        <t xml:space="preserve">📮SENT 2026-03-31 💰CK 2026-03-31</t>
      </text>
    </comment>
    <comment authorId="0" ref="I1084">
      <text>
        <t xml:space="preserve">📦 BOSS 📮SENT 2026-05-07</t>
      </text>
    </comment>
    <comment authorId="0" ref="I27">
      <text>
        <t xml:space="preserve">📮SENT 2026-03-31 💰CK 2026-03-31</t>
      </text>
    </comment>
    <comment authorId="0" ref="I952">
      <text>
        <t xml:space="preserve">📦 BOSS 📮SENT 2026-04-21 💰CK 2026-04-22</t>
      </text>
    </comment>
    <comment authorId="0" ref="I820">
      <text>
        <t xml:space="preserve">📦EMS EB857231330CN</t>
      </text>
    </comment>
    <comment authorId="0" ref="I1745">
      <text>
        <t xml:space="preserve">📦 BOSS 📮SENT 2026-05-11</t>
      </text>
    </comment>
    <comment authorId="0" ref="I688">
      <text>
        <t xml:space="preserve">📦 BOSS 📮SENT 2026-04-12 💰CK 2026-04-20</t>
      </text>
    </comment>
    <comment authorId="0" ref="I1613">
      <text>
        <t xml:space="preserve">📦 BOSS 📮SENT 2026-05-09 💰CK 2026-05-10</t>
      </text>
    </comment>
    <comment authorId="0" ref="I556">
      <text>
        <t xml:space="preserve">📮SENT 2026-04-13 💰CK 2026-04-13</t>
      </text>
    </comment>
    <comment authorId="0" ref="I424">
      <text>
        <t xml:space="preserve">📮SENT 2026-04-04 💰CK 2026-04-11</t>
      </text>
    </comment>
    <comment authorId="0" ref="I2406">
      <text>
        <t xml:space="preserve">📦 BOSS 📮SENT 2026-05-24 💰CK 2026-06-01</t>
      </text>
    </comment>
    <comment authorId="0" ref="I292">
      <text>
        <t xml:space="preserve">📮SENT 2026-03-31 💰CK 2026-03-31</t>
      </text>
    </comment>
    <comment authorId="0" ref="I160">
      <text>
        <t xml:space="preserve">📮SENT 2026-03-31 💰CK 2026-04-02</t>
      </text>
    </comment>
    <comment authorId="0" ref="I1085">
      <text>
        <t xml:space="preserve">📦EMS EB857446239CN</t>
      </text>
    </comment>
    <comment authorId="0" ref="I28">
      <text>
        <t xml:space="preserve">📮SENT 2026-03-31 💰CK 2026-03-31</t>
      </text>
    </comment>
    <comment authorId="0" ref="I953">
      <text>
        <t xml:space="preserve">📦 BOSS 📮SENT 2026-04-21 💰CK 2026-04-22</t>
      </text>
    </comment>
    <comment authorId="0" ref="I821">
      <text>
        <t xml:space="preserve">📦 BOSS 📮SENT 2026-04-18</t>
      </text>
    </comment>
    <comment authorId="0" ref="I2803">
      <text>
        <t xml:space="preserve">📦 BOSS 📮SENT 2026-06-04 💰CK 2026-06-08</t>
      </text>
    </comment>
    <comment authorId="0" ref="I689">
      <text>
        <t xml:space="preserve">📦 BOSS 📮SENT 2026-04-14 💰CK 2026-05-10</t>
      </text>
    </comment>
    <comment authorId="0" ref="I1614">
      <text>
        <t xml:space="preserve">📦 BOSS 📮SENT 2026-05-09 💰CK 2026-05-10</t>
      </text>
    </comment>
    <comment authorId="0" ref="I557">
      <text>
        <t xml:space="preserve">📮SENT 2026-04-13 💰CK 2026-04-13</t>
      </text>
    </comment>
    <comment authorId="0" ref="I2539">
      <text>
        <t xml:space="preserve">📦 BOSS 📮SENT 2026-05-28</t>
      </text>
    </comment>
    <comment authorId="0" ref="I425">
      <text>
        <t xml:space="preserve">📮SENT 2026-03-31</t>
      </text>
    </comment>
    <comment authorId="0" ref="I293">
      <text>
        <t xml:space="preserve">📮SENT 2026-03-31 💰CK 2026-04-26</t>
      </text>
    </comment>
    <comment authorId="0" ref="I161">
      <text>
        <t xml:space="preserve">📮SENT 2026-04-04 💰CK 2026-04-10</t>
      </text>
    </comment>
    <comment authorId="0" ref="I1086">
      <text>
        <t xml:space="preserve">📦 BOSS 📮SENT 2026-05-11</t>
      </text>
    </comment>
    <comment authorId="0" ref="I29">
      <text>
        <t xml:space="preserve">📮SENT 2026-03-31 💰CK 2026-03-31</t>
      </text>
    </comment>
    <comment authorId="0" ref="I954">
      <text>
        <t xml:space="preserve">📦 BOSS 📮SENT 2026-04-20 💰CK 2026-04-22</t>
      </text>
    </comment>
    <comment authorId="0" ref="I822">
      <text>
        <t xml:space="preserve">📮SENT 2026-04-16 💰CK 2026-04-20</t>
      </text>
    </comment>
    <comment authorId="0" ref="I2804">
      <text>
        <t xml:space="preserve">📦 BOSS 📮SENT 2026-06-09</t>
      </text>
    </comment>
    <comment authorId="0" ref="I690">
      <text>
        <t xml:space="preserve">📦 BOSS 📮SENT 2026-04-14</t>
      </text>
    </comment>
    <comment authorId="0" ref="I558">
      <text>
        <t xml:space="preserve">📮SENT 2026-04-05</t>
      </text>
    </comment>
    <comment authorId="0" ref="I1483">
      <text>
        <t xml:space="preserve">📦 BOSS 📮SENT 2026-05-11</t>
      </text>
    </comment>
    <comment authorId="0" ref="I426">
      <text>
        <t xml:space="preserve">📮SENT 2026-04-06 💰CK 2026-05-08</t>
      </text>
    </comment>
    <comment authorId="0" ref="I1351">
      <text>
        <t xml:space="preserve">📦EMS EB857446344CN</t>
      </text>
    </comment>
    <comment authorId="0" ref="I294">
      <text>
        <t xml:space="preserve">📮SENT 2026-03-31 💰CK 2026-04-26</t>
      </text>
    </comment>
    <comment authorId="0" ref="I1219">
      <text>
        <t xml:space="preserve">📦 BOSS 📮SENT 2026-05-07</t>
      </text>
    </comment>
    <comment authorId="0" ref="I162">
      <text>
        <t xml:space="preserve">📮SENT 2026-03-31 💰CK 2026-03-31</t>
      </text>
    </comment>
    <comment authorId="0" ref="I1087">
      <text>
        <t xml:space="preserve">📦 BOSS 📮SENT 2026-04-27 💰CK 2026-04-27</t>
      </text>
    </comment>
    <comment authorId="0" ref="I30">
      <text>
        <t xml:space="preserve">📮SENT 2026-03-31 💰CK 2026-04-02</t>
      </text>
    </comment>
    <comment authorId="0" ref="I955">
      <text>
        <t xml:space="preserve">📦 BOSS 📮SENT 2026-04-20 💰CK 2026-04-26</t>
      </text>
    </comment>
    <comment authorId="0" ref="I823">
      <text>
        <t xml:space="preserve">📮SENT 2026-04-16</t>
      </text>
    </comment>
    <comment authorId="0" ref="I1748">
      <text>
        <t xml:space="preserve">📦 BOSS 📮SENT 2026-05-09 💰CK 2026-05-09</t>
      </text>
    </comment>
    <comment authorId="0" ref="I2805">
      <text>
        <t xml:space="preserve">📦DƯ</t>
      </text>
    </comment>
    <comment authorId="0" ref="I691">
      <text>
        <t xml:space="preserve">📦 BOSS 📮SENT 2026-04-18 💰CK 2026-04-26</t>
      </text>
    </comment>
    <comment authorId="0" ref="I559">
      <text>
        <t xml:space="preserve">📮SENT 2026-04-05</t>
      </text>
    </comment>
    <comment authorId="0" ref="I1484">
      <text>
        <t xml:space="preserve">📦 BOSS 📮SENT 2026-05-11</t>
      </text>
    </comment>
    <comment authorId="0" ref="I2541">
      <text>
        <t xml:space="preserve">📦EMS EB859424465CN</t>
      </text>
    </comment>
    <comment authorId="0" ref="I427">
      <text>
        <t xml:space="preserve">📦 BOSS 📮SENT 2026-04-13</t>
      </text>
    </comment>
    <comment authorId="0" ref="I1352">
      <text>
        <t xml:space="preserve">📦EMS EB857446344CN</t>
      </text>
    </comment>
    <comment authorId="0" ref="I295">
      <text>
        <t xml:space="preserve">📮SENT 2026-03-31 💰CK 2026-03-31</t>
      </text>
    </comment>
    <comment authorId="0" ref="I1220">
      <text>
        <t xml:space="preserve">📦EMS EB857015049CN</t>
      </text>
    </comment>
    <comment authorId="0" ref="I163">
      <text>
        <t xml:space="preserve">📮SENT 2026-03-31 💰CK 2026-03-31</t>
      </text>
    </comment>
    <comment authorId="0" ref="I1088">
      <text>
        <t xml:space="preserve">📦 BOSS 📮SENT 2026-04-27 💰CK 2026-04-27</t>
      </text>
    </comment>
    <comment authorId="0" ref="I31">
      <text>
        <t xml:space="preserve">📮SENT 2026-03-31 💰CK 2026-04-02</t>
      </text>
    </comment>
    <comment authorId="0" ref="I956">
      <text>
        <t xml:space="preserve">📦 BOSS 📮SENT 2026-04-20 💰CK 2026-04-26</t>
      </text>
    </comment>
    <comment authorId="0" ref="I824">
      <text>
        <t xml:space="preserve">📦 BOSS 📮SENT 2026-04-21 💰CK 2026-04-26</t>
      </text>
    </comment>
    <comment authorId="0" ref="I2806">
      <text>
        <t xml:space="preserve">📦DƯ</t>
      </text>
    </comment>
    <comment authorId="0" ref="I1749">
      <text>
        <t xml:space="preserve">📦 BOSS 📮SENT 2026-05-09 💰CK 2026-05-09</t>
      </text>
    </comment>
    <comment authorId="0" ref="I692">
      <text>
        <t xml:space="preserve">📦 BOSS 📮SENT 2026-04-14</t>
      </text>
    </comment>
    <comment authorId="0" ref="I560">
      <text>
        <t xml:space="preserve">💰CK 2026-04-11</t>
      </text>
    </comment>
    <comment authorId="0" ref="I2542">
      <text>
        <t xml:space="preserve">📦EMS EB859866786CN</t>
      </text>
    </comment>
    <comment authorId="0" ref="I428">
      <text>
        <t xml:space="preserve">📮SENT 2026-04-12 💰CK 2026-04-13</t>
      </text>
    </comment>
    <comment authorId="0" ref="I1353">
      <text>
        <t xml:space="preserve">📦 BOSS 📮SENT 2026-05-09 💰CK 2026-05-09</t>
      </text>
    </comment>
    <comment authorId="0" ref="I296">
      <text>
        <t xml:space="preserve">📮SENT 2026-03-31 💰CK 2026-04-02</t>
      </text>
    </comment>
    <comment authorId="0" ref="I1221">
      <text>
        <t xml:space="preserve">📦 BOSS 📮SENT 2026-05-07</t>
      </text>
    </comment>
    <comment authorId="0" ref="I164">
      <text>
        <t xml:space="preserve">📮SENT 2026-04-04 💰CK 2026-04-16</t>
      </text>
    </comment>
    <comment authorId="0" ref="I1089">
      <text>
        <t xml:space="preserve">📦 BOSS 📮SENT 2026-04-27 💰CK 2026-04-27</t>
      </text>
    </comment>
    <comment authorId="0" ref="I32">
      <text>
        <t xml:space="preserve">📮SENT 2026-03-31 💰CK 2026-04-17</t>
      </text>
    </comment>
    <comment authorId="0" ref="I957">
      <text>
        <t xml:space="preserve">📦 BOSS 📮SENT 2026-04-27 💰CK 2026-04-27</t>
      </text>
    </comment>
    <comment authorId="0" ref="I825">
      <text>
        <t xml:space="preserve">📮SENT 2026-04-16</t>
      </text>
    </comment>
    <comment authorId="0" ref="I2807">
      <text>
        <t xml:space="preserve">📦 BOSS 📮SENT 2026-06-04</t>
      </text>
    </comment>
    <comment authorId="0" ref="I693">
      <text>
        <t xml:space="preserve">📦 BOSS 📮SENT 2026-04-13 💰CK 2026-05-10</t>
      </text>
    </comment>
    <comment authorId="0" ref="I561">
      <text>
        <t xml:space="preserve">💰CK 2026-04-11</t>
      </text>
    </comment>
    <comment authorId="0" ref="I429">
      <text>
        <t xml:space="preserve">📮SENT 2026-03-31 💰CK 2026-04-02</t>
      </text>
    </comment>
    <comment authorId="0" ref="I1354">
      <text>
        <t xml:space="preserve">📦EMS EB857446344CN</t>
      </text>
    </comment>
    <comment authorId="0" ref="I2411">
      <text>
        <t xml:space="preserve">📦EMS EB859866786CN</t>
      </text>
    </comment>
    <comment authorId="0" ref="I297">
      <text>
        <t xml:space="preserve">📮SENT 2026-04-04 💰CK 2026-04-17</t>
      </text>
    </comment>
    <comment authorId="0" ref="I1222">
      <text>
        <t xml:space="preserve">📦 BOSS 📮SENT 2026-05-07</t>
      </text>
    </comment>
    <comment authorId="0" ref="I165">
      <text>
        <t xml:space="preserve">📮SENT 2026-03-31 💰CK 2026-03-31</t>
      </text>
    </comment>
    <comment authorId="0" ref="I33">
      <text>
        <t xml:space="preserve">📮SENT 2026-03-31 💰CK 2026-04-17</t>
      </text>
    </comment>
    <comment authorId="0" ref="I2015">
      <text>
        <t xml:space="preserve">📦 BOSS 📮SENT 2026-05-07 💰CK 2026-05-09</t>
      </text>
    </comment>
    <comment authorId="0" ref="I958">
      <text>
        <t xml:space="preserve">📦 BOSS 📮SENT 2026-04-27 💰CK 2026-04-27</t>
      </text>
    </comment>
    <comment authorId="0" ref="I826">
      <text>
        <t xml:space="preserve">📮SENT 2026-04-04</t>
      </text>
    </comment>
    <comment authorId="0" ref="I2808">
      <text>
        <t xml:space="preserve">📦 BOSS 📮SENT 2026-06-04</t>
      </text>
    </comment>
    <comment authorId="0" ref="I694">
      <text>
        <t xml:space="preserve">📦 BOSS 📮SENT 2026-04-13 💰CK 2026-05-06</t>
      </text>
    </comment>
    <comment authorId="0" ref="I562">
      <text>
        <t xml:space="preserve">📮SENT 2026-04-04 💰CK 2026-04-08</t>
      </text>
    </comment>
    <comment authorId="0" ref="I430">
      <text>
        <t xml:space="preserve">📮SENT 2026-04-05 💰CK 2026-04-08</t>
      </text>
    </comment>
    <comment authorId="0" ref="I2412">
      <text>
        <t xml:space="preserve">📦EMS EB859866786CN</t>
      </text>
    </comment>
    <comment authorId="0" ref="I1355">
      <text>
        <t xml:space="preserve">📦 BOSS 📮SENT 2026-04-27</t>
      </text>
    </comment>
    <comment authorId="0" ref="I298">
      <text>
        <t xml:space="preserve">📮SENT 2026-04-04 💰CK 2026-04-17</t>
      </text>
    </comment>
    <comment authorId="0" ref="I34">
      <text>
        <t xml:space="preserve">📮SENT 2026-03-31 💰CK 2026-04-17</t>
      </text>
    </comment>
    <comment authorId="0" ref="I2016">
      <text>
        <t xml:space="preserve">📦 BOSS 📮SENT 2026-05-07 💰CK 2026-05-08</t>
      </text>
    </comment>
    <comment authorId="0" ref="I959">
      <text>
        <t xml:space="preserve">📦EMS EB857015049CN</t>
      </text>
    </comment>
    <comment authorId="0" ref="I1884">
      <text>
        <t xml:space="preserve">📦DƯ</t>
      </text>
    </comment>
    <comment authorId="0" ref="I827">
      <text>
        <t xml:space="preserve">📦 BOSS 📮SENT 2026-05-09 💰CK 2026-05-10</t>
      </text>
    </comment>
    <comment authorId="0" ref="I2809">
      <text>
        <t xml:space="preserve">📦 BOSS 📮SENT 2026-06-09</t>
      </text>
    </comment>
    <comment authorId="0" ref="I695">
      <text>
        <t xml:space="preserve">📦 BOSS 📮SENT 2026-04-16 💰CK 2026-04-26</t>
      </text>
    </comment>
    <comment authorId="0" ref="I1620">
      <text>
        <t xml:space="preserve">📦EMS EB858203321CN</t>
      </text>
    </comment>
    <comment authorId="0" ref="I563">
      <text>
        <t xml:space="preserve">📮SENT 2026-04-04 💰CK 2026-04-08</t>
      </text>
    </comment>
    <comment authorId="0" ref="I431">
      <text>
        <t xml:space="preserve">📦 BOSS 📮SENT 2026-04-28</t>
      </text>
    </comment>
    <comment authorId="0" ref="I1356">
      <text>
        <t xml:space="preserve">📦 BOSS 📮SENT 2026-04-27</t>
      </text>
    </comment>
    <comment authorId="0" ref="I2413">
      <text>
        <t xml:space="preserve">📦 BOSS 📮SENT 2026-06-09</t>
      </text>
    </comment>
    <comment authorId="0" ref="I299">
      <text>
        <t xml:space="preserve">📮SENT 2026-03-31 💰CK 2026-03-31</t>
      </text>
    </comment>
    <comment authorId="0" ref="I1224">
      <text>
        <t xml:space="preserve">📦 BOSS 📮SENT 2026-05-07</t>
      </text>
    </comment>
    <comment authorId="0" ref="I167">
      <text>
        <t xml:space="preserve">📮SENT 2026-03-31 💰CK 2026-03-31</t>
      </text>
    </comment>
    <comment authorId="0" ref="I1092">
      <text>
        <t xml:space="preserve">📦 BOSS 📮SENT 2026-04-27 💰CK 2026-05-10</t>
      </text>
    </comment>
    <comment authorId="0" ref="I35">
      <text>
        <t xml:space="preserve">📮SENT 2026-03-31 💰CK 2026-03-31</t>
      </text>
    </comment>
    <comment authorId="0" ref="I2017">
      <text>
        <t xml:space="preserve">📦 BOSS 📮SENT 2026-05-08 💰CK 2026-05-10</t>
      </text>
    </comment>
    <comment authorId="0" ref="I1885">
      <text>
        <t xml:space="preserve">📦EMS EB858203321CN</t>
      </text>
    </comment>
    <comment authorId="0" ref="I828">
      <text>
        <t xml:space="preserve">📮SENT 2026-04-04</t>
      </text>
    </comment>
    <comment authorId="0" ref="I2810">
      <text>
        <t xml:space="preserve">📦 BOSS 📮SENT 2026-06-09</t>
      </text>
    </comment>
    <comment authorId="0" ref="I1753">
      <text>
        <t xml:space="preserve">📦 BOSS 📮SENT 2026-05-12</t>
      </text>
    </comment>
    <comment authorId="0" ref="I696">
      <text>
        <t xml:space="preserve">📦 BOSS 📮SENT 2026-04-14 💰CK 2026-04-26</t>
      </text>
    </comment>
    <comment authorId="0" ref="I564">
      <text>
        <t xml:space="preserve">📮SENT 2026-04-04 💰CK 2026-04-17</t>
      </text>
    </comment>
    <comment authorId="0" ref="I432">
      <text>
        <t xml:space="preserve">📮SENT 2026-03-31 💰CK 2026-04-08</t>
      </text>
    </comment>
    <comment authorId="0" ref="I2414">
      <text>
        <t xml:space="preserve">📦 BOSS 📮SENT 2026-06-09</t>
      </text>
    </comment>
    <comment authorId="0" ref="I1357">
      <text>
        <t xml:space="preserve">📦 BOSS 📮SENT 2026-04-27</t>
      </text>
    </comment>
    <comment authorId="0" ref="I300">
      <text>
        <t xml:space="preserve">📮SENT 2026-04-04 💰CK 2026-05-10</t>
      </text>
    </comment>
    <comment authorId="0" ref="I1225">
      <text>
        <t xml:space="preserve">📦 BOSS 📮SENT 2026-05-07</t>
      </text>
    </comment>
    <comment authorId="0" ref="I168">
      <text>
        <t xml:space="preserve">📮SENT 2026-03-31 💰CK 2026-03-31</t>
      </text>
    </comment>
    <comment authorId="0" ref="I1093">
      <text>
        <t xml:space="preserve">📦 BOSS 📮SENT 2026-04-27 💰CK 2026-05-10</t>
      </text>
    </comment>
    <comment authorId="0" ref="I36">
      <text>
        <t xml:space="preserve">📮SENT 2026-04-15 💰CK 2026-04-20</t>
      </text>
    </comment>
    <comment authorId="0" ref="I961">
      <text>
        <t xml:space="preserve">📦 BOSS 📮SENT 2026-05-07 💰CK 2026-05-08</t>
      </text>
    </comment>
    <comment authorId="0" ref="I829">
      <text>
        <t xml:space="preserve">📦 BOSS 📮SENT 2026-04-27</t>
      </text>
    </comment>
    <comment authorId="0" ref="I2811">
      <text>
        <t xml:space="preserve">📦DƯ</t>
      </text>
    </comment>
    <comment authorId="0" ref="I697">
      <text>
        <t xml:space="preserve">📦 BOSS 📮SENT 2026-04-13 💰CK 2026-05-10</t>
      </text>
    </comment>
    <comment authorId="0" ref="I565">
      <text>
        <t xml:space="preserve">📮SENT 2026-04-04 💰CK 2026-04-17</t>
      </text>
    </comment>
    <comment authorId="0" ref="I433">
      <text>
        <t xml:space="preserve">📦 BOSS 📮SENT 2026-04-12 💰CK 2026-04-26</t>
      </text>
    </comment>
    <comment authorId="0" ref="I1358">
      <text>
        <t xml:space="preserve">📦 BOSS 📮SENT 2026-04-29</t>
      </text>
    </comment>
    <comment authorId="0" ref="I2415">
      <text>
        <t xml:space="preserve">📦 BOSS 📮SENT 2026-05-22</t>
      </text>
    </comment>
    <comment authorId="0" ref="I301">
      <text>
        <t xml:space="preserve">📦 BOSS 📮SENT 2026-04-14 💰CK 2026-04-26</t>
      </text>
    </comment>
    <comment authorId="0" ref="I1226">
      <text>
        <t xml:space="preserve">📦 BOSS 📮SENT 2026-05-09 💰CK 2026-05-10</t>
      </text>
    </comment>
    <comment authorId="0" ref="I169">
      <text>
        <t xml:space="preserve">📮SENT 2026-04-04 💰CK 2026-04-04</t>
      </text>
    </comment>
    <comment authorId="0" ref="I1094">
      <text>
        <t xml:space="preserve">📦 BOSS 📮SENT 2026-04-27 💰CK 2026-05-10</t>
      </text>
    </comment>
    <comment authorId="0" ref="I37">
      <text>
        <t xml:space="preserve">📮SENT 2026-03-31 💰CK 2026-04-02</t>
      </text>
    </comment>
    <comment authorId="0" ref="I962">
      <text>
        <t xml:space="preserve">📦 BOSS 📮SENT 2026-05-07 💰CK 2026-05-08</t>
      </text>
    </comment>
    <comment authorId="0" ref="I830">
      <text>
        <t xml:space="preserve">📦 BOSS 📮SENT 2026-04-18</t>
      </text>
    </comment>
    <comment authorId="0" ref="I2812">
      <text>
        <t xml:space="preserve">📦DƯ</t>
      </text>
    </comment>
    <comment authorId="0" ref="I1755">
      <text>
        <t xml:space="preserve">📦EMS EB858203321CN</t>
      </text>
    </comment>
    <comment authorId="0" ref="I698">
      <text>
        <t xml:space="preserve">📦 BOSS 📮SENT 2026-04-13 💰CK 2026-05-10</t>
      </text>
    </comment>
    <comment authorId="0" ref="I434">
      <text>
        <t xml:space="preserve">📮SENT 2026-04-04 💰CK 2026-04-04</t>
      </text>
    </comment>
    <comment authorId="0" ref="I2416">
      <text>
        <t xml:space="preserve">📦EMS EB859866786CN</t>
      </text>
    </comment>
    <comment authorId="0" ref="I1359">
      <text>
        <t xml:space="preserve">📦 BOSS 📮SENT 2026-04-29</t>
      </text>
    </comment>
    <comment authorId="0" ref="I302">
      <text>
        <t xml:space="preserve">📦EMS EB856696646CN 📮SENT 2026-04-16 💰CK 2026-04-17</t>
      </text>
    </comment>
    <comment authorId="0" ref="I1227">
      <text>
        <t xml:space="preserve">📦 BOSS 📮SENT 2026-05-09 💰CK 2026-05-10</t>
      </text>
    </comment>
    <comment authorId="0" ref="I170">
      <text>
        <t xml:space="preserve">📮SENT 2026-03-31 💰CK 2026-05-06</t>
      </text>
    </comment>
    <comment authorId="0" ref="I1095">
      <text>
        <t xml:space="preserve">📦 BOSS 📮SENT 2026-04-27 💰CK 2026-05-10</t>
      </text>
    </comment>
    <comment authorId="0" ref="I38">
      <text>
        <t xml:space="preserve">📮SENT 2026-03-31 💰CK 2026-04-02</t>
      </text>
    </comment>
    <comment authorId="0" ref="I963">
      <text>
        <t xml:space="preserve">📦 BOSS 📮SENT 2026-04-23 💰CK 2026-04-27</t>
      </text>
    </comment>
    <comment authorId="0" ref="I831">
      <text>
        <t xml:space="preserve">📦 BOSS 📮SENT 2026-04-23</t>
      </text>
    </comment>
    <comment authorId="0" ref="I2813">
      <text>
        <t xml:space="preserve">📦 BOSS 📮SENT 2026-06-04</t>
      </text>
    </comment>
    <comment authorId="0" ref="I699">
      <text>
        <t xml:space="preserve">📦EMS EB856696646CN</t>
      </text>
    </comment>
    <comment authorId="0" ref="I1492">
      <text>
        <t xml:space="preserve">📦 BOSS 📮SENT 2026-05-11</t>
      </text>
    </comment>
    <comment authorId="0" ref="I435">
      <text>
        <t xml:space="preserve">📮SENT 2026-04-04 💰CK 2026-04-11</t>
      </text>
    </comment>
    <comment authorId="0" ref="I1360">
      <text>
        <t xml:space="preserve">📦 BOSS 📮SENT 2026-04-29</t>
      </text>
    </comment>
    <comment authorId="0" ref="I2417">
      <text>
        <t xml:space="preserve">📦EMS EB859866786CN</t>
      </text>
    </comment>
    <comment authorId="0" ref="I303">
      <text>
        <t xml:space="preserve">📮SENT 2026-04-05 💰CK 2026-04-17</t>
      </text>
    </comment>
    <comment authorId="0" ref="I1228">
      <text>
        <t xml:space="preserve">📦 BOSS 📮SENT 2026-05-07 💰CK 2026-05-10</t>
      </text>
    </comment>
    <comment authorId="0" ref="I171">
      <text>
        <t xml:space="preserve">📮SENT 2026-03-31 💰CK 2026-03-31</t>
      </text>
    </comment>
    <comment authorId="0" ref="I1096">
      <text>
        <t xml:space="preserve">📦 BOSS 📮SENT 2026-05-11</t>
      </text>
    </comment>
    <comment authorId="0" ref="I39">
      <text>
        <t xml:space="preserve">📮SENT 2026-03-31 💰CK 2026-03-31</t>
      </text>
    </comment>
    <comment authorId="0" ref="I964">
      <text>
        <t xml:space="preserve">📦 BOSS 📮SENT 2026-04-23 💰CK 2026-04-27</t>
      </text>
    </comment>
    <comment authorId="0" ref="I1889">
      <text>
        <t xml:space="preserve">📦DƯ</t>
      </text>
    </comment>
    <comment authorId="0" ref="I832">
      <text>
        <t xml:space="preserve">📦 BOSS 📮SENT 2026-05-06 💰CK 2026-05-08</t>
      </text>
    </comment>
    <comment authorId="0" ref="I2814">
      <text>
        <t xml:space="preserve">📦DƯ</t>
      </text>
    </comment>
    <comment authorId="0" ref="I1757">
      <text>
        <t xml:space="preserve">📦EMS EB858203321CN</t>
      </text>
    </comment>
    <comment authorId="0" ref="I700">
      <text>
        <t xml:space="preserve">📦 BOSS 📮SENT 2026-04-13 💰CK 2026-04-13</t>
      </text>
    </comment>
    <comment authorId="0" ref="I568">
      <text>
        <t xml:space="preserve">📮SENT 2026-04-04 💰CK 2026-04-08</t>
      </text>
    </comment>
    <comment authorId="0" ref="I1493">
      <text>
        <t xml:space="preserve">📦 BOSS 📮SENT 2026-05-11</t>
      </text>
    </comment>
    <comment authorId="0" ref="I436">
      <text>
        <t xml:space="preserve">📮SENT 2026-04-04 💰CK 2026-04-11</t>
      </text>
    </comment>
    <comment authorId="0" ref="I1361">
      <text>
        <t xml:space="preserve">📦 BOSS 📮SENT 2026-04-29 💰CK 2026-05-10</t>
      </text>
    </comment>
    <comment authorId="0" ref="I304">
      <text>
        <t xml:space="preserve">📮SENT 2026-03-31 💰CK 2026-03-31</t>
      </text>
    </comment>
    <comment authorId="0" ref="I1229">
      <text>
        <t xml:space="preserve">📦 BOSS 📮SENT 2026-05-07 💰CK 2026-05-10</t>
      </text>
    </comment>
    <comment authorId="0" ref="I172">
      <text>
        <t xml:space="preserve">📮SENT 2026-03-31 💰CK 2026-03-31</t>
      </text>
    </comment>
    <comment authorId="0" ref="I1097">
      <text>
        <t xml:space="preserve">📦 BOSS 📮SENT 2026-05-12</t>
      </text>
    </comment>
    <comment authorId="0" ref="I40">
      <text>
        <t xml:space="preserve">📮SENT 2026-03-31 💰CK 2026-03-31</t>
      </text>
    </comment>
    <comment authorId="0" ref="I965">
      <text>
        <t xml:space="preserve">📦 BOSS 📮SENT 2026-05-07 💰CK 2026-05-10</t>
      </text>
    </comment>
    <comment authorId="0" ref="I1890">
      <text>
        <t xml:space="preserve">📦 BOSS 📮SENT 2026-05-12</t>
      </text>
    </comment>
    <comment authorId="0" ref="I833">
      <text>
        <t xml:space="preserve">📦 BOSS 📮SENT 2026-04-27</t>
      </text>
    </comment>
    <comment authorId="0" ref="I1758">
      <text>
        <t xml:space="preserve">📦 BOSS 📮SENT 2026-05-09 💰CK 2026-05-09</t>
      </text>
    </comment>
    <comment authorId="0" ref="I2815">
      <text>
        <t xml:space="preserve">📦 BOSS 📮SENT 2026-06-10</t>
      </text>
    </comment>
    <comment authorId="0" ref="I701">
      <text>
        <t xml:space="preserve">📦EMS EB856696646CN 📮SENT 2026-05-07 💰CK 2026-05-10</t>
      </text>
    </comment>
    <comment authorId="0" ref="I569">
      <text>
        <t xml:space="preserve">📮SENT 2026-04-04 💰CK 2026-04-08</t>
      </text>
    </comment>
    <comment authorId="0" ref="I1494">
      <text>
        <t xml:space="preserve">📦 BOSS 📮SENT 2026-05-11</t>
      </text>
    </comment>
    <comment authorId="0" ref="I437">
      <text>
        <t xml:space="preserve">📦EMS EB856696646CN</t>
      </text>
    </comment>
    <comment authorId="0" ref="I1362">
      <text>
        <t xml:space="preserve">📦 BOSS 📮SENT 2026-04-28 💰CK 2026-05-08</t>
      </text>
    </comment>
    <comment authorId="0" ref="I2419">
      <text>
        <t xml:space="preserve">📦EMS EB859866786CN</t>
      </text>
    </comment>
    <comment authorId="0" ref="I305">
      <text>
        <t xml:space="preserve">📦EMS EB856696646CN</t>
      </text>
    </comment>
    <comment authorId="0" ref="I1230">
      <text>
        <t xml:space="preserve">📦 BOSS 📮SENT 2026-04-29</t>
      </text>
    </comment>
    <comment authorId="0" ref="I173">
      <text>
        <t xml:space="preserve">📮SENT 2026-03-31 💰CK 2026-03-31</t>
      </text>
    </comment>
    <comment authorId="0" ref="I1098">
      <text>
        <t xml:space="preserve">📦 BOSS 📮SENT 2026-05-12</t>
      </text>
    </comment>
    <comment authorId="0" ref="I41">
      <text>
        <t xml:space="preserve">📮SENT 2026-03-31 💰CK 2026-03-31</t>
      </text>
    </comment>
    <comment authorId="0" ref="I966">
      <text>
        <t xml:space="preserve">📦 BOSS 📮SENT 2026-05-07 💰CK 2026-05-10</t>
      </text>
    </comment>
    <comment authorId="0" ref="I2816">
      <text>
        <t xml:space="preserve">📦DƯ</t>
      </text>
    </comment>
    <comment authorId="0" ref="I702">
      <text>
        <t xml:space="preserve">📦 BOSS 📮SENT 2026-04-18 💰CK 2026-04-26</t>
      </text>
    </comment>
    <comment authorId="0" ref="I570">
      <text>
        <t xml:space="preserve">📮SENT 2026-04-04 💰CK 2026-04-11</t>
      </text>
    </comment>
    <comment authorId="0" ref="I1495">
      <text>
        <t xml:space="preserve">📦 BOSS 📮SENT 2026-05-11</t>
      </text>
    </comment>
    <comment authorId="0" ref="I438">
      <text>
        <t xml:space="preserve">📮SENT 2026-04-08 💰CK 2026-04-11</t>
      </text>
    </comment>
    <comment authorId="0" ref="I1363">
      <text>
        <t xml:space="preserve">📦 BOSS 📮SENT 2026-05-09 💰CK 2026-05-09</t>
      </text>
    </comment>
    <comment authorId="0" ref="I306">
      <text>
        <t xml:space="preserve">📦 BOSS 📮SENT 2026-04-13 💰CK 2026-04-26</t>
      </text>
    </comment>
    <comment authorId="0" ref="I1231">
      <text>
        <t xml:space="preserve">📦 BOSS 📮SENT 2026-04-29</t>
      </text>
    </comment>
    <comment authorId="0" ref="I174">
      <text>
        <t xml:space="preserve">📮SENT 2026-03-31 💰CK 2026-05-06</t>
      </text>
    </comment>
    <comment authorId="0" ref="I1099">
      <text>
        <t xml:space="preserve">📦 BOSS 📮SENT 2026-05-12</t>
      </text>
    </comment>
    <comment authorId="0" ref="I42">
      <text>
        <t xml:space="preserve">📮SENT 2026-04-05 💰CK 2026-04-11</t>
      </text>
    </comment>
    <comment authorId="0" ref="I967">
      <text>
        <t xml:space="preserve">📦 BOSS 📮SENT 2026-05-07 💰CK 2026-05-10</t>
      </text>
    </comment>
    <comment authorId="0" ref="I835">
      <text>
        <t xml:space="preserve">📦 BOSS 📮SENT 2026-04-20</t>
      </text>
    </comment>
    <comment authorId="0" ref="I1760">
      <text>
        <t xml:space="preserve">📦 BOSS 📮SENT 2026-05-09</t>
      </text>
    </comment>
    <comment authorId="0" ref="I2817">
      <text>
        <t xml:space="preserve">📦 BOSS 📮SENT 2026-06-09</t>
      </text>
    </comment>
    <comment authorId="0" ref="I703">
      <text>
        <t xml:space="preserve">📦 BOSS 📮SENT 2026-04-12 💰CK 2026-04-12</t>
      </text>
    </comment>
    <comment authorId="0" ref="I571">
      <text>
        <t xml:space="preserve">📮SENT 2026-04-04 💰CK 2026-04-11</t>
      </text>
    </comment>
    <comment authorId="0" ref="I1496">
      <text>
        <t xml:space="preserve">📦 BOSS 📮SENT 2026-05-11</t>
      </text>
    </comment>
    <comment authorId="0" ref="I439">
      <text>
        <t xml:space="preserve">📮SENT 2026-04-04 💰CK 2026-04-11</t>
      </text>
    </comment>
    <comment authorId="0" ref="I2421">
      <text>
        <t xml:space="preserve">📦 BOSS 📮SENT 2026-06-09</t>
      </text>
    </comment>
    <comment authorId="0" ref="I307">
      <text>
        <t xml:space="preserve">📮SENT 2026-03-31 💰CK 2026-04-02</t>
      </text>
    </comment>
    <comment authorId="0" ref="I1232">
      <text>
        <t xml:space="preserve">📦 BOSS 📮SENT 2026-05-08</t>
      </text>
    </comment>
    <comment authorId="0" ref="I175">
      <text>
        <t xml:space="preserve">📮SENT 2026-03-31 💰CK 2026-03-31</t>
      </text>
    </comment>
    <comment authorId="0" ref="I1100">
      <text>
        <t xml:space="preserve">📦 BOSS 📮SENT 2026-05-12</t>
      </text>
    </comment>
    <comment authorId="0" ref="I43">
      <text>
        <t xml:space="preserve">📮SENT 2026-04-05 💰CK 2026-05-10</t>
      </text>
    </comment>
    <comment authorId="0" ref="I968">
      <text>
        <t xml:space="preserve">📦 BOSS 📮SENT 2026-04-20 💰CK 2026-05-10</t>
      </text>
    </comment>
    <comment authorId="0" ref="I836">
      <text>
        <t xml:space="preserve">📮SENT 2026-04-16</t>
      </text>
    </comment>
    <comment authorId="0" ref="I2818">
      <text>
        <t xml:space="preserve">📦 BOSS 📮SENT 2026-06-05</t>
      </text>
    </comment>
    <comment authorId="0" ref="I1761">
      <text>
        <t xml:space="preserve">📦EMS EB858203321CN</t>
      </text>
    </comment>
    <comment authorId="0" ref="I704">
      <text>
        <t xml:space="preserve">📦EMS EB856696646CN 📮SENT 2026-04-16 💰CK 2026-04-26</t>
      </text>
    </comment>
    <comment authorId="0" ref="I440">
      <text>
        <t xml:space="preserve">📦 BOSS 📮SENT 2026-04-12 💰CK 2026-04-12</t>
      </text>
    </comment>
    <comment authorId="0" ref="I2422">
      <text>
        <t xml:space="preserve">📦 BOSS 📮SENT 2026-06-09</t>
      </text>
    </comment>
    <comment authorId="0" ref="I1365">
      <text>
        <t xml:space="preserve">📦 BOSS 📮SENT 2026-05-09 💰CK 2026-05-10</t>
      </text>
    </comment>
    <comment authorId="0" ref="I308">
      <text>
        <t xml:space="preserve">📦 BOSS 📮SENT 2026-04-14 💰CK 2026-04-26</t>
      </text>
    </comment>
    <comment authorId="0" ref="I1233">
      <text>
        <t xml:space="preserve">📦 BOSS 📮SENT 2026-05-08</t>
      </text>
    </comment>
    <comment authorId="0" ref="I176">
      <text>
        <t xml:space="preserve">📮SENT 2026-03-31 💰CK 2026-03-31</t>
      </text>
    </comment>
    <comment authorId="0" ref="I1101">
      <text>
        <t xml:space="preserve">📦 BOSS 📮SENT 2026-04-13 💰CK 2026-04-26</t>
      </text>
    </comment>
    <comment authorId="0" ref="I44">
      <text>
        <t xml:space="preserve">📮SENT 2026-03-31 💰CK 2026-03-31</t>
      </text>
    </comment>
    <comment authorId="0" ref="I969">
      <text>
        <t xml:space="preserve">📦 BOSS 📮SENT 2026-04-20 💰CK 2026-05-10</t>
      </text>
    </comment>
    <comment authorId="0" ref="I1894">
      <text>
        <t xml:space="preserve">📦EMS EB858203321CN</t>
      </text>
    </comment>
    <comment authorId="0" ref="I837">
      <text>
        <t xml:space="preserve">📦EMS EB857164343CN</t>
      </text>
    </comment>
    <comment authorId="0" ref="I2819">
      <text>
        <t xml:space="preserve">📦 BOSS 📮SENT 2026-06-05</t>
      </text>
    </comment>
    <comment authorId="0" ref="I705">
      <text>
        <t xml:space="preserve">📦 BOSS 📮SENT 2026-05-11</t>
      </text>
    </comment>
    <comment authorId="0" ref="I1630">
      <text>
        <t xml:space="preserve">📦 BOSS 📮SENT 2026-05-11</t>
      </text>
    </comment>
    <comment authorId="0" ref="I441">
      <text>
        <t xml:space="preserve">📮SENT 2026-04-08 💰CK 2026-04-11</t>
      </text>
    </comment>
    <comment authorId="0" ref="I1366">
      <text>
        <t xml:space="preserve">📦 BOSS 📮SENT 2026-05-09 💰CK 2026-05-10</t>
      </text>
    </comment>
    <comment authorId="0" ref="I309">
      <text>
        <t xml:space="preserve">📮SENT 2026-04-05 💰CK 2026-04-08</t>
      </text>
    </comment>
    <comment authorId="0" ref="I1234">
      <text>
        <t xml:space="preserve">📦EMS EB857651181CN</t>
      </text>
    </comment>
    <comment authorId="0" ref="I177">
      <text>
        <t xml:space="preserve">📦 BOSS 📮SENT 2026-04-12 💰CK 2026-04-26</t>
      </text>
    </comment>
    <comment authorId="0" ref="I1102">
      <text>
        <t xml:space="preserve">📦 BOSS 📮SENT 2026-04-28</t>
      </text>
    </comment>
    <comment authorId="0" ref="I45">
      <text>
        <t xml:space="preserve">📮SENT 2026-03-31 💰CK 2026-03-31</t>
      </text>
    </comment>
    <comment authorId="0" ref="I970">
      <text>
        <t xml:space="preserve">📦 BOSS 📮SENT 2026-04-20 💰CK 2026-04-21</t>
      </text>
    </comment>
    <comment authorId="0" ref="I838">
      <text>
        <t xml:space="preserve">📦EMS EB857231330CN 📮SENT 2026-05-07 💰CK 2026-05-08</t>
      </text>
    </comment>
    <comment authorId="0" ref="I2820">
      <text>
        <t xml:space="preserve">📦DƯ</t>
      </text>
    </comment>
    <comment authorId="0" ref="I706">
      <text>
        <t xml:space="preserve">📦 BOSS 📮SENT 2026-05-11</t>
      </text>
    </comment>
    <comment authorId="0" ref="I1631">
      <text>
        <t xml:space="preserve">📦 BOSS 📮SENT 2026-05-11</t>
      </text>
    </comment>
    <comment authorId="0" ref="I574">
      <text>
        <t xml:space="preserve">📮SENT 2026-04-04 💰CK 2026-04-08</t>
      </text>
    </comment>
    <comment authorId="0" ref="I442">
      <text>
        <t xml:space="preserve">📮SENT 2026-03-31 💰CK 2026-04-02</t>
      </text>
    </comment>
    <comment authorId="0" ref="I2424">
      <text>
        <t xml:space="preserve">📦EMS EB859866786CN</t>
      </text>
    </comment>
    <comment authorId="0" ref="I1367">
      <text>
        <t xml:space="preserve">📦 BOSS 📮SENT 2026-05-08 💰CK 2026-05-10</t>
      </text>
    </comment>
    <comment authorId="0" ref="I310">
      <text>
        <t xml:space="preserve">📮SENT 2026-03-31 💰CK 2026-04-08</t>
      </text>
    </comment>
    <comment authorId="0" ref="I1235">
      <text>
        <t xml:space="preserve">📦 BOSS 📮SENT 2026-05-07</t>
      </text>
    </comment>
    <comment authorId="0" ref="I178">
      <text>
        <t xml:space="preserve">📮SENT 2026-03-31 💰CK 2026-03-31</t>
      </text>
    </comment>
    <comment authorId="0" ref="I1103">
      <text>
        <t xml:space="preserve">📦 BOSS 📮SENT 2026-04-27 💰CK 2026-05-10</t>
      </text>
    </comment>
    <comment authorId="0" ref="I46">
      <text>
        <t xml:space="preserve">📮SENT 2026-04-04 💰CK 2026-04-04</t>
      </text>
    </comment>
    <comment authorId="0" ref="I971">
      <text>
        <t xml:space="preserve">📦 BOSS 📮SENT 2026-04-20 💰CK 2026-04-21</t>
      </text>
    </comment>
    <comment authorId="0" ref="I839">
      <text>
        <t xml:space="preserve">📦 BOSS 📮SENT 2026-04-20</t>
      </text>
    </comment>
    <comment authorId="0" ref="I2821">
      <text>
        <t xml:space="preserve">📦DƯ</t>
      </text>
    </comment>
    <comment authorId="0" ref="I707">
      <text>
        <t xml:space="preserve">📦 BOSS 📮SENT 2026-04-21 💰CK 2026-05-10</t>
      </text>
    </comment>
    <comment authorId="0" ref="I575">
      <text>
        <t xml:space="preserve">📮SENT 2026-04-04 💰CK 2026-04-08</t>
      </text>
    </comment>
    <comment authorId="0" ref="I1500">
      <text>
        <t xml:space="preserve">📦 BOSS 📮SENT 2026-05-09 💰CK 2026-05-10</t>
      </text>
    </comment>
    <comment authorId="0" ref="I443">
      <text>
        <t xml:space="preserve">📮SENT 2026-04-05</t>
      </text>
    </comment>
    <comment authorId="0" ref="I1368">
      <text>
        <t xml:space="preserve">📦 BOSS 📮SENT 2026-05-08 💰CK 2026-05-10</t>
      </text>
    </comment>
    <comment authorId="0" ref="I311">
      <text>
        <t xml:space="preserve">📦EMS EB856696646CN</t>
      </text>
    </comment>
    <comment authorId="0" ref="I1236">
      <text>
        <t xml:space="preserve">📦 BOSS 📮SENT 2026-05-07</t>
      </text>
    </comment>
    <comment authorId="0" ref="I2293">
      <text>
        <t xml:space="preserve">📦EMS EB859424465CN</t>
      </text>
    </comment>
    <comment authorId="0" ref="I1104">
      <text>
        <t xml:space="preserve">📦 BOSS 📮SENT 2026-04-27 💰CK 2026-05-10</t>
      </text>
    </comment>
    <comment authorId="0" ref="I47">
      <text>
        <t xml:space="preserve">📮SENT 2026-04-21 💰CK 2026-04-21</t>
      </text>
    </comment>
    <comment authorId="0" ref="I972">
      <text>
        <t xml:space="preserve">📦 BOSS 📮SENT 2026-04-23</t>
      </text>
    </comment>
    <comment authorId="0" ref="I1897">
      <text>
        <t xml:space="preserve">📦EMS EB858203321CN</t>
      </text>
    </comment>
    <comment authorId="0" ref="I840">
      <text>
        <t xml:space="preserve">📦EMS EB857164343CN</t>
      </text>
    </comment>
    <comment authorId="0" ref="I2822">
      <text>
        <t xml:space="preserve">📦 BOSS 📮SENT 2026-06-09</t>
      </text>
    </comment>
    <comment authorId="0" ref="I708">
      <text>
        <t xml:space="preserve">📦 BOSS 📮SENT 2026-04-14 💰CK 2026-05-10</t>
      </text>
    </comment>
    <comment authorId="0" ref="I576">
      <text>
        <t xml:space="preserve">📮SENT 2026-04-16 💰CK 2026-04-26</t>
      </text>
    </comment>
    <comment authorId="0" ref="I1501">
      <text>
        <t xml:space="preserve">📦 BOSS 📮SENT 2026-05-09 💰CK 2026-05-10</t>
      </text>
    </comment>
    <comment authorId="0" ref="I444">
      <text>
        <t xml:space="preserve">📮SENT 2026-04-04 💰CK 2026-04-08</t>
      </text>
    </comment>
    <comment authorId="0" ref="I2426">
      <text>
        <t xml:space="preserve">📦EMS EB859866786CN</t>
      </text>
    </comment>
    <comment authorId="0" ref="I312">
      <text>
        <t xml:space="preserve">📮SENT 2026-04-08 💰CK 2026-04-17</t>
      </text>
    </comment>
    <comment authorId="0" ref="I2294">
      <text>
        <t xml:space="preserve">📦EMS EB859866786CN</t>
      </text>
    </comment>
    <comment authorId="0" ref="I1237">
      <text>
        <t xml:space="preserve">📦 BOSS 📮SENT 2026-05-12</t>
      </text>
    </comment>
    <comment authorId="0" ref="I180">
      <text>
        <t xml:space="preserve">📮SENT 2026-03-31 💰CK 2026-03-31</t>
      </text>
    </comment>
    <comment authorId="0" ref="I1105">
      <text>
        <t xml:space="preserve">📦 BOSS 📮SENT 2026-04-12 💰CK 2026-04-26</t>
      </text>
    </comment>
    <comment authorId="0" ref="I48">
      <text>
        <t xml:space="preserve">📮SENT 2026-03-31 💰CK 2026-04-02</t>
      </text>
    </comment>
    <comment authorId="0" ref="I973">
      <text>
        <t xml:space="preserve">📦 BOSS 📮SENT 2026-04-23</t>
      </text>
    </comment>
    <comment authorId="0" ref="I841">
      <text>
        <t xml:space="preserve">📦 BOSS 📮SENT 2026-04-23</t>
      </text>
    </comment>
    <comment authorId="0" ref="I2823">
      <text>
        <t xml:space="preserve">📦DƯ</t>
      </text>
    </comment>
    <comment authorId="0" ref="I709">
      <text>
        <t xml:space="preserve">📦 BOSS 📮SENT 2026-04-14</t>
      </text>
    </comment>
    <comment authorId="0" ref="I577">
      <text>
        <t xml:space="preserve">📮SENT 2026-04-16 💰CK 2026-04-26</t>
      </text>
    </comment>
    <comment authorId="0" ref="I1502">
      <text>
        <t xml:space="preserve">📦 BOSS 📮SENT 2026-05-11</t>
      </text>
    </comment>
    <comment authorId="0" ref="I445">
      <text>
        <t xml:space="preserve">📮SENT 2026-04-04 💰CK 2026-04-08</t>
      </text>
    </comment>
    <comment authorId="0" ref="I1370">
      <text>
        <t xml:space="preserve">📦 BOSS 📮SENT 2026-05-11</t>
      </text>
    </comment>
    <comment authorId="0" ref="I313">
      <text>
        <t xml:space="preserve">📦 BOSS 📮SENT 2026-04-23 💰CK 2026-04-26</t>
      </text>
    </comment>
    <comment authorId="0" ref="I1238">
      <text>
        <t xml:space="preserve">📦 BOSS 📮SENT 2026-05-12</t>
      </text>
    </comment>
    <comment authorId="0" ref="I2295">
      <text>
        <t xml:space="preserve">📦EMS EB859866786CN</t>
      </text>
    </comment>
    <comment authorId="0" ref="I181">
      <text>
        <t xml:space="preserve">📮SENT 2026-03-31 💰CK 2026-03-31</t>
      </text>
    </comment>
    <comment authorId="0" ref="I1106">
      <text>
        <t xml:space="preserve">📦EMS EB857551400CN/EB857551736CN 📮SENT 2026-05-07</t>
      </text>
    </comment>
    <comment authorId="0" ref="I49">
      <text>
        <t xml:space="preserve">📮SENT 2026-03-31 💰CK 2026-03-31</t>
      </text>
    </comment>
    <comment authorId="0" ref="I974">
      <text>
        <t xml:space="preserve">📦EMS EB857015049CN 💰CK 2026-05-06</t>
      </text>
    </comment>
    <comment authorId="0" ref="I1899">
      <text>
        <t xml:space="preserve">📦EMS EB858203321CN</t>
      </text>
    </comment>
    <comment authorId="0" ref="I2824">
      <text>
        <t xml:space="preserve">📦 BOSS 📮SENT 2026-06-10</t>
      </text>
    </comment>
    <comment authorId="0" ref="I1767">
      <text>
        <t xml:space="preserve">📦EMS EB858203321CN</t>
      </text>
    </comment>
    <comment authorId="0" ref="I710">
      <text>
        <t xml:space="preserve">📦 BOSS 📮SENT 2026-04-18 💰CK 2026-04-26</t>
      </text>
    </comment>
    <comment authorId="0" ref="I578">
      <text>
        <t xml:space="preserve">📮SENT 2026-04-16 💰CK 2026-04-26</t>
      </text>
    </comment>
    <comment authorId="0" ref="I1503">
      <text>
        <t xml:space="preserve">📦 BOSS 📮SENT 2026-05-11</t>
      </text>
    </comment>
    <comment authorId="0" ref="I446">
      <text>
        <t xml:space="preserve">📦 BOSS 📮SENT 2026-04-12 💰CK 2026-05-10</t>
      </text>
    </comment>
    <comment authorId="0" ref="I1371">
      <text>
        <t xml:space="preserve">📦 BOSS 📮SENT 2026-05-11</t>
      </text>
    </comment>
    <comment authorId="0" ref="I1239">
      <text>
        <t xml:space="preserve">📦 BOSS 📮SENT 2026-05-12</t>
      </text>
    </comment>
    <comment authorId="0" ref="I182">
      <text>
        <t xml:space="preserve">📮SENT 2026-03-31 💰CK 2026-03-31</t>
      </text>
    </comment>
    <comment authorId="0" ref="I1107">
      <text>
        <t xml:space="preserve">📦 BOSS 📮SENT 2026-04-28 💰CK 2026-05-10</t>
      </text>
    </comment>
    <comment authorId="0" ref="I50">
      <text>
        <t xml:space="preserve">📮SENT 2026-03-31 💰CK 2026-03-31</t>
      </text>
    </comment>
    <comment authorId="0" ref="I975">
      <text>
        <t xml:space="preserve">📦EMS EB857164343CN 💰CK 2026-05-06</t>
      </text>
    </comment>
    <comment authorId="0" ref="I843">
      <text>
        <t xml:space="preserve">📦EMS EB857446239CN</t>
      </text>
    </comment>
    <comment authorId="0" ref="I1768">
      <text>
        <t xml:space="preserve">📦EMS EB858203321CN</t>
      </text>
    </comment>
    <comment authorId="0" ref="I2825">
      <text>
        <t xml:space="preserve">📦DƯ</t>
      </text>
    </comment>
    <comment authorId="0" ref="I711">
      <text>
        <t xml:space="preserve">📦 BOSS 📮SENT 2026-04-13 💰CK 2026-05-10</t>
      </text>
    </comment>
    <comment authorId="0" ref="I1636">
      <text>
        <t xml:space="preserve">📦 BOSS 📮SENT 2026-05-11</t>
      </text>
    </comment>
    <comment authorId="0" ref="I579">
      <text>
        <t xml:space="preserve">📮SENT 2026-04-16 💰CK 2026-04-26</t>
      </text>
    </comment>
    <comment authorId="0" ref="I447">
      <text>
        <t xml:space="preserve">📮SENT 2026-04-16 💰CK 2026-04-22</t>
      </text>
    </comment>
    <comment authorId="0" ref="I2429">
      <text>
        <t xml:space="preserve">📦 BOSS 📮SENT 2026-05-24</t>
      </text>
    </comment>
    <comment authorId="0" ref="I315">
      <text>
        <t xml:space="preserve">📦 BOSS 📮SENT 2026-04-14 💰CK 2026-04-14</t>
      </text>
    </comment>
    <comment authorId="0" ref="I1240">
      <text>
        <t xml:space="preserve">📦 BOSS 📮SENT 2026-05-12</t>
      </text>
    </comment>
    <comment authorId="0" ref="I1108">
      <text>
        <t xml:space="preserve">📦 BOSS 📮SENT 2026-04-27 💰CK 2026-04-27</t>
      </text>
    </comment>
    <comment authorId="0" ref="I51">
      <text>
        <t xml:space="preserve">📮SENT 2026-03-31 💰CK 2026-04-02</t>
      </text>
    </comment>
    <comment authorId="0" ref="I976">
      <text>
        <t xml:space="preserve">📦 BOSS 📮SENT 2026-04-20 💰CK 2026-04-26</t>
      </text>
    </comment>
    <comment authorId="0" ref="I844">
      <text>
        <t xml:space="preserve">📦EMS EB857015049CN</t>
      </text>
    </comment>
    <comment authorId="0" ref="I2826">
      <text>
        <t xml:space="preserve">📦DƯ</t>
      </text>
    </comment>
    <comment authorId="0" ref="I1769">
      <text>
        <t xml:space="preserve">📦EMS EB858203321CN</t>
      </text>
    </comment>
    <comment authorId="0" ref="I712">
      <text>
        <t xml:space="preserve">📦 BOSS 📮SENT 2026-04-13 💰CK 2026-05-10</t>
      </text>
    </comment>
    <comment authorId="0" ref="I1637">
      <text>
        <t xml:space="preserve">📦 BOSS 📮SENT 2026-05-11</t>
      </text>
    </comment>
    <comment authorId="0" ref="I580">
      <text>
        <t xml:space="preserve">📮SENT 2026-04-05 💰CK 2026-05-10</t>
      </text>
    </comment>
    <comment authorId="0" ref="I448">
      <text>
        <t xml:space="preserve">📮SENT 2026-04-04</t>
      </text>
    </comment>
    <comment authorId="0" ref="I2430">
      <text>
        <t xml:space="preserve">📦 BOSS 📮SENT 2026-05-24</t>
      </text>
    </comment>
    <comment authorId="0" ref="I1373">
      <text>
        <t xml:space="preserve">📮SENT 2026-04-16 💰CK 2026-05-10</t>
      </text>
    </comment>
    <comment authorId="0" ref="I316">
      <text>
        <t xml:space="preserve">📮SENT 2026-03-31 💰CK 2026-04-02</t>
      </text>
    </comment>
    <comment authorId="0" ref="I184">
      <text>
        <t xml:space="preserve">📮SENT 2026-03-31 💰CK 2026-03-31</t>
      </text>
    </comment>
    <comment authorId="0" ref="I1109">
      <text>
        <t xml:space="preserve">📦 BOSS 📮SENT 2026-04-27 💰CK 2026-04-27</t>
      </text>
    </comment>
    <comment authorId="0" ref="I52">
      <text>
        <t xml:space="preserve">📮SENT 2026-03-31 💰CK 2026-05-06</t>
      </text>
    </comment>
    <comment authorId="0" ref="I977">
      <text>
        <t xml:space="preserve">📦 BOSS 📮SENT 2026-04-20 💰CK 2026-04-26</t>
      </text>
    </comment>
    <comment authorId="0" ref="I845">
      <text>
        <t xml:space="preserve">📦 BOSS 📮SENT 2026-04-28</t>
      </text>
    </comment>
    <comment authorId="0" ref="I1770">
      <text>
        <t xml:space="preserve">📦EMS EB858203321CN</t>
      </text>
    </comment>
    <comment authorId="0" ref="I2827">
      <text>
        <t xml:space="preserve">📦 BOSS 📮SENT 2026-06-04</t>
      </text>
    </comment>
    <comment authorId="0" ref="I713">
      <text>
        <t xml:space="preserve">📦 BOSS 📮SENT 2026-04-20 💰CK 2026-04-26</t>
      </text>
    </comment>
    <comment authorId="0" ref="I581">
      <text>
        <t xml:space="preserve">📮SENT 2026-04-05 💰CK 2026-05-10</t>
      </text>
    </comment>
    <comment authorId="0" ref="I449">
      <text>
        <t xml:space="preserve">📮SENT 2026-04-08 💰CK 2026-04-11</t>
      </text>
    </comment>
    <comment authorId="0" ref="I1374">
      <text>
        <t xml:space="preserve">📦 BOSS 📮SENT 2026-05-07 💰CK 2026-05-10</t>
      </text>
    </comment>
    <comment authorId="0" ref="I2431">
      <text>
        <t xml:space="preserve">📦 BOSS 📮SENT 2026-06-09</t>
      </text>
    </comment>
    <comment authorId="0" ref="I317">
      <text>
        <t xml:space="preserve">📮SENT 2026-04-08 💰CK 2026-04-11</t>
      </text>
    </comment>
    <comment authorId="0" ref="I1242">
      <text>
        <t xml:space="preserve">📦EMS EB857651181CN</t>
      </text>
    </comment>
    <comment authorId="0" ref="I185">
      <text>
        <t xml:space="preserve">📮SENT 2026-04-05 💰CK 2026-04-11</t>
      </text>
    </comment>
    <comment authorId="0" ref="I1110">
      <text>
        <t xml:space="preserve">📦 BOSS 📮SENT 2026-04-27 💰CK 2026-04-27</t>
      </text>
    </comment>
    <comment authorId="0" ref="I53">
      <text>
        <t xml:space="preserve">📮SENT 2026-03-31 💰CK 2026-05-06</t>
      </text>
    </comment>
    <comment authorId="0" ref="I978">
      <text>
        <t xml:space="preserve">📦 BOSS 📮SENT 2026-04-20 💰CK 2026-04-26</t>
      </text>
    </comment>
    <comment authorId="0" ref="I846">
      <text>
        <t xml:space="preserve">📦 BOSS 📮SENT 2026-04-27 💰CK 2026-05-10</t>
      </text>
    </comment>
    <comment authorId="0" ref="I2828">
      <text>
        <t xml:space="preserve">📦 BOSS 📮SENT 2026-06-04 💰CK 2026-06-08</t>
      </text>
    </comment>
    <comment authorId="0" ref="I714">
      <text>
        <t xml:space="preserve">📦 BOSS 📮SENT 2026-04-12 💰CK 2026-04-16</t>
      </text>
    </comment>
    <comment authorId="0" ref="I582">
      <text>
        <t xml:space="preserve">📮SENT 2026-04-04 💰CK 2026-04-11</t>
      </text>
    </comment>
    <comment authorId="0" ref="I450">
      <text>
        <t xml:space="preserve">📮SENT 2026-04-04 💰CK 2026-04-08</t>
      </text>
    </comment>
    <comment authorId="0" ref="I2432">
      <text>
        <t xml:space="preserve">📦 BOSS 📮SENT 2026-06-09</t>
      </text>
    </comment>
    <comment authorId="0" ref="I1375">
      <text>
        <t xml:space="preserve">📦 BOSS 📮SENT 2026-05-07 💰CK 2026-05-10</t>
      </text>
    </comment>
    <comment authorId="0" ref="I318">
      <text>
        <t xml:space="preserve">📮SENT 2026-03-31 💰CK 2026-04-02</t>
      </text>
    </comment>
    <comment authorId="0" ref="I1243">
      <text>
        <t xml:space="preserve">📦 BOSS 📮SENT 2026-05-07 💰CK 2026-05-08</t>
      </text>
    </comment>
    <comment authorId="0" ref="I186">
      <text>
        <t xml:space="preserve">📮SENT 2026-03-31</t>
      </text>
    </comment>
    <comment authorId="0" ref="I1111">
      <text>
        <t xml:space="preserve">📦 BOSS 📮SENT 2026-04-27 💰CK 2026-04-27</t>
      </text>
    </comment>
    <comment authorId="0" ref="I54">
      <text>
        <t xml:space="preserve">📮SENT 2026-03-31 💰CK 2026-04-02</t>
      </text>
    </comment>
    <comment authorId="0" ref="I979">
      <text>
        <t xml:space="preserve">📦 BOSS 📮SENT 2026-04-23 💰CK 2026-04-26</t>
      </text>
    </comment>
    <comment authorId="0" ref="I847">
      <text>
        <t xml:space="preserve">📦 BOSS 📮SENT 2026-04-21</t>
      </text>
    </comment>
    <comment authorId="0" ref="I2829">
      <text>
        <t xml:space="preserve">📦 BOSS 📮SENT 2026-06-09</t>
      </text>
    </comment>
    <comment authorId="0" ref="I715">
      <text>
        <t xml:space="preserve">📦 BOSS 📮SENT 2026-04-12 💰CK 2026-04-16</t>
      </text>
    </comment>
    <comment authorId="0" ref="I583">
      <text>
        <t xml:space="preserve">📮SENT 2026-04-04 💰CK 2026-04-11</t>
      </text>
    </comment>
    <comment authorId="0" ref="I451">
      <text>
        <t xml:space="preserve">📮SENT 2026-04-04 💰CK 2026-04-08</t>
      </text>
    </comment>
    <comment authorId="0" ref="I1376">
      <text>
        <t xml:space="preserve">📦 BOSS 📮SENT 2026-05-07 💰CK 2026-05-10</t>
      </text>
    </comment>
    <comment authorId="0" ref="I2433">
      <text>
        <t xml:space="preserve">📦 BOSS 📮SENT 2026-05-24</t>
      </text>
    </comment>
    <comment authorId="0" ref="I319">
      <text>
        <t xml:space="preserve">📮SENT 2026-03-31 💰CK 2026-04-02</t>
      </text>
    </comment>
    <comment authorId="0" ref="I1244">
      <text>
        <t xml:space="preserve">📦 BOSS 📮SENT 2026-05-07 💰CK 2026-05-08</t>
      </text>
    </comment>
    <comment authorId="0" ref="I2301">
      <text>
        <t xml:space="preserve">📦EMS EB859866786CN</t>
      </text>
    </comment>
    <comment authorId="0" ref="I187">
      <text>
        <t xml:space="preserve">📦 BOSS 📮SENT 2026-04-12 💰CK 2026-04-26</t>
      </text>
    </comment>
    <comment authorId="0" ref="I1112">
      <text>
        <t xml:space="preserve">📦 BOSS 📮SENT 2026-04-27 💰CK 2026-04-27</t>
      </text>
    </comment>
    <comment authorId="0" ref="I55">
      <text>
        <t xml:space="preserve">📮SENT 2026-03-31 💰CK 2026-03-31</t>
      </text>
    </comment>
    <comment authorId="0" ref="I980">
      <text>
        <t xml:space="preserve">📦 BOSS 📮SENT 2026-04-23 💰CK 2026-04-26</t>
      </text>
    </comment>
    <comment authorId="0" ref="I1905">
      <text>
        <t xml:space="preserve">📦EMS EB858203321CN</t>
      </text>
    </comment>
    <comment authorId="0" ref="I848">
      <text>
        <t xml:space="preserve">📦 BOSS 📮SENT 2026-04-18</t>
      </text>
    </comment>
    <comment authorId="0" ref="I716">
      <text>
        <t xml:space="preserve">📦 BOSS 📮SENT 2026-04-20</t>
      </text>
    </comment>
    <comment authorId="0" ref="I584">
      <text>
        <t xml:space="preserve">📮SENT 2026-04-04 💰CK 2026-04-11</t>
      </text>
    </comment>
    <comment authorId="0" ref="I452">
      <text>
        <t xml:space="preserve">📮SENT 2026-04-04</t>
      </text>
    </comment>
    <comment authorId="0" ref="I2434">
      <text>
        <t xml:space="preserve">📦 BOSS 📮SENT 2026-06-10</t>
      </text>
    </comment>
    <comment authorId="0" ref="I1377">
      <text>
        <t xml:space="preserve">📦 BOSS 📮SENT 2026-04-29 💰CK 2026-05-10</t>
      </text>
    </comment>
    <comment authorId="0" ref="I320">
      <text>
        <t xml:space="preserve">📮SENT 2026-04-05 💰CK 2026-04-17</t>
      </text>
    </comment>
    <comment authorId="0" ref="I2302">
      <text>
        <t xml:space="preserve">📦EMS EB859424465CN</t>
      </text>
    </comment>
    <comment authorId="0" ref="I1245">
      <text>
        <t xml:space="preserve">📦EMS EB857651181CN</t>
      </text>
    </comment>
    <comment authorId="0" ref="I188">
      <text>
        <t xml:space="preserve">📦 BOSS 📮SENT 2026-04-18 💰CK 2026-05-10</t>
      </text>
    </comment>
    <comment authorId="0" ref="I1113">
      <text>
        <t xml:space="preserve">📦 BOSS 📮SENT 2026-04-27 💰CK 2026-04-27</t>
      </text>
    </comment>
    <comment authorId="0" ref="I56">
      <text>
        <t xml:space="preserve">📮SENT 2026-03-31 💰CK 2026-03-31</t>
      </text>
    </comment>
    <comment authorId="0" ref="I981">
      <text>
        <t xml:space="preserve">📦 BOSS 📮SENT 2026-04-18</t>
      </text>
    </comment>
    <comment authorId="0" ref="I1906">
      <text>
        <t xml:space="preserve">📦EMS EB858203321CN</t>
      </text>
    </comment>
    <comment authorId="0" ref="I849">
      <text>
        <t xml:space="preserve">📦EMS EB857231330CN</t>
      </text>
    </comment>
    <comment authorId="0" ref="I717">
      <text>
        <t xml:space="preserve">📦 BOSS 📮SENT 2026-04-14 💰CK 2026-04-26</t>
      </text>
    </comment>
    <comment authorId="0" ref="I585">
      <text>
        <t xml:space="preserve">📮SENT 2026-04-04 💰CK 2026-04-11</t>
      </text>
    </comment>
    <comment authorId="0" ref="I453">
      <text>
        <t xml:space="preserve">📮SENT 2026-04-04</t>
      </text>
    </comment>
    <comment authorId="0" ref="I1378">
      <text>
        <t xml:space="preserve">📦 BOSS 📮SENT 2026-04-29 💰CK 2026-05-10</t>
      </text>
    </comment>
    <comment authorId="0" ref="I2435">
      <text>
        <t xml:space="preserve">📦 BOSS 📮SENT 2026-06-10</t>
      </text>
    </comment>
    <comment authorId="0" ref="I321">
      <text>
        <t xml:space="preserve">📮SENT 2026-03-31 💰CK 2026-03-31</t>
      </text>
    </comment>
    <comment authorId="0" ref="I2303">
      <text>
        <t xml:space="preserve">📦EMS EB859424465CN</t>
      </text>
    </comment>
    <comment authorId="0" ref="I189">
      <text>
        <t xml:space="preserve">📮SENT 2026-03-31 💰CK 2026-03-31</t>
      </text>
    </comment>
    <comment authorId="0" ref="I1114">
      <text>
        <t xml:space="preserve">📦 BOSS 📮SENT 2026-04-27 💰CK 2026-04-27</t>
      </text>
    </comment>
    <comment authorId="0" ref="I57">
      <text>
        <t xml:space="preserve">📮SENT 2026-04-16 💰CK 2026-04-22</t>
      </text>
    </comment>
    <comment authorId="0" ref="I982">
      <text>
        <t xml:space="preserve">📦 BOSS 📮SENT 2026-04-27 💰CK 2026-04-27</t>
      </text>
    </comment>
    <comment authorId="0" ref="I850">
      <text>
        <t xml:space="preserve">📮SENT 2026-04-16</t>
      </text>
    </comment>
    <comment authorId="0" ref="I2832">
      <text>
        <t xml:space="preserve">📦 BOSS 📮SENT 2026-06-05</t>
      </text>
    </comment>
    <comment authorId="0" ref="I718">
      <text>
        <t xml:space="preserve">📦 BOSS 📮SENT 2026-04-14 💰CK 2026-04-26</t>
      </text>
    </comment>
    <comment authorId="0" ref="I586">
      <text>
        <t xml:space="preserve">📮SENT 2026-04-04 💰CK 2026-04-11</t>
      </text>
    </comment>
    <comment authorId="0" ref="I454">
      <text>
        <t xml:space="preserve">📮SENT 2026-04-04 💰CK 2026-04-08</t>
      </text>
    </comment>
    <comment authorId="0" ref="I2436">
      <text>
        <t xml:space="preserve">📦 BOSS 📮SENT 2026-05-24</t>
      </text>
    </comment>
    <comment authorId="0" ref="I1379">
      <text>
        <t xml:space="preserve">📦 BOSS 📮SENT 2026-05-11</t>
      </text>
    </comment>
    <comment authorId="0" ref="I322">
      <text>
        <t xml:space="preserve">📮SENT 2026-03-31 💰CK 2026-04-02</t>
      </text>
    </comment>
    <comment authorId="0" ref="I2304">
      <text>
        <t xml:space="preserve">📦DƯ 📦EMS EB858544970CN</t>
      </text>
    </comment>
    <comment authorId="0" ref="I1247">
      <text>
        <t xml:space="preserve">📦 BOSS 📮SENT 2026-05-11</t>
      </text>
    </comment>
    <comment authorId="0" ref="I190">
      <text>
        <t xml:space="preserve">📮SENT 2026-03-31 💰CK 2026-03-31</t>
      </text>
    </comment>
    <comment authorId="0" ref="I1115">
      <text>
        <t xml:space="preserve">📦 BOSS 📮SENT 2026-04-29 💰CK 2026-05-06</t>
      </text>
    </comment>
    <comment authorId="0" ref="I58">
      <text>
        <t xml:space="preserve">📮SENT 2026-03-31 💰CK 2026-04-11</t>
      </text>
    </comment>
    <comment authorId="0" ref="I983">
      <text>
        <t xml:space="preserve">📦EMS EB857551400CN/EB857551736CN</t>
      </text>
    </comment>
    <comment authorId="0" ref="I851">
      <text>
        <t xml:space="preserve">📦 BOSS 📮SENT 2026-04-18</t>
      </text>
    </comment>
    <comment authorId="0" ref="I2833">
      <text>
        <t xml:space="preserve">📦DƯ</t>
      </text>
    </comment>
    <comment authorId="0" ref="I719">
      <text>
        <t xml:space="preserve">📦 BOSS 📮SENT 2026-04-20 💰CK 2026-04-26</t>
      </text>
    </comment>
    <comment authorId="0" ref="I587">
      <text>
        <t xml:space="preserve">📮SENT 2026-04-04 💰CK 2026-04-11</t>
      </text>
    </comment>
    <comment authorId="0" ref="I455">
      <text>
        <t xml:space="preserve">📮SENT 2026-04-04 💰CK 2026-04-08</t>
      </text>
    </comment>
    <comment authorId="0" ref="I1380">
      <text>
        <t xml:space="preserve">📦 BOSS 📮SENT 2026-05-11</t>
      </text>
    </comment>
    <comment authorId="0" ref="I323">
      <text>
        <t xml:space="preserve">📮SENT 2026-03-31 💰CK 2026-04-02</t>
      </text>
    </comment>
    <comment authorId="0" ref="I2305">
      <text>
        <t xml:space="preserve">📦 BOSS 📮SENT 2026-05-24</t>
      </text>
    </comment>
    <comment authorId="0" ref="I191">
      <text>
        <t xml:space="preserve">📮SENT 2026-04-04 💰CK 2026-04-04</t>
      </text>
    </comment>
    <comment authorId="0" ref="I1116">
      <text>
        <t xml:space="preserve">📦 BOSS 📮SENT 2026-05-07 💰CK 2026-05-10</t>
      </text>
    </comment>
    <comment authorId="0" ref="I59">
      <text>
        <t xml:space="preserve">📮SENT 2026-04-04 💰CK 2026-04-04</t>
      </text>
    </comment>
    <comment authorId="0" ref="I984">
      <text>
        <t xml:space="preserve">📦 BOSS 📮SENT 2026-04-18</t>
      </text>
    </comment>
    <comment authorId="0" ref="I852">
      <text>
        <t xml:space="preserve">📦 BOSS 📮SENT 2026-04-18</t>
      </text>
    </comment>
    <comment authorId="0" ref="I2834">
      <text>
        <t xml:space="preserve">📦 BOSS 📮SENT 2026-06-05</t>
      </text>
    </comment>
    <comment authorId="0" ref="I720">
      <text>
        <t xml:space="preserve">📦 BOSS 📮SENT 2026-04-13 💰CK 2026-05-10</t>
      </text>
    </comment>
    <comment authorId="0" ref="I456">
      <text>
        <t xml:space="preserve">📮SENT 2026-04-04 💰CK 2026-04-08</t>
      </text>
    </comment>
    <comment authorId="0" ref="I324">
      <text>
        <t xml:space="preserve">📮SENT 2026-03-31 💰CK 2026-03-31</t>
      </text>
    </comment>
    <comment authorId="0" ref="I2306">
      <text>
        <t xml:space="preserve">📦 BOSS 📮SENT 2026-06-01</t>
      </text>
    </comment>
    <comment authorId="0" ref="I192">
      <text>
        <t xml:space="preserve">📮SENT 2026-04-08 💰CK 2026-04-08</t>
      </text>
    </comment>
    <comment authorId="0" ref="I2174">
      <text>
        <t xml:space="preserve">📦 BOSS 📮SENT 2026-06-10</t>
      </text>
    </comment>
    <comment authorId="0" ref="I1117">
      <text>
        <t xml:space="preserve">📦EMS EB857651181CN</t>
      </text>
    </comment>
    <comment authorId="0" ref="I60">
      <text>
        <t xml:space="preserve">📦 BOSS 📮SENT 2026-04-12 💰CK 2026-04-12</t>
      </text>
    </comment>
    <comment authorId="0" ref="I985">
      <text>
        <t xml:space="preserve">📦 BOSS 📮SENT 2026-04-18</t>
      </text>
    </comment>
    <comment authorId="0" ref="I1910">
      <text>
        <t xml:space="preserve">📦EMS EB858203321CN</t>
      </text>
    </comment>
    <comment authorId="0" ref="I853">
      <text>
        <t xml:space="preserve">📦 BOSS 📮SENT 2026-04-21 💰CK 2026-04-26</t>
      </text>
    </comment>
    <comment authorId="0" ref="I2835">
      <text>
        <t xml:space="preserve">📦 BOSS 📮SENT 2026-06-05</t>
      </text>
    </comment>
    <comment authorId="0" ref="I721">
      <text>
        <t xml:space="preserve">📦 BOSS 📮SENT 2026-04-13 💰CK 2026-05-10</t>
      </text>
    </comment>
    <comment authorId="0" ref="I1646">
      <text>
        <t xml:space="preserve">📦 BOSS 📮SENT 2026-05-09</t>
      </text>
    </comment>
    <comment authorId="0" ref="I589">
      <text>
        <t xml:space="preserve">📮SENT 2026-04-12 💰CK 2026-05-10</t>
      </text>
    </comment>
    <comment authorId="0" ref="I457">
      <text>
        <t xml:space="preserve">📮SENT 2026-04-04 💰CK 2026-04-08</t>
      </text>
    </comment>
    <comment authorId="0" ref="I325">
      <text>
        <t xml:space="preserve">📮SENT 2026-03-31 💰CK 2026-03-31</t>
      </text>
    </comment>
    <comment authorId="0" ref="I1250">
      <text>
        <t xml:space="preserve">📦 BOSS 📮SENT 2026-05-08</t>
      </text>
    </comment>
    <comment authorId="0" ref="I2307">
      <text>
        <t xml:space="preserve">📦 BOSS 📮SENT 2026-05-28 💰CK 2026-06-08</t>
      </text>
    </comment>
    <comment authorId="0" ref="I193">
      <text>
        <t xml:space="preserve">📦 BOSS 📮SENT 2026-04-13 💰CK 2026-04-13</t>
      </text>
    </comment>
    <comment authorId="0" ref="I2175">
      <text>
        <t xml:space="preserve">📦 BOSS 📮SENT 2026-06-10</t>
      </text>
    </comment>
    <comment authorId="0" ref="I61">
      <text>
        <t xml:space="preserve">📮SENT 2026-03-31 💰CK 2026-03-31</t>
      </text>
    </comment>
    <comment authorId="0" ref="I986">
      <text>
        <t xml:space="preserve">📦 BOSS 📮SENT 2026-04-27 💰CK 2026-04-27</t>
      </text>
    </comment>
    <comment authorId="0" ref="I854">
      <text>
        <t xml:space="preserve">📦 BOSS 📮SENT 2026-04-21 💰CK 2026-04-26</t>
      </text>
    </comment>
    <comment authorId="0" ref="I722">
      <text>
        <t xml:space="preserve">📦EMS EB856696646CN 📮SENT 2026-04-16 💰CK 2026-04-22</t>
      </text>
    </comment>
    <comment authorId="0" ref="I1647">
      <text>
        <t xml:space="preserve">📦 BOSS 📮SENT 2026-05-09</t>
      </text>
    </comment>
    <comment authorId="0" ref="I590">
      <text>
        <t xml:space="preserve">📮SENT 2026-04-12 💰CK 2026-05-10</t>
      </text>
    </comment>
    <comment authorId="0" ref="I458">
      <text>
        <t xml:space="preserve">📮SENT 2026-04-04 💰CK 2026-04-04</t>
      </text>
    </comment>
    <comment authorId="0" ref="I2440">
      <text>
        <t xml:space="preserve">📦 BOSS 📮SENT 2026-06-09</t>
      </text>
    </comment>
    <comment authorId="0" ref="I1383">
      <text>
        <t xml:space="preserve">📦EMS EB857446239CN</t>
      </text>
    </comment>
    <comment authorId="0" ref="I326">
      <text>
        <t xml:space="preserve">📮SENT 2026-03-31 💰CK 2026-03-31</t>
      </text>
    </comment>
    <comment authorId="0" ref="I2308">
      <text>
        <t xml:space="preserve">📦EMS EB859866786CN</t>
      </text>
    </comment>
    <comment authorId="0" ref="I194">
      <text>
        <t xml:space="preserve">📮SENT 2026-03-31</t>
      </text>
    </comment>
    <comment authorId="0" ref="I2176">
      <text>
        <t xml:space="preserve">📦 BOSS 📮SENT 2026-06-10</t>
      </text>
    </comment>
    <comment authorId="0" ref="I1119">
      <text>
        <t xml:space="preserve">📦 BOSS 📮SENT 2026-04-28 💰CK 2026-05-10</t>
      </text>
    </comment>
    <comment authorId="0" ref="I62">
      <text>
        <t xml:space="preserve">📮SENT 2026-03-31 💰CK 2026-05-06</t>
      </text>
    </comment>
    <comment authorId="0" ref="I987">
      <text>
        <t xml:space="preserve">📦 BOSS 📮SENT 2026-04-27 💰CK 2026-04-27</t>
      </text>
    </comment>
    <comment authorId="0" ref="I855">
      <text>
        <t xml:space="preserve">📦 BOSS 📮SENT 2026-04-27</t>
      </text>
    </comment>
    <comment authorId="0" ref="I723">
      <text>
        <t xml:space="preserve">📦 BOSS 📮SENT 2026-04-13 💰CK 2026-05-10</t>
      </text>
    </comment>
    <comment authorId="0" ref="I591">
      <text>
        <t xml:space="preserve">📮SENT 2026-04-04</t>
      </text>
    </comment>
    <comment authorId="0" ref="I459">
      <text>
        <t xml:space="preserve">📮SENT 2026-04-04 💰CK 2026-04-04</t>
      </text>
    </comment>
    <comment authorId="0" ref="I2441">
      <text>
        <t xml:space="preserve">📦 BOSS 📮SENT 2026-06-09</t>
      </text>
    </comment>
    <comment authorId="0" ref="I327">
      <text>
        <t xml:space="preserve">📮SENT 2026-04-04 💰CK 2026-04-04</t>
      </text>
    </comment>
    <comment authorId="0" ref="I195">
      <text>
        <t xml:space="preserve">📮SENT 2026-03-31 💰CK 2026-04-02</t>
      </text>
    </comment>
    <comment authorId="0" ref="I1120">
      <text>
        <t xml:space="preserve">📦 BOSS 📮SENT 2026-04-28 💰CK 2026-05-10</t>
      </text>
    </comment>
    <comment authorId="0" ref="I63">
      <text>
        <t xml:space="preserve">📮SENT 2026-03-31 💰CK 2026-04-20</t>
      </text>
    </comment>
    <comment authorId="0" ref="I988">
      <text>
        <t xml:space="preserve">📦 BOSS 📮SENT 2026-04-27 💰CK 2026-04-27</t>
      </text>
    </comment>
    <comment authorId="0" ref="I856">
      <text>
        <t xml:space="preserve">📦 BOSS 📮SENT 2026-04-21</t>
      </text>
    </comment>
    <comment authorId="0" ref="I2838">
      <text>
        <t xml:space="preserve">📦 BOSS 📮SENT 2026-06-05</t>
      </text>
    </comment>
    <comment authorId="0" ref="I1781">
      <text>
        <t xml:space="preserve">📦EMS EB858203321CN</t>
      </text>
    </comment>
    <comment authorId="0" ref="I724">
      <text>
        <t xml:space="preserve">📦 BOSS 📮SENT 2026-04-13 💰CK 2026-05-10</t>
      </text>
    </comment>
    <comment authorId="0" ref="I592">
      <text>
        <t xml:space="preserve">📮SENT 2026-04-04</t>
      </text>
    </comment>
    <comment authorId="0" ref="I1517">
      <text>
        <t xml:space="preserve">📦EMS EB858203321CN</t>
      </text>
    </comment>
    <comment authorId="0" ref="I460">
      <text>
        <t xml:space="preserve">📮SENT 2026-04-04 💰CK 2026-04-04</t>
      </text>
    </comment>
    <comment authorId="0" ref="I2442">
      <text>
        <t xml:space="preserve">📦EMS EB859866786CN</t>
      </text>
    </comment>
    <comment authorId="0" ref="I328">
      <text>
        <t xml:space="preserve">📮SENT 2026-03-31 💰CK 2026-04-02</t>
      </text>
    </comment>
    <comment authorId="0" ref="I196">
      <text>
        <t xml:space="preserve">📮SENT 2026-03-31 💰CK 2026-03-31</t>
      </text>
    </comment>
    <comment authorId="0" ref="I1121">
      <text>
        <t xml:space="preserve">📦 BOSS 📮SENT 2026-04-27 💰CK 2026-04-27</t>
      </text>
    </comment>
    <comment authorId="0" ref="I64">
      <text>
        <t xml:space="preserve">💰CK 2026-04-11</t>
      </text>
    </comment>
    <comment authorId="0" ref="I989">
      <text>
        <t xml:space="preserve">📦 BOSS 📮SENT 2026-04-27 💰CK 2026-04-27</t>
      </text>
    </comment>
    <comment authorId="0" ref="I857">
      <text>
        <t xml:space="preserve">📮SENT 2026-04-16</t>
      </text>
    </comment>
    <comment authorId="0" ref="I2839">
      <text>
        <t xml:space="preserve">📦 BOSS 📮SENT 2026-06-05</t>
      </text>
    </comment>
    <comment authorId="0" ref="I725">
      <text>
        <t xml:space="preserve">📦 BOSS 📮SENT 2026-04-13 💰CK 2026-04-26</t>
      </text>
    </comment>
    <comment authorId="0" ref="I593">
      <text>
        <t xml:space="preserve">📦 BOSS 📮SENT 2026-04-12 💰CK 2026-04-20</t>
      </text>
    </comment>
    <comment authorId="0" ref="I461">
      <text>
        <t xml:space="preserve">📮SENT 2026-04-04 💰CK 2026-04-04</t>
      </text>
    </comment>
    <comment authorId="0" ref="I1386">
      <text>
        <t xml:space="preserve">📦EMS EB857551400CN/EB857551736CN</t>
      </text>
    </comment>
    <comment authorId="0" ref="I2443">
      <text>
        <t xml:space="preserve">📦 BOSS 📮SENT 2026-05-24</t>
      </text>
    </comment>
    <comment authorId="0" ref="I329">
      <text>
        <t xml:space="preserve">📮SENT 2026-03-31 💰CK 2026-04-02</t>
      </text>
    </comment>
    <comment authorId="0" ref="I2311">
      <text>
        <t xml:space="preserve">📦 BOSS 📮SENT 2026-05-28</t>
      </text>
    </comment>
    <comment authorId="0" ref="I197">
      <text>
        <t xml:space="preserve">📮SENT 2026-03-31 💰CK 2026-03-31</t>
      </text>
    </comment>
    <comment authorId="0" ref="I1122">
      <text>
        <t xml:space="preserve">📦 BOSS 📮SENT 2026-04-27 💰CK 2026-04-27</t>
      </text>
    </comment>
    <comment authorId="0" ref="I65">
      <text>
        <t xml:space="preserve">📮SENT 2026-03-31 💰CK 2026-03-31</t>
      </text>
    </comment>
    <comment authorId="0" ref="I990">
      <text>
        <t xml:space="preserve">📦EMS EB857015049CN</t>
      </text>
    </comment>
    <comment authorId="0" ref="I858">
      <text>
        <t xml:space="preserve">📦 BOSS 📮SENT 2026-04-16 💰CK 2026-04-21</t>
      </text>
    </comment>
    <comment authorId="0" ref="I2840">
      <text>
        <t xml:space="preserve">📦 BOSS 📮SENT 2026-06-05</t>
      </text>
    </comment>
    <comment authorId="0" ref="I726">
      <text>
        <t xml:space="preserve">📦 BOSS 📮SENT 2026-04-13 💰CK 2026-04-20</t>
      </text>
    </comment>
    <comment authorId="0" ref="I1651">
      <text>
        <t xml:space="preserve">📦 BOSS 📮SENT 2026-05-11</t>
      </text>
    </comment>
    <comment authorId="0" ref="I594">
      <text>
        <t xml:space="preserve">📦 BOSS 📮SENT 2026-04-12 💰CK 2026-04-20</t>
      </text>
    </comment>
    <comment authorId="0" ref="I462">
      <text>
        <t xml:space="preserve">📮SENT 2026-04-04 💰CK 2026-04-11</t>
      </text>
    </comment>
    <comment authorId="0" ref="I2444">
      <text>
        <t xml:space="preserve">📦EMS EB859866786CN</t>
      </text>
    </comment>
    <comment authorId="0" ref="I330">
      <text>
        <t xml:space="preserve">📮SENT 2026-04-05 💰CK 2026-04-08</t>
      </text>
    </comment>
    <comment authorId="0" ref="I2312">
      <text>
        <t xml:space="preserve">📦 BOSS 📮SENT 2026-05-18</t>
      </text>
    </comment>
    <comment authorId="0" ref="I198">
      <text>
        <t xml:space="preserve">📮SENT 2026-03-31 💰CK 2026-03-31</t>
      </text>
    </comment>
    <comment authorId="0" ref="I1123">
      <text>
        <t xml:space="preserve">📦 BOSS 📮SENT 2026-04-27 💰CK 2026-04-27</t>
      </text>
    </comment>
    <comment authorId="0" ref="I66">
      <text>
        <t xml:space="preserve">📮SENT 2026-04-04 💰CK 2026-04-04</t>
      </text>
    </comment>
    <comment authorId="0" ref="I859">
      <text>
        <t xml:space="preserve">📦EMS EB857231330CN</t>
      </text>
    </comment>
    <comment authorId="0" ref="I2841">
      <text>
        <t xml:space="preserve">📦 BOSS 📮SENT 2026-06-05</t>
      </text>
    </comment>
    <comment authorId="0" ref="I727">
      <text>
        <t xml:space="preserve">📦 BOSS 📮SENT 2026-04-13 💰CK 2026-04-20</t>
      </text>
    </comment>
    <comment authorId="0" ref="I1652">
      <text>
        <t xml:space="preserve">📦 BOSS 📮SENT 2026-05-11</t>
      </text>
    </comment>
    <comment authorId="0" ref="I595">
      <text>
        <t xml:space="preserve">📦 BOSS 📮SENT 2026-04-12 💰CK 2026-04-20</t>
      </text>
    </comment>
    <comment authorId="0" ref="I463">
      <text>
        <t xml:space="preserve">📮SENT 2026-04-04 💰CK 2026-04-11</t>
      </text>
    </comment>
    <comment authorId="0" ref="I1388">
      <text>
        <t xml:space="preserve">📦EMS EB857551400CN/EB857551736CN</t>
      </text>
    </comment>
    <comment authorId="0" ref="I2445">
      <text>
        <t xml:space="preserve">📦 BOSS 📮SENT 2026-05-24</t>
      </text>
    </comment>
    <comment authorId="0" ref="I331">
      <text>
        <t xml:space="preserve">📮SENT 2026-03-31</t>
      </text>
    </comment>
    <comment authorId="0" ref="I2313">
      <text>
        <t xml:space="preserve">📦 BOSS 📮SENT 2026-05-18</t>
      </text>
    </comment>
    <comment authorId="0" ref="I199">
      <text>
        <t xml:space="preserve">📮SENT 2026-03-31</t>
      </text>
    </comment>
    <comment authorId="0" ref="I1124">
      <text>
        <t xml:space="preserve">📦 BOSS 📮SENT 2026-04-27 💰CK 2026-04-27</t>
      </text>
    </comment>
    <comment authorId="0" ref="I67">
      <text>
        <t xml:space="preserve">📮SENT 2026-03-31 💰CK 2026-04-08</t>
      </text>
    </comment>
    <comment authorId="0" ref="I992">
      <text>
        <t xml:space="preserve">📮SENT 2026-04-11 💰CK 2026-05-10</t>
      </text>
    </comment>
    <comment authorId="0" ref="I1917">
      <text>
        <t xml:space="preserve">📦EMS EB858203321CN</t>
      </text>
    </comment>
    <comment authorId="0" ref="I860">
      <text>
        <t xml:space="preserve">📦 BOSS 📮SENT 2026-04-18</t>
      </text>
    </comment>
    <comment authorId="0" ref="I2842">
      <text>
        <t xml:space="preserve">📦 BOSS 📮SENT 2026-06-05</t>
      </text>
    </comment>
    <comment authorId="0" ref="I728">
      <text>
        <t xml:space="preserve">📦EMS EB856696646CN</t>
      </text>
    </comment>
    <comment authorId="0" ref="I596">
      <text>
        <t xml:space="preserve">📦 BOSS 📮SENT 2026-04-12 💰CK 2026-04-20</t>
      </text>
    </comment>
    <comment authorId="0" ref="I464">
      <text>
        <t xml:space="preserve">📮SENT 2026-04-04 💰CK 2026-04-11</t>
      </text>
    </comment>
    <comment authorId="0" ref="I2446">
      <text>
        <t xml:space="preserve">📦 BOSS 📮SENT 2026-05-25</t>
      </text>
    </comment>
    <comment authorId="0" ref="I1389">
      <text>
        <t xml:space="preserve">📦 BOSS 📮SENT 2026-04-28 💰CK 2026-05-10</t>
      </text>
    </comment>
    <comment authorId="0" ref="I332">
      <text>
        <t xml:space="preserve">📮SENT 2026-03-31 💰CK 2026-03-31</t>
      </text>
    </comment>
    <comment authorId="0" ref="I2314">
      <text>
        <t xml:space="preserve">📦 BOSS 📮SENT 2026-06-01</t>
      </text>
    </comment>
    <comment authorId="0" ref="I200">
      <text>
        <t xml:space="preserve">📮SENT 2026-03-31 💰CK 2026-05-06</t>
      </text>
    </comment>
    <comment authorId="0" ref="I1125">
      <text>
        <t xml:space="preserve">📦 BOSS 📮SENT 2026-04-28 💰CK 2026-05-10</t>
      </text>
    </comment>
    <comment authorId="0" ref="I68">
      <text>
        <t xml:space="preserve">📮SENT 2026-04-05 💰CK 2026-04-11</t>
      </text>
    </comment>
    <comment authorId="0" ref="I993">
      <text>
        <t xml:space="preserve">📮SENT 2026-04-11 💰CK 2026-05-10</t>
      </text>
    </comment>
    <comment authorId="0" ref="I1918">
      <text>
        <t xml:space="preserve">📦EMS EB858203321CN</t>
      </text>
    </comment>
    <comment authorId="0" ref="I861">
      <text>
        <t xml:space="preserve">📮SENT 2026-04-27</t>
      </text>
    </comment>
    <comment authorId="0" ref="I729">
      <text>
        <t xml:space="preserve">📦EMS EB856696646CN</t>
      </text>
    </comment>
    <comment authorId="0" ref="I597">
      <text>
        <t xml:space="preserve">📮SENT 2026-04-04 💰CK 2026-04-11</t>
      </text>
    </comment>
    <comment authorId="0" ref="I465">
      <text>
        <t xml:space="preserve">📮SENT 2026-04-04</t>
      </text>
    </comment>
    <comment authorId="0" ref="I1390">
      <text>
        <t xml:space="preserve">📦EMS EB857651181CN</t>
      </text>
    </comment>
    <comment authorId="0" ref="I2447">
      <text>
        <t xml:space="preserve">📦 BOSS 📮SENT 2026-05-26</t>
      </text>
    </comment>
    <comment authorId="0" ref="I333">
      <text>
        <t xml:space="preserve">📮SENT 2026-03-31 💰CK 2026-04-02</t>
      </text>
    </comment>
    <comment authorId="0" ref="I2315">
      <text>
        <t xml:space="preserve">📦 BOSS 📮SENT 2026-06-09</t>
      </text>
    </comment>
    <comment authorId="0" ref="I201">
      <text>
        <t xml:space="preserve">📮SENT 2026-03-31 💰CK 2026-04-02</t>
      </text>
    </comment>
    <comment authorId="0" ref="I1126">
      <text>
        <t xml:space="preserve">📦EMS EB857446344CN</t>
      </text>
    </comment>
    <comment authorId="0" ref="I69">
      <text>
        <t xml:space="preserve">📮SENT 2026-03-31 💰CK 2026-03-31</t>
      </text>
    </comment>
    <comment authorId="0" ref="I862">
      <text>
        <t xml:space="preserve">📦 BOSS 📮SENT 2026-04-27 💰CK 2026-05-10</t>
      </text>
    </comment>
    <comment authorId="0" ref="I730">
      <text>
        <t xml:space="preserve">📦 BOSS 📮SENT 2026-04-16 💰CK 2026-04-22</t>
      </text>
    </comment>
    <comment authorId="0" ref="I598">
      <text>
        <t xml:space="preserve">📮SENT 2026-04-04 💰CK 2026-04-11</t>
      </text>
    </comment>
    <comment authorId="0" ref="I1523">
      <text>
        <t xml:space="preserve">📦 BOSS 📮SENT 2026-04-23</t>
      </text>
    </comment>
    <comment authorId="0" ref="I466">
      <text>
        <t xml:space="preserve">📮SENT 2026-04-04</t>
      </text>
    </comment>
    <comment authorId="0" ref="I2448">
      <text>
        <t xml:space="preserve">📦 BOSS 📮SENT 2026-06-09</t>
      </text>
    </comment>
    <comment authorId="0" ref="I334">
      <text>
        <t xml:space="preserve">📮SENT 2026-03-31 💰CK 2026-04-02</t>
      </text>
    </comment>
    <comment authorId="0" ref="I2316">
      <text>
        <t xml:space="preserve">📦 BOSS 📮SENT 2026-06-09</t>
      </text>
    </comment>
    <comment authorId="0" ref="I1259">
      <text>
        <t xml:space="preserve">📦 BOSS 📮SENT 2026-05-09 💰CK 2026-05-10</t>
      </text>
    </comment>
    <comment authorId="0" ref="I202">
      <text>
        <t xml:space="preserve">📮SENT 2026-04-08 💰CK 2026-04-11</t>
      </text>
    </comment>
    <comment authorId="0" ref="I1127">
      <text>
        <t xml:space="preserve">📦EMS EB857446344CN</t>
      </text>
    </comment>
    <comment authorId="0" ref="I70">
      <text>
        <t xml:space="preserve">📮SENT 2026-03-31 💰CK 2026-04-02</t>
      </text>
    </comment>
    <comment authorId="0" ref="I863">
      <text>
        <t xml:space="preserve">📦 BOSS 📮SENT 2026-04-27 💰CK 2026-05-10</t>
      </text>
    </comment>
    <comment authorId="0" ref="I1788">
      <text>
        <t xml:space="preserve">📦EMS EB858203321CN</t>
      </text>
    </comment>
    <comment authorId="0" ref="I2845">
      <text>
        <t xml:space="preserve">📦 BOSS 📮SENT 2026-06-05</t>
      </text>
    </comment>
    <comment authorId="0" ref="I731">
      <text>
        <t xml:space="preserve">📦 BOSS 📮SENT 2026-04-20 💰CK 2026-04-21</t>
      </text>
    </comment>
    <comment authorId="0" ref="I599">
      <text>
        <t xml:space="preserve">📮SENT 2026-04-08 💰CK 2026-04-11</t>
      </text>
    </comment>
    <comment authorId="0" ref="I1524">
      <text>
        <t xml:space="preserve">📦 BOSS 📮SENT 2026-04-23</t>
      </text>
    </comment>
    <comment authorId="0" ref="I467">
      <text>
        <t xml:space="preserve">📮SENT 2026-04-04 💰CK 2026-04-11</t>
      </text>
    </comment>
    <comment authorId="0" ref="I1392">
      <text>
        <t xml:space="preserve">📦EMS EB857651181CN</t>
      </text>
    </comment>
    <comment authorId="0" ref="I2449">
      <text>
        <t xml:space="preserve">📦 BOSS 📮SENT 2026-05-24 💰CK 2026-06-08</t>
      </text>
    </comment>
    <comment authorId="0" ref="I335">
      <text>
        <t xml:space="preserve">📮SENT 2026-03-31 💰CK 2026-04-02</t>
      </text>
    </comment>
    <comment authorId="0" ref="I1260">
      <text>
        <t xml:space="preserve">📦 BOSS 📮SENT 2026-05-09 💰CK 2026-05-10</t>
      </text>
    </comment>
    <comment authorId="0" ref="I2317">
      <text>
        <t xml:space="preserve">📦 BOSS 📮SENT 2026-06-04</t>
      </text>
    </comment>
    <comment authorId="0" ref="I203">
      <text>
        <t xml:space="preserve">📮SENT 2026-03-31 💰CK 2026-03-31</t>
      </text>
    </comment>
    <comment authorId="0" ref="I1128">
      <text>
        <t xml:space="preserve">📦 BOSS 📮SENT 2026-04-29</t>
      </text>
    </comment>
    <comment authorId="0" ref="I71">
      <text>
        <t xml:space="preserve">📮SENT 2026-03-31 💰CK 2026-04-20</t>
      </text>
    </comment>
    <comment authorId="0" ref="I996">
      <text>
        <t xml:space="preserve">📦EMS EB857015049CN</t>
      </text>
    </comment>
    <comment authorId="0" ref="I1921">
      <text>
        <t xml:space="preserve">📦EMS EB858203321CN</t>
      </text>
    </comment>
    <comment authorId="0" ref="I864">
      <text>
        <t xml:space="preserve">📦 BOSS 📮SENT 2026-04-20</t>
      </text>
    </comment>
    <comment authorId="0" ref="I2846">
      <text>
        <t xml:space="preserve">📦 BOSS 📮SENT 2026-06-05</t>
      </text>
    </comment>
    <comment authorId="0" ref="I732">
      <text>
        <t xml:space="preserve">📦EMS EB856696646CN</t>
      </text>
    </comment>
    <comment authorId="0" ref="I600">
      <text>
        <t xml:space="preserve">📮SENT 2026-04-04 💰CK 2026-04-11</t>
      </text>
    </comment>
    <comment authorId="0" ref="I1525">
      <text>
        <t xml:space="preserve">📦 BOSS 📮SENT 2026-05-09 💰CK 2026-05-10</t>
      </text>
    </comment>
    <comment authorId="0" ref="I468">
      <text>
        <t xml:space="preserve">📮SENT 2026-04-04 💰CK 2026-04-11</t>
      </text>
    </comment>
    <comment authorId="0" ref="I2450">
      <text>
        <t xml:space="preserve">📦EMS EB858937438CN</t>
      </text>
    </comment>
    <comment authorId="0" ref="I336">
      <text>
        <t xml:space="preserve">📮SENT 2026-03-31 💰CK 2026-03-31</t>
      </text>
    </comment>
    <comment authorId="0" ref="I2318">
      <text>
        <t xml:space="preserve">📦 BOSS 📮SENT 2026-06-01</t>
      </text>
    </comment>
    <comment authorId="0" ref="I204">
      <text>
        <t xml:space="preserve">📮SENT 2026-03-31 💰CK 2026-03-31</t>
      </text>
    </comment>
    <comment authorId="0" ref="I1129">
      <text>
        <t xml:space="preserve">📦 BOSS 📮SENT 2026-04-14 💰CK 2026-04-14</t>
      </text>
    </comment>
    <comment authorId="0" ref="I72">
      <text>
        <t xml:space="preserve">📮SENT 2026-03-31</t>
      </text>
    </comment>
    <comment authorId="0" ref="I997">
      <text>
        <t xml:space="preserve">📦 BOSS 📮SENT 2026-04-20 💰CK 2026-05-10</t>
      </text>
    </comment>
    <comment authorId="0" ref="I1922">
      <text>
        <t xml:space="preserve">📦EMS EB858203321CN</t>
      </text>
    </comment>
    <comment authorId="0" ref="I865">
      <text>
        <t xml:space="preserve">📦 BOSS 📮SENT 2026-04-27</t>
      </text>
    </comment>
    <comment authorId="0" ref="I2847">
      <text>
        <t xml:space="preserve">📦DƯ</t>
      </text>
    </comment>
    <comment authorId="0" ref="I733">
      <text>
        <t xml:space="preserve">📦EMS EB856696646CN 💰CK 2026-05-06</t>
      </text>
    </comment>
    <comment authorId="0" ref="I601">
      <text>
        <t xml:space="preserve">📮SENT 2026-04-04 💰CK 2026-04-11</t>
      </text>
    </comment>
    <comment authorId="0" ref="I469">
      <text>
        <t xml:space="preserve">📮SENT 2026-04-04 💰CK 2026-04-11</t>
      </text>
    </comment>
    <comment authorId="0" ref="I1394">
      <text>
        <t xml:space="preserve">📦 BOSS 📮SENT 2026-05-07</t>
      </text>
    </comment>
    <comment authorId="0" ref="I2451">
      <text>
        <t xml:space="preserve">📦 BOSS 📮SENT 2026-05-28 💰CK 2026-06-08</t>
      </text>
    </comment>
    <comment authorId="0" ref="I337">
      <text>
        <t xml:space="preserve">📦 BOSS 📮SENT 2026-04-13</t>
      </text>
    </comment>
    <comment authorId="0" ref="I2319">
      <text>
        <t xml:space="preserve">📦EMS EB859866786CN</t>
      </text>
    </comment>
    <comment authorId="0" ref="I205">
      <text>
        <t xml:space="preserve">📮SENT 2026-03-31 💰CK 2026-03-31</t>
      </text>
    </comment>
    <comment authorId="0" ref="I1130">
      <text>
        <t xml:space="preserve">📦 BOSS 📮SENT 2026-05-09 💰CK 2026-05-09</t>
      </text>
    </comment>
    <comment authorId="0" ref="I73">
      <text>
        <t xml:space="preserve">📮SENT 2026-03-31 💰CK 2026-03-31</t>
      </text>
    </comment>
    <comment authorId="0" ref="I998">
      <text>
        <t xml:space="preserve">📦 BOSS 📮SENT 2026-04-20 💰CK 2026-05-10</t>
      </text>
    </comment>
    <comment authorId="0" ref="I866">
      <text>
        <t xml:space="preserve">📦EMS EB857015049CN 📮SENT 2026-05-07 💰CK 2026-05-10</t>
      </text>
    </comment>
    <comment authorId="0" ref="I2848">
      <text>
        <t xml:space="preserve">📦DƯ</t>
      </text>
    </comment>
    <comment authorId="0" ref="I734">
      <text>
        <t xml:space="preserve">📦 BOSS 📮SENT 2026-04-14 💰CK 2026-04-26</t>
      </text>
    </comment>
    <comment authorId="0" ref="I602">
      <text>
        <t xml:space="preserve">📮SENT 2026-04-08 💰CK 2026-04-11</t>
      </text>
    </comment>
    <comment authorId="0" ref="I470">
      <text>
        <t xml:space="preserve">📮SENT 2026-04-04 💰CK 2026-04-04</t>
      </text>
    </comment>
    <comment authorId="0" ref="I2452">
      <text>
        <t xml:space="preserve">📦DƯ</t>
      </text>
    </comment>
    <comment authorId="0" ref="I338">
      <text>
        <t xml:space="preserve">📮SENT 2026-03-31 💰CK 2026-04-02</t>
      </text>
    </comment>
    <comment authorId="0" ref="I2320">
      <text>
        <t xml:space="preserve">📦EMS EB859866786CN</t>
      </text>
    </comment>
    <comment authorId="0" ref="I1263">
      <text>
        <t xml:space="preserve">📦EMS EB857551400CN/EB857551736CN</t>
      </text>
    </comment>
    <comment authorId="0" ref="I206">
      <text>
        <t xml:space="preserve">📮SENT 2026-04-04 💰CK 2026-04-16</t>
      </text>
    </comment>
    <comment authorId="0" ref="I1131">
      <text>
        <t xml:space="preserve">📦 BOSS 📮SENT 2026-05-08 💰CK 2026-05-10</t>
      </text>
    </comment>
    <comment authorId="0" ref="I74">
      <text>
        <t xml:space="preserve">📮SENT 2026-03-31 💰CK 2026-04-11</t>
      </text>
    </comment>
    <comment authorId="0" ref="I999">
      <text>
        <t xml:space="preserve">📦EMS EB857164343CN 💰CK 2026-05-06</t>
      </text>
    </comment>
    <comment authorId="0" ref="I867">
      <text>
        <t xml:space="preserve">📦 BOSS 📮SENT 2026-04-18</t>
      </text>
    </comment>
    <comment authorId="0" ref="I735">
      <text>
        <t xml:space="preserve">📦 BOSS 📮SENT 2026-04-13</t>
      </text>
    </comment>
    <comment authorId="0" ref="I603">
      <text>
        <t xml:space="preserve">📮SENT 2026-04-05 💰CK 2026-04-17</t>
      </text>
    </comment>
    <comment authorId="0" ref="I1528">
      <text>
        <t xml:space="preserve">📦EMS EB858203321CN</t>
      </text>
    </comment>
    <comment authorId="0" ref="I471">
      <text>
        <t xml:space="preserve">📮SENT 2026-04-04 💰CK 2026-04-04</t>
      </text>
    </comment>
    <comment authorId="0" ref="I2453">
      <text>
        <t xml:space="preserve">📦EMS EB859664846CN</t>
      </text>
    </comment>
    <comment authorId="0" ref="I339">
      <text>
        <t xml:space="preserve">📮SENT 2026-03-31 💰CK 2026-03-31</t>
      </text>
    </comment>
    <comment authorId="0" ref="I1264">
      <text>
        <t xml:space="preserve">📦EMS EB857551400CN/EB857551736CN</t>
      </text>
    </comment>
    <comment authorId="0" ref="I2321">
      <text>
        <t xml:space="preserve">📦 BOSS 📮SENT 2026-05-21</t>
      </text>
    </comment>
    <comment authorId="0" ref="I207">
      <text>
        <t xml:space="preserve">📮SENT 2026-03-31 💰CK 2026-03-31</t>
      </text>
    </comment>
    <comment authorId="0" ref="I1132">
      <text>
        <t xml:space="preserve">📦 BOSS 📮SENT 2026-05-08 💰CK 2026-05-10</t>
      </text>
    </comment>
    <comment authorId="0" ref="I75">
      <text>
        <t xml:space="preserve">📦 BOSS 📮SENT 2026-04-14 💰CK 2026-04-14</t>
      </text>
    </comment>
    <comment authorId="0" ref="I1000">
      <text>
        <t xml:space="preserve">💰CK 2026-05-06</t>
      </text>
    </comment>
    <comment authorId="0" ref="I868">
      <text>
        <t xml:space="preserve">📮SENT 2026-04-16</t>
      </text>
    </comment>
    <comment authorId="0" ref="I2850">
      <text>
        <t xml:space="preserve">📦DƯ</t>
      </text>
    </comment>
    <comment authorId="0" ref="I736">
      <text>
        <t xml:space="preserve">📮SENT 2026-04-14</t>
      </text>
    </comment>
    <comment authorId="0" ref="I604">
      <text>
        <t xml:space="preserve">📮SENT 2026-04-05 💰CK 2026-04-17</t>
      </text>
    </comment>
    <comment authorId="0" ref="I1529">
      <text>
        <t xml:space="preserve">📦EMS EB858203321CN</t>
      </text>
    </comment>
    <comment authorId="0" ref="I472">
      <text>
        <t xml:space="preserve">📮SENT 2026-04-04</t>
      </text>
    </comment>
    <comment authorId="0" ref="I2454">
      <text>
        <t xml:space="preserve">📦EMS EB859866786CN</t>
      </text>
    </comment>
    <comment authorId="0" ref="I340">
      <text>
        <t xml:space="preserve">📮SENT 2026-03-31</t>
      </text>
    </comment>
    <comment authorId="0" ref="I2322">
      <text>
        <t xml:space="preserve">📦 BOSS 📮SENT 2026-05-21</t>
      </text>
    </comment>
    <comment authorId="0" ref="I208">
      <text>
        <t xml:space="preserve">📮SENT 2026-03-31 💰CK 2026-03-31</t>
      </text>
    </comment>
    <comment authorId="0" ref="I1133">
      <text>
        <t xml:space="preserve">📦EMS EB857446344CN</t>
      </text>
    </comment>
    <comment authorId="0" ref="I76">
      <text>
        <t xml:space="preserve">📮SENT 2026-03-31</t>
      </text>
    </comment>
    <comment authorId="0" ref="I1001">
      <text>
        <t xml:space="preserve">💰CK 2026-05-06</t>
      </text>
    </comment>
    <comment authorId="0" ref="I1926">
      <text>
        <t xml:space="preserve">📦EMS EB858203321CN</t>
      </text>
    </comment>
    <comment authorId="0" ref="I869">
      <text>
        <t xml:space="preserve">📦 BOSS 📮SENT 2026-04-16 💰CK 2026-05-10</t>
      </text>
    </comment>
    <comment authorId="0" ref="I737">
      <text>
        <t xml:space="preserve">📦 BOSS 📮SENT 2026-04-13</t>
      </text>
    </comment>
    <comment authorId="0" ref="I605">
      <text>
        <t xml:space="preserve">📮SENT 2026-04-05 💰CK 2026-04-17</t>
      </text>
    </comment>
    <comment authorId="0" ref="I473">
      <text>
        <t xml:space="preserve">📮SENT 2026-04-04</t>
      </text>
    </comment>
    <comment authorId="0" ref="I2455">
      <text>
        <t xml:space="preserve">📦EMS EB859664846CN</t>
      </text>
    </comment>
    <comment authorId="0" ref="I341">
      <text>
        <t xml:space="preserve">📮SENT 2026-04-02 💰CK 2026-05-08</t>
      </text>
    </comment>
    <comment authorId="0" ref="I2323">
      <text>
        <t xml:space="preserve">📦 BOSS 📮SENT 2026-06-10</t>
      </text>
    </comment>
    <comment authorId="0" ref="I209">
      <text>
        <t xml:space="preserve">📮SENT 2026-03-31 💰CK 2026-03-31</t>
      </text>
    </comment>
    <comment authorId="0" ref="I1134">
      <text>
        <t xml:space="preserve">📦 BOSS 📮SENT 2026-05-07</t>
      </text>
    </comment>
    <comment authorId="0" ref="I77">
      <text>
        <t xml:space="preserve">📮SENT 2026-03-31 💰CK 2026-04-02</t>
      </text>
    </comment>
    <comment authorId="0" ref="I1002">
      <text>
        <t xml:space="preserve">📦 BOSS 📮SENT 2026-04-21 💰CK 2026-04-26</t>
      </text>
    </comment>
    <comment authorId="0" ref="I870">
      <text>
        <t xml:space="preserve">📦 BOSS 📮SENT 2026-04-28</t>
      </text>
    </comment>
    <comment authorId="0" ref="I1795">
      <text>
        <t xml:space="preserve">📦 BOSS 📮SENT 2026-04-28</t>
      </text>
    </comment>
    <comment authorId="0" ref="I738">
      <text>
        <t xml:space="preserve">📦 BOSS 📮SENT 2026-04-14</t>
      </text>
    </comment>
    <comment authorId="0" ref="I606">
      <text>
        <t xml:space="preserve">📮SENT 2026-04-05 💰CK 2026-04-17</t>
      </text>
    </comment>
    <comment authorId="0" ref="I1531">
      <text>
        <t xml:space="preserve">📦EMS EB858203321CN</t>
      </text>
    </comment>
    <comment authorId="0" ref="I474">
      <text>
        <t xml:space="preserve">📦 BOSS 📮SENT 2026-04-18</t>
      </text>
    </comment>
    <comment authorId="0" ref="I2456">
      <text>
        <t xml:space="preserve">📦EMS EB859664846CN</t>
      </text>
    </comment>
    <comment authorId="0" ref="I342">
      <text>
        <t xml:space="preserve">📮SENT 2026-03-31 💰CK 2026-03-31</t>
      </text>
    </comment>
    <comment authorId="0" ref="I2324">
      <text>
        <t xml:space="preserve">📦 BOSS 📮SENT 2026-06-10</t>
      </text>
    </comment>
    <comment authorId="0" ref="I1267">
      <text>
        <t xml:space="preserve">📦 BOSS 📮SENT 2026-05-11</t>
      </text>
    </comment>
    <comment authorId="0" ref="I210">
      <text>
        <t xml:space="preserve">📮SENT 2026-04-04 💰CK 2026-04-17</t>
      </text>
    </comment>
    <comment authorId="0" ref="I1135">
      <text>
        <t xml:space="preserve">📦 BOSS 📮SENT 2026-05-07</t>
      </text>
    </comment>
    <comment authorId="0" ref="I78">
      <text>
        <t xml:space="preserve">📮SENT 2026-03-31 💰CK 2026-03-31</t>
      </text>
    </comment>
    <comment authorId="0" ref="I1003">
      <text>
        <t xml:space="preserve">📦 BOSS 📮SENT 2026-04-29 💰CK 2026-05-06</t>
      </text>
    </comment>
    <comment authorId="0" ref="I871">
      <text>
        <t xml:space="preserve">📦 BOSS 📮SENT 2026-04-28</t>
      </text>
    </comment>
    <comment authorId="0" ref="I739">
      <text>
        <t xml:space="preserve">📦 BOSS 📮SENT 2026-04-13 💰CK 2026-05-06</t>
      </text>
    </comment>
    <comment authorId="0" ref="I607">
      <text>
        <t xml:space="preserve">📮SENT 2026-04-04</t>
      </text>
    </comment>
    <comment authorId="0" ref="I1532">
      <text>
        <t xml:space="preserve">📦EMS EB858203321CN</t>
      </text>
    </comment>
    <comment authorId="0" ref="I475">
      <text>
        <t xml:space="preserve">📦 BOSS 📮SENT 2026-04-27</t>
      </text>
    </comment>
    <comment authorId="0" ref="I343">
      <text>
        <t xml:space="preserve">📮SENT 2026-04-04 💰CK 2026-04-10</t>
      </text>
    </comment>
    <comment authorId="0" ref="I1268">
      <text>
        <t xml:space="preserve">📦 BOSS 📮SENT 2026-05-07 💰CK 2026-05-08</t>
      </text>
    </comment>
    <comment authorId="0" ref="I211">
      <text>
        <t xml:space="preserve">📮SENT 2026-04-08 💰CK 2026-04-11</t>
      </text>
    </comment>
    <comment authorId="0" ref="I1136">
      <text>
        <t xml:space="preserve">📦 BOSS 📮SENT 2026-04-29 💰CK 2026-05-10</t>
      </text>
    </comment>
    <comment authorId="0" ref="I79">
      <text>
        <t xml:space="preserve">📮SENT 2026-04-08 💰CK 2026-04-11</t>
      </text>
    </comment>
    <comment authorId="0" ref="I1004">
      <text>
        <t xml:space="preserve">📦 BOSS 📮SENT 2026-04-29 💰CK 2026-05-06</t>
      </text>
    </comment>
    <comment authorId="0" ref="I872">
      <text>
        <t xml:space="preserve">📦 BOSS 📮SENT 2026-04-14 💰CK 2026-05-10</t>
      </text>
    </comment>
    <comment authorId="0" ref="I740">
      <text>
        <t xml:space="preserve">📮SENT 2026-04-16</t>
      </text>
    </comment>
    <comment authorId="0" ref="I608">
      <text>
        <t xml:space="preserve">📮SENT 2026-04-04</t>
      </text>
    </comment>
    <comment authorId="0" ref="I476">
      <text>
        <t xml:space="preserve">📮SENT 2026-04-04 💰CK 2026-04-16</t>
      </text>
    </comment>
    <comment authorId="0" ref="I2458">
      <text>
        <t xml:space="preserve">📦EMS EB859866786CN</t>
      </text>
    </comment>
    <comment authorId="0" ref="I1401">
      <text>
        <t xml:space="preserve">📦EMS EB857551400CN/EB857551736CN</t>
      </text>
    </comment>
    <comment authorId="0" ref="I2326">
      <text>
        <t xml:space="preserve">📦EMS EB859866786CN</t>
      </text>
    </comment>
    <comment authorId="0" ref="I212">
      <text>
        <t xml:space="preserve">📮SENT 2026-03-31 💰CK 2026-03-31</t>
      </text>
    </comment>
    <comment authorId="0" ref="I1137">
      <text>
        <t xml:space="preserve">📦 BOSS 📮SENT 2026-04-29 💰CK 2026-05-10</t>
      </text>
    </comment>
    <comment authorId="0" ref="I1005">
      <text>
        <t xml:space="preserve">📦EMS EB857231330CN</t>
      </text>
    </comment>
    <comment authorId="0" ref="I873">
      <text>
        <t xml:space="preserve">📦EMS EB857164343CN</t>
      </text>
    </comment>
    <comment authorId="0" ref="I741">
      <text>
        <t xml:space="preserve">📦 BOSS 📮SENT 2026-04-13 💰CK 2026-05-10</t>
      </text>
    </comment>
    <comment authorId="0" ref="I1666">
      <text>
        <t xml:space="preserve">📦 BOSS 📮SENT 2026-05-11</t>
      </text>
    </comment>
    <comment authorId="0" ref="I609">
      <text>
        <t xml:space="preserve">📮SENT 2026-04-04 💰CK 2026-04-11</t>
      </text>
    </comment>
    <comment authorId="0" ref="I1534">
      <text>
        <t xml:space="preserve">📦EMS EB858203321CN</t>
      </text>
    </comment>
    <comment authorId="0" ref="I477">
      <text>
        <t xml:space="preserve">📮SENT 2026-04-04 💰CK 2026-04-16</t>
      </text>
    </comment>
    <comment authorId="0" ref="I2459">
      <text>
        <t xml:space="preserve">📦EMS EB859866786CN</t>
      </text>
    </comment>
    <comment authorId="0" ref="I345">
      <text>
        <t xml:space="preserve">📮SENT 2026-03-31 💰CK 2026-04-02</t>
      </text>
    </comment>
    <comment authorId="0" ref="I213">
      <text>
        <t xml:space="preserve">📮SENT 2026-03-31</t>
      </text>
    </comment>
    <comment authorId="0" ref="I1138">
      <text>
        <t xml:space="preserve">📦 BOSS 📮SENT 2026-05-07 💰CK 2026-05-08</t>
      </text>
    </comment>
    <comment authorId="0" ref="I81">
      <text>
        <t xml:space="preserve">📮SENT 2026-03-31 💰CK 2026-04-02</t>
      </text>
    </comment>
    <comment authorId="0" ref="I1799">
      <text>
        <t xml:space="preserve">📦 BOSS 📮SENT 2026-04-27 💰CK 2026-05-09</t>
      </text>
    </comment>
    <comment authorId="0" ref="I742">
      <text>
        <t xml:space="preserve">📦 BOSS 📮SENT 2026-04-13 💰CK 2026-04-26</t>
      </text>
    </comment>
    <comment authorId="0" ref="I1667">
      <text>
        <t xml:space="preserve">📦 BOSS 📮SENT 2026-05-11</t>
      </text>
    </comment>
    <comment authorId="0" ref="I610">
      <text>
        <t xml:space="preserve">📮SENT 2026-04-04 💰CK 2026-04-11</t>
      </text>
    </comment>
    <comment authorId="0" ref="I1535">
      <text>
        <t xml:space="preserve">📦EMS EB858203321CN</t>
      </text>
    </comment>
    <comment authorId="0" ref="I478">
      <text>
        <t xml:space="preserve">📮SENT 2026-04-04 💰CK 2026-04-16</t>
      </text>
    </comment>
    <comment authorId="0" ref="I1403">
      <text>
        <t xml:space="preserve">📦 BOSS 📮SENT 2026-05-08 💰CK 2026-05-10</t>
      </text>
    </comment>
    <comment authorId="0" ref="I346">
      <text>
        <t xml:space="preserve">📮SENT 2026-04-05 💰CK 2026-04-11</t>
      </text>
    </comment>
    <comment authorId="0" ref="I2328">
      <text>
        <t xml:space="preserve">📦 BOSS 📮SENT 2026-06-09</t>
      </text>
    </comment>
    <comment authorId="0" ref="I1271">
      <text>
        <t xml:space="preserve">📦 BOSS 📮SENT 2026-05-09 💰CK 2026-05-10</t>
      </text>
    </comment>
    <comment authorId="0" ref="I214">
      <text>
        <t xml:space="preserve">📮SENT 2026-03-31</t>
      </text>
    </comment>
    <comment authorId="0" ref="I1139">
      <text>
        <t xml:space="preserve">📦 BOSS 📮SENT 2026-05-07 💰CK 2026-05-08</t>
      </text>
    </comment>
    <comment authorId="0" ref="I82">
      <text>
        <t xml:space="preserve">📮SENT 2026-04-04 💰CK 2026-04-11</t>
      </text>
    </comment>
    <comment authorId="0" ref="I1007">
      <text>
        <t xml:space="preserve">📦EMS EB857015049CN</t>
      </text>
    </comment>
    <comment authorId="0" ref="I875">
      <text>
        <t xml:space="preserve">📦 BOSS 📮SENT 2026-04-20</t>
      </text>
    </comment>
    <comment authorId="0" ref="I1800">
      <text>
        <t xml:space="preserve">📦 BOSS 📮SENT 2026-04-28 💰CK 2026-04-29</t>
      </text>
    </comment>
    <comment authorId="0" ref="I743">
      <text>
        <t xml:space="preserve">📦 BOSS 📮SENT 2026-04-13 💰CK 2026-04-26</t>
      </text>
    </comment>
    <comment authorId="0" ref="I611">
      <text>
        <t xml:space="preserve">📮SENT 2026-04-04</t>
      </text>
    </comment>
    <comment authorId="0" ref="I479">
      <text>
        <t xml:space="preserve">📮SENT 2026-04-05 💰CK 2026-04-26</t>
      </text>
    </comment>
    <comment authorId="0" ref="I1404">
      <text>
        <t xml:space="preserve">📦 BOSS 📮SENT 2026-05-08 💰CK 2026-05-10</t>
      </text>
    </comment>
    <comment authorId="0" ref="I347">
      <text>
        <t xml:space="preserve">📦 BOSS 📮SENT 2026-04-23 💰CK 2026-04-26</t>
      </text>
    </comment>
    <comment authorId="0" ref="I1272">
      <text>
        <t xml:space="preserve">📦 BOSS 📮SENT 2026-05-09 💰CK 2026-05-10</t>
      </text>
    </comment>
    <comment authorId="0" ref="I2329">
      <text>
        <t xml:space="preserve">📦 BOSS 📮SENT 2026-06-09</t>
      </text>
    </comment>
    <comment authorId="0" ref="I215">
      <text>
        <t xml:space="preserve">📮SENT 2026-03-31 💰CK 2026-04-08</t>
      </text>
    </comment>
    <comment authorId="0" ref="I1140">
      <text>
        <t xml:space="preserve">📦 BOSS 📮SENT 2026-05-07 💰CK 2026-05-08</t>
      </text>
    </comment>
    <comment authorId="0" ref="I83">
      <text>
        <t xml:space="preserve">📮SENT 2026-03-31 💰CK 2026-03-31</t>
      </text>
    </comment>
    <comment authorId="0" ref="I1008">
      <text>
        <t xml:space="preserve">📦 BOSS 📮SENT 2026-04-23 💰CK 2026-04-27</t>
      </text>
    </comment>
    <comment authorId="0" ref="I1933">
      <text>
        <t xml:space="preserve">📦EMS EB858203321CN</t>
      </text>
    </comment>
    <comment authorId="0" ref="I876">
      <text>
        <t xml:space="preserve">📮SENT 2026-04-16 💰CK 2026-05-10</t>
      </text>
    </comment>
    <comment authorId="0" ref="I1801">
      <text>
        <t xml:space="preserve">📦 BOSS 📮SENT 2026-04-28 💰CK 2026-04-29</t>
      </text>
    </comment>
    <comment authorId="0" ref="I744">
      <text>
        <t xml:space="preserve">📦 BOSS 📮SENT 2026-04-14 💰CK 2026-04-27</t>
      </text>
    </comment>
    <comment authorId="0" ref="I1669">
      <text>
        <t xml:space="preserve">📦 BOSS 📮SENT 2026-05-12</t>
      </text>
    </comment>
    <comment authorId="0" ref="I612">
      <text>
        <t xml:space="preserve">📮SENT 2026-04-04</t>
      </text>
    </comment>
    <comment authorId="0" ref="I480">
      <text>
        <t xml:space="preserve">📮SENT 2026-04-04 💰CK 2026-05-10</t>
      </text>
    </comment>
    <comment authorId="0" ref="I2462">
      <text>
        <t xml:space="preserve">📦EMS EB859866786CN</t>
      </text>
    </comment>
    <comment authorId="0" ref="I1405">
      <text>
        <t xml:space="preserve">📦EMS EB857551400CN/EB857551736CN</t>
      </text>
    </comment>
    <comment authorId="0" ref="I348">
      <text>
        <t xml:space="preserve">📮SENT 2026-03-31 💰CK 2026-03-31</t>
      </text>
    </comment>
    <comment authorId="0" ref="I2330">
      <text>
        <t xml:space="preserve">📦 BOSS 📮SENT 2026-06-09</t>
      </text>
    </comment>
    <comment authorId="0" ref="I1273">
      <text>
        <t xml:space="preserve">📦 BOSS 📮SENT 2026-05-09 💰CK 2026-05-10</t>
      </text>
    </comment>
    <comment authorId="0" ref="I216">
      <text>
        <t xml:space="preserve">📮SENT 2026-04-04 💰CK 2026-04-10</t>
      </text>
    </comment>
    <comment authorId="0" ref="I1141">
      <text>
        <t xml:space="preserve">📦 BOSS 📮SENT 2026-04-21 💰CK 2026-05-08</t>
      </text>
    </comment>
    <comment authorId="0" ref="I84">
      <text>
        <t xml:space="preserve">📮SENT 2026-03-31 💰CK 2026-03-31</t>
      </text>
    </comment>
    <comment authorId="0" ref="I1009">
      <text>
        <t xml:space="preserve">📦 BOSS 📮SENT 2026-04-23 💰CK 2026-04-27</t>
      </text>
    </comment>
    <comment authorId="0" ref="I877">
      <text>
        <t xml:space="preserve">📦 BOSS 📮SENT 2026-04-20 💰CK 2026-05-06</t>
      </text>
    </comment>
    <comment authorId="0" ref="I1802">
      <text>
        <t xml:space="preserve">📦DƯ</t>
      </text>
    </comment>
    <comment authorId="0" ref="I745">
      <text>
        <t xml:space="preserve">📦 BOSS 📮SENT 2026-04-13 💰CK 2026-04-16</t>
      </text>
    </comment>
    <comment authorId="0" ref="I1670">
      <text>
        <t xml:space="preserve">📦 BOSS 📮SENT 2026-05-12</t>
      </text>
    </comment>
    <comment authorId="0" ref="I613">
      <text>
        <t xml:space="preserve">📮SENT 2026-04-04</t>
      </text>
    </comment>
    <comment authorId="0" ref="I481">
      <text>
        <t xml:space="preserve">📮SENT 2026-04-04 💰CK 2026-04-10</t>
      </text>
    </comment>
    <comment authorId="0" ref="I2463">
      <text>
        <t xml:space="preserve">📦EMS EB859866786CN</t>
      </text>
    </comment>
    <comment authorId="0" ref="I349">
      <text>
        <t xml:space="preserve">📮SENT 2026-03-31 💰CK 2026-03-31</t>
      </text>
    </comment>
    <comment authorId="0" ref="I1274">
      <text>
        <t xml:space="preserve">📦EMS EB857551400CN/EB857551736CN 📮SENT 2026-05-07 💰CK 2026-05-10</t>
      </text>
    </comment>
    <comment authorId="0" ref="I2331">
      <text>
        <t xml:space="preserve">📦 BOSS 📮SENT 2026-06-09</t>
      </text>
    </comment>
    <comment authorId="0" ref="I217">
      <text>
        <t xml:space="preserve">📮SENT 2026-03-31 💰CK 2026-04-08</t>
      </text>
    </comment>
    <comment authorId="0" ref="I1142">
      <text>
        <t xml:space="preserve">📦 BOSS 📮SENT 2026-04-21 💰CK 2026-05-08</t>
      </text>
    </comment>
    <comment authorId="0" ref="I85">
      <text>
        <t xml:space="preserve">📮SENT 2026-03-31 💰CK 2026-03-31</t>
      </text>
    </comment>
    <comment authorId="0" ref="I1010">
      <text>
        <t xml:space="preserve">📦 BOSS 📮SENT 2026-04-23 💰CK 2026-04-27</t>
      </text>
    </comment>
    <comment authorId="0" ref="I878">
      <text>
        <t xml:space="preserve">📦 BOSS 📮SENT 2026-04-18 💰CK 2026-04-26</t>
      </text>
    </comment>
    <comment authorId="0" ref="I1803">
      <text>
        <t xml:space="preserve">📦DƯ</t>
      </text>
    </comment>
    <comment authorId="0" ref="I746">
      <text>
        <t xml:space="preserve">📮SENT 2026-04-16 💰CK 2026-04-26</t>
      </text>
    </comment>
    <comment authorId="0" ref="I2728">
      <text>
        <t xml:space="preserve">📦DƯ</t>
      </text>
    </comment>
    <comment authorId="0" ref="I1671">
      <text>
        <t xml:space="preserve">📦 BOSS 📮SENT 2026-05-12</t>
      </text>
    </comment>
    <comment authorId="0" ref="I614">
      <text>
        <t xml:space="preserve">📮SENT 2026-04-04</t>
      </text>
    </comment>
    <comment authorId="0" ref="I482">
      <text>
        <t xml:space="preserve">📮SENT 2026-04-04 💰CK 2026-04-10</t>
      </text>
    </comment>
    <comment authorId="0" ref="I2464">
      <text>
        <t xml:space="preserve">📦EMS EB859664846CN</t>
      </text>
    </comment>
    <comment authorId="0" ref="I350">
      <text>
        <t xml:space="preserve">📮SENT 2026-04-05 💰CK 2026-04-11</t>
      </text>
    </comment>
    <comment authorId="0" ref="I2332">
      <text>
        <t xml:space="preserve">📦 BOSS 📮SENT 2026-06-09</t>
      </text>
    </comment>
    <comment authorId="0" ref="I1275">
      <text>
        <t xml:space="preserve">📦EMS EB857551400CN/EB857551736CN 📮SENT 2026-05-07 💰CK 2026-05-10</t>
      </text>
    </comment>
    <comment authorId="0" ref="I218">
      <text>
        <t xml:space="preserve">📮SENT 2026-03-31 💰CK 2026-03-31</t>
      </text>
    </comment>
    <comment authorId="0" ref="I1143">
      <text>
        <t xml:space="preserve">📦 BOSS 📮SENT 2026-05-07 💰CK 2026-05-08</t>
      </text>
    </comment>
    <comment authorId="0" ref="I86">
      <text>
        <t xml:space="preserve">📮SENT 2026-04-04 💰CK 2026-04-04</t>
      </text>
    </comment>
    <comment authorId="0" ref="I1011">
      <text>
        <t xml:space="preserve">📦 BOSS 📮SENT 2026-04-28 💰CK 2026-05-06</t>
      </text>
    </comment>
    <comment authorId="0" ref="I879">
      <text>
        <t xml:space="preserve">📦 BOSS 📮SENT 2026-04-18 💰CK 2026-04-26</t>
      </text>
    </comment>
    <comment authorId="0" ref="I1804">
      <text>
        <t xml:space="preserve">📦 BOSS 📮SENT 2026-04-28</t>
      </text>
    </comment>
    <comment authorId="0" ref="I747">
      <text>
        <t xml:space="preserve">📦 BOSS 📮SENT 2026-04-18 💰CK 2026-04-26</t>
      </text>
    </comment>
    <comment authorId="0" ref="I1672">
      <text>
        <t xml:space="preserve">📦EMS EB858203321CN</t>
      </text>
    </comment>
    <comment authorId="0" ref="I615">
      <text>
        <t xml:space="preserve">📮SENT 2026-04-04 💰CK 2026-04-10</t>
      </text>
    </comment>
    <comment authorId="0" ref="I483">
      <text>
        <t xml:space="preserve">📦 BOSS 📮SENT 2026-04-14</t>
      </text>
    </comment>
    <comment authorId="0" ref="I1408">
      <text>
        <t xml:space="preserve">📦 BOSS 📮SENT 2026-05-09 💰CK 2026-05-10</t>
      </text>
    </comment>
    <comment authorId="0" ref="I2465">
      <text>
        <t xml:space="preserve">📦EMS EB859866786CN</t>
      </text>
    </comment>
    <comment authorId="0" ref="I351">
      <text>
        <t xml:space="preserve">📮SENT 2026-04-04 💰CK 2026-04-11</t>
      </text>
    </comment>
    <comment authorId="0" ref="I2333">
      <text>
        <t xml:space="preserve">📦DƯ</t>
      </text>
    </comment>
    <comment authorId="0" ref="I219">
      <text>
        <t xml:space="preserve">📮SENT 2026-03-31</t>
      </text>
    </comment>
    <comment authorId="0" ref="I1144">
      <text>
        <t xml:space="preserve">📦 BOSS 📮SENT 2026-05-07 💰CK 2026-05-10</t>
      </text>
    </comment>
    <comment authorId="0" ref="I87">
      <text>
        <t xml:space="preserve">📮SENT 2026-03-31 💰CK 2026-03-31</t>
      </text>
    </comment>
    <comment authorId="0" ref="I1012">
      <text>
        <t xml:space="preserve">📦 BOSS 📮SENT 2026-04-28 💰CK 2026-05-06</t>
      </text>
    </comment>
    <comment authorId="0" ref="I880">
      <text>
        <t xml:space="preserve">📦 BOSS 📮SENT 2026-04-27 💰CK 2026-05-06</t>
      </text>
    </comment>
    <comment authorId="0" ref="I1805">
      <text>
        <t xml:space="preserve">📦 BOSS 📮SENT 2026-04-27 💰CK 2026-04-29</t>
      </text>
    </comment>
    <comment authorId="0" ref="I748">
      <text>
        <t xml:space="preserve">📦 BOSS 📮SENT 2026-04-18</t>
      </text>
    </comment>
    <comment authorId="0" ref="I2730">
      <text>
        <t xml:space="preserve">📦 BOSS 📮SENT 2026-06-04</t>
      </text>
    </comment>
    <comment authorId="0" ref="I616">
      <text>
        <t xml:space="preserve">📮SENT 2026-04-04 💰CK 2026-04-10</t>
      </text>
    </comment>
    <comment authorId="0" ref="I484">
      <text>
        <t xml:space="preserve">📦 BOSS 📮SENT 2026-04-13</t>
      </text>
    </comment>
    <comment authorId="0" ref="I2466">
      <text>
        <t xml:space="preserve">📦EMS EB859866786CN</t>
      </text>
    </comment>
    <comment authorId="0" ref="I1409">
      <text>
        <t xml:space="preserve">📦 BOSS 📮SENT 2026-05-09 💰CK 2026-05-10</t>
      </text>
    </comment>
    <comment authorId="0" ref="I352">
      <text>
        <t xml:space="preserve">📮SENT 2026-03-31 💰CK 2026-03-31</t>
      </text>
    </comment>
    <comment authorId="0" ref="I2334">
      <text>
        <t xml:space="preserve">📦 BOSS 📮SENT 2026-06-04 💰CK 2026-06-08</t>
      </text>
    </comment>
    <comment authorId="0" ref="I1277">
      <text>
        <t xml:space="preserve">📦 BOSS 📮SENT 2026-05-07 💰CK 2026-05-08</t>
      </text>
    </comment>
    <comment authorId="0" ref="I220">
      <text>
        <t xml:space="preserve">📮SENT 2026-03-31</t>
      </text>
    </comment>
    <comment authorId="0" ref="I1145">
      <text>
        <t xml:space="preserve">📦 BOSS 📮SENT 2026-05-07 💰CK 2026-05-10</t>
      </text>
    </comment>
    <comment authorId="0" ref="I88">
      <text>
        <t xml:space="preserve">📮SENT 2026-03-31 💰CK 2026-04-11</t>
      </text>
    </comment>
    <comment authorId="0" ref="I1013">
      <text>
        <t xml:space="preserve">📦 BOSS 📮SENT 2026-04-28 💰CK 2026-05-06</t>
      </text>
    </comment>
    <comment authorId="0" ref="I881">
      <text>
        <t xml:space="preserve">📦 BOSS 📮SENT 2026-04-27 💰CK 2026-04-29</t>
      </text>
    </comment>
    <comment authorId="0" ref="I1806">
      <text>
        <t xml:space="preserve">📦 BOSS 📮SENT 2026-04-27 💰CK 2026-04-27</t>
      </text>
    </comment>
    <comment authorId="0" ref="I749">
      <text>
        <t xml:space="preserve">📦 BOSS 📮SENT 2026-04-14 💰CK 2026-05-10</t>
      </text>
    </comment>
    <comment authorId="0" ref="I2731">
      <text>
        <t xml:space="preserve">📦EMS EB859424465CN</t>
      </text>
    </comment>
    <comment authorId="0" ref="I617">
      <text>
        <t xml:space="preserve">📮SENT 2026-04-11</t>
      </text>
    </comment>
    <comment authorId="0" ref="I1542">
      <text>
        <t xml:space="preserve">📦 BOSS 📮SENT 2026-05-12</t>
      </text>
    </comment>
    <comment authorId="0" ref="I485">
      <text>
        <t xml:space="preserve">📦 BOSS 📮SENT 2026-04-14 💰CK 2026-04-26</t>
      </text>
    </comment>
    <comment authorId="0" ref="I1410">
      <text>
        <t xml:space="preserve">📦 BOSS 📮SENT 2026-05-09 💰CK 2026-05-10</t>
      </text>
    </comment>
    <comment authorId="0" ref="I2467">
      <text>
        <t xml:space="preserve">📦EMS EB859664846CN</t>
      </text>
    </comment>
    <comment authorId="0" ref="I353">
      <text>
        <t xml:space="preserve">📮SENT 2026-03-31 💰CK 2026-03-31</t>
      </text>
    </comment>
    <comment authorId="0" ref="I2335">
      <text>
        <t xml:space="preserve">📦 BOSS 📮SENT 2026-06-04 💰CK 2026-06-08</t>
      </text>
    </comment>
    <comment authorId="0" ref="I221">
      <text>
        <t xml:space="preserve">📮SENT 2026-03-31 💰CK 2026-04-26</t>
      </text>
    </comment>
    <comment authorId="0" ref="I1146">
      <text>
        <t xml:space="preserve">📦 BOSS 📮SENT 2026-04-29 💰CK 2026-05-10</t>
      </text>
    </comment>
    <comment authorId="0" ref="I89">
      <text>
        <t xml:space="preserve">📮SENT 2026-03-31 💰CK 2026-04-17</t>
      </text>
    </comment>
    <comment authorId="0" ref="I1014">
      <text>
        <t xml:space="preserve">📦 BOSS 📮SENT 2026-04-28 💰CK 2026-05-06</t>
      </text>
    </comment>
    <comment authorId="0" ref="I882">
      <text>
        <t xml:space="preserve">📦 BOSS 📮SENT 2026-04-27 💰CK 2026-04-29</t>
      </text>
    </comment>
    <comment authorId="0" ref="I750">
      <text>
        <t xml:space="preserve">📦 BOSS 📮SENT 2026-04-12 💰CK 2026-04-13</t>
      </text>
    </comment>
    <comment authorId="0" ref="I618">
      <text>
        <t xml:space="preserve">📮SENT 2026-04-11</t>
      </text>
    </comment>
    <comment authorId="0" ref="I1543">
      <text>
        <t xml:space="preserve">📦 BOSS 📮SENT 2026-05-12</t>
      </text>
    </comment>
    <comment authorId="0" ref="I486">
      <text>
        <t xml:space="preserve">📦 BOSS 📮SENT 2026-04-13 💰CK 2026-04-26</t>
      </text>
    </comment>
    <comment authorId="0" ref="I2468">
      <text>
        <t xml:space="preserve">📦 BOSS 📮SENT 2026-06-09</t>
      </text>
    </comment>
    <comment authorId="0" ref="I1411">
      <text>
        <t xml:space="preserve">📦 BOSS 📮SENT 2026-05-09 💰CK 2026-05-10</t>
      </text>
    </comment>
    <comment authorId="0" ref="I354">
      <text>
        <t xml:space="preserve">📮SENT 2026-04-04 💰CK 2026-04-11</t>
      </text>
    </comment>
    <comment authorId="0" ref="I2336">
      <text>
        <t xml:space="preserve">📦 BOSS 📮SENT 2026-06-01</t>
      </text>
    </comment>
    <comment authorId="0" ref="I1279">
      <text>
        <t xml:space="preserve">📦EMS EB857551400CN/EB857551736CN</t>
      </text>
    </comment>
    <comment authorId="0" ref="I222">
      <text>
        <t xml:space="preserve">📮SENT 2026-04-02 💰CK 2026-04-11</t>
      </text>
    </comment>
    <comment authorId="0" ref="I1147">
      <text>
        <t xml:space="preserve">📦 BOSS 📮SENT 2026-04-29 💰CK 2026-05-10</t>
      </text>
    </comment>
    <comment authorId="0" ref="I90">
      <text>
        <t xml:space="preserve">📮SENT 2026-03-31 💰CK 2026-05-10</t>
      </text>
    </comment>
    <comment authorId="0" ref="I1015">
      <text>
        <t xml:space="preserve">📦 BOSS 📮SENT 2026-04-28 💰CK 2026-05-06</t>
      </text>
    </comment>
    <comment authorId="0" ref="I883">
      <text>
        <t xml:space="preserve">📦 BOSS 📮SENT 2026-04-27 💰CK 2026-04-29</t>
      </text>
    </comment>
    <comment authorId="0" ref="I751">
      <text>
        <t xml:space="preserve">📦 BOSS 📮SENT 2026-04-14 💰CK 2026-04-26</t>
      </text>
    </comment>
    <comment authorId="0" ref="I1676">
      <text>
        <t xml:space="preserve">📦EMS EB858203321CN</t>
      </text>
    </comment>
    <comment authorId="0" ref="I619">
      <text>
        <t xml:space="preserve">📮SENT 2026-04-04</t>
      </text>
    </comment>
    <comment authorId="0" ref="I487">
      <text>
        <t xml:space="preserve">📦 BOSS 📮SENT 2026-04-13 💰CK 2026-04-21</t>
      </text>
    </comment>
    <comment authorId="0" ref="I1412">
      <text>
        <t xml:space="preserve">📦 BOSS 📮SENT 2026-05-09 💰CK 2026-05-10</t>
      </text>
    </comment>
    <comment authorId="0" ref="I2469">
      <text>
        <t xml:space="preserve">📦EMS EB859664846CN</t>
      </text>
    </comment>
    <comment authorId="0" ref="I355">
      <text>
        <t xml:space="preserve">📮SENT 2026-03-31 💰CK 2026-04-02</t>
      </text>
    </comment>
    <comment authorId="0" ref="I1280">
      <text>
        <t xml:space="preserve">📦EMS EB857551400CN/EB857551736CN</t>
      </text>
    </comment>
    <comment authorId="0" ref="I2337">
      <text>
        <t xml:space="preserve">📦 BOSS 📮SENT 2026-06-01</t>
      </text>
    </comment>
    <comment authorId="0" ref="I223">
      <text>
        <t xml:space="preserve">📮SENT 2026-04-02 💰CK 2026-04-11</t>
      </text>
    </comment>
    <comment authorId="0" ref="I1148">
      <text>
        <t xml:space="preserve">📦 BOSS 📮SENT 2026-04-28</t>
      </text>
    </comment>
    <comment authorId="0" ref="I91">
      <text>
        <t xml:space="preserve">📮SENT 2026-03-31 💰CK 2026-03-31</t>
      </text>
    </comment>
    <comment authorId="0" ref="I1016">
      <text>
        <t xml:space="preserve">📦 BOSS 📮SENT 2026-04-28 💰CK 2026-05-06</t>
      </text>
    </comment>
    <comment authorId="0" ref="I884">
      <text>
        <t xml:space="preserve">📦 BOSS 📮SENT 2026-04-27 💰CK 2026-04-29</t>
      </text>
    </comment>
    <comment authorId="0" ref="I1809">
      <text>
        <t xml:space="preserve">📦EMS EB858203321CN</t>
      </text>
    </comment>
    <comment authorId="0" ref="I752">
      <text>
        <t xml:space="preserve">📮SENT 2026-04-16 💰CK 2026-05-06</t>
      </text>
    </comment>
    <comment authorId="0" ref="I620">
      <text>
        <t xml:space="preserve">📮SENT 2026-04-04</t>
      </text>
    </comment>
    <comment authorId="0" ref="I488">
      <text>
        <t xml:space="preserve">📦EMS EB856696646CN</t>
      </text>
    </comment>
    <comment authorId="0" ref="I1413">
      <text>
        <t xml:space="preserve">📦 BOSS 📮SENT 2026-05-09 💰CK 2026-05-10</t>
      </text>
    </comment>
    <comment authorId="0" ref="I356">
      <text>
        <t xml:space="preserve">📮SENT 2026-04-20 💰CK 2026-04-26</t>
      </text>
    </comment>
    <comment authorId="0" ref="I2338">
      <text>
        <t xml:space="preserve">📦 BOSS 📮SENT 2026-05-28</t>
      </text>
    </comment>
    <comment authorId="0" ref="I1281">
      <text>
        <t xml:space="preserve">📦 BOSS 📮SENT 2026-04-29</t>
      </text>
    </comment>
    <comment authorId="0" ref="I224">
      <text>
        <t xml:space="preserve">📮SENT 2026-04-02 💰CK 2026-04-11</t>
      </text>
    </comment>
    <comment authorId="0" ref="I1149">
      <text>
        <t xml:space="preserve">📦 BOSS 📮SENT 2026-05-11</t>
      </text>
    </comment>
    <comment authorId="0" ref="I92">
      <text>
        <t xml:space="preserve">📮SENT 2026-03-31 💰CK 2026-03-31</t>
      </text>
    </comment>
    <comment authorId="0" ref="I1017">
      <text>
        <t xml:space="preserve">📦 BOSS 📮SENT 2026-04-28 💰CK 2026-05-06</t>
      </text>
    </comment>
    <comment authorId="0" ref="I1942">
      <text>
        <t xml:space="preserve">📦 BOSS 📮SENT 2026-05-11</t>
      </text>
    </comment>
    <comment authorId="0" ref="I885">
      <text>
        <t xml:space="preserve">📦 BOSS 📮SENT 2026-04-27 💰CK 2026-04-29</t>
      </text>
    </comment>
    <comment authorId="0" ref="I753">
      <text>
        <t xml:space="preserve">📦 BOSS 📮SENT 2026-05-07 💰CK 2026-05-08</t>
      </text>
    </comment>
    <comment authorId="0" ref="I2735">
      <text>
        <t xml:space="preserve">📦DƯ</t>
      </text>
    </comment>
    <comment authorId="0" ref="I621">
      <text>
        <t xml:space="preserve">📦 BOSS 📮SENT 2026-04-12 💰CK 2026-04-13</t>
      </text>
    </comment>
    <comment authorId="0" ref="I489">
      <text>
        <t xml:space="preserve">📦 BOSS 📮SENT 2026-04-12</t>
      </text>
    </comment>
    <comment authorId="0" ref="I2471">
      <text>
        <t xml:space="preserve">📦EMS EB859664846CN</t>
      </text>
    </comment>
    <comment authorId="0" ref="I357">
      <text>
        <t xml:space="preserve">📮SENT 2026-04-21 💰CK 2026-04-26</t>
      </text>
    </comment>
    <comment authorId="0" ref="I1282">
      <text>
        <t xml:space="preserve">📦 BOSS 📮SENT 2026-04-29</t>
      </text>
    </comment>
    <comment authorId="0" ref="I2339">
      <text>
        <t xml:space="preserve">📦 BOSS 📮SENT 2026-05-28 💰CK 2026-06-08</t>
      </text>
    </comment>
    <comment authorId="0" ref="I225">
      <text>
        <t xml:space="preserve">📮SENT 2026-03-31 💰CK 2026-03-31</t>
      </text>
    </comment>
    <comment authorId="0" ref="I1150">
      <text>
        <t xml:space="preserve">📦 BOSS 📮SENT 2026-05-11</t>
      </text>
    </comment>
    <comment authorId="0" ref="I93">
      <text>
        <t xml:space="preserve">📮SENT 2026-03-31 💰CK 2026-03-31</t>
      </text>
    </comment>
    <comment authorId="0" ref="I1018">
      <text>
        <t xml:space="preserve">📦 BOSS 📮SENT 2026-05-09 💰CK 2026-05-10</t>
      </text>
    </comment>
    <comment authorId="0" ref="I1943">
      <text>
        <t xml:space="preserve">📦 BOSS 📮SENT 2026-05-11</t>
      </text>
    </comment>
    <comment authorId="0" ref="I886">
      <text>
        <t xml:space="preserve">📮SENT 2026-04-16 💰CK 2026-04-20</t>
      </text>
    </comment>
    <comment authorId="0" ref="I754">
      <text>
        <t xml:space="preserve">📮SENT 2026-04-16 💰CK 2026-04-20</t>
      </text>
    </comment>
    <comment authorId="0" ref="I2736">
      <text>
        <t xml:space="preserve">📦DƯ</t>
      </text>
    </comment>
    <comment authorId="0" ref="I622">
      <text>
        <t xml:space="preserve">📦 BOSS 📮SENT 2026-04-12 💰CK 2026-04-13</t>
      </text>
    </comment>
    <comment authorId="0" ref="I490">
      <text>
        <t xml:space="preserve">📦 BOSS 📮SENT 2026-04-13 💰CK 2026-04-21</t>
      </text>
    </comment>
    <comment authorId="0" ref="I2472">
      <text>
        <t xml:space="preserve">📦EMS EB859664846CN</t>
      </text>
    </comment>
    <comment authorId="0" ref="I358">
      <text>
        <t xml:space="preserve">📮SENT 2026-04-06 💰CK 2026-04-08</t>
      </text>
    </comment>
    <comment authorId="0" ref="I2340">
      <text>
        <t xml:space="preserve">📦 BOSS 📮SENT 2026-06-04</t>
      </text>
    </comment>
    <comment authorId="0" ref="I1283">
      <text>
        <t xml:space="preserve">📦 BOSS 📮SENT 2026-04-29</t>
      </text>
    </comment>
    <comment authorId="0" ref="I226">
      <text>
        <t xml:space="preserve">📮SENT 2026-04-29 💰CK 2026-05-10</t>
      </text>
    </comment>
    <comment authorId="0" ref="I1151">
      <text>
        <t xml:space="preserve">📦 BOSS 📮SENT 2026-04-28 💰CK 2026-05-10</t>
      </text>
    </comment>
    <comment authorId="0" ref="I94">
      <text>
        <t xml:space="preserve">📮SENT 2026-03-31</t>
      </text>
    </comment>
    <comment authorId="0" ref="I1019">
      <text>
        <t xml:space="preserve">📦 BOSS 📮SENT 2026-05-09 💰CK 2026-05-10</t>
      </text>
    </comment>
    <comment authorId="0" ref="I887">
      <text>
        <t xml:space="preserve">📦EMS EB856696646CN 📮SENT 2026-04-16 💰CK 2026-04-20</t>
      </text>
    </comment>
    <comment authorId="0" ref="I755">
      <text>
        <t xml:space="preserve">📦 BOSS 📮SENT 2026-04-16 💰CK 2026-05-10</t>
      </text>
    </comment>
    <comment authorId="0" ref="I2737">
      <text>
        <t xml:space="preserve">📦 BOSS 📮SENT 2026-06-04</t>
      </text>
    </comment>
    <comment authorId="0" ref="I623">
      <text>
        <t xml:space="preserve">📦 BOSS 📮SENT 2026-04-12 💰CK 2026-04-13</t>
      </text>
    </comment>
    <comment authorId="0" ref="I491">
      <text>
        <t xml:space="preserve">📦 BOSS 📮SENT 2026-04-13 💰CK 2026-04-26</t>
      </text>
    </comment>
    <comment authorId="0" ref="I2473">
      <text>
        <t xml:space="preserve">📦EMS EB859664846CN</t>
      </text>
    </comment>
    <comment authorId="0" ref="I359">
      <text>
        <t xml:space="preserve">📮SENT 2026-04-04 💰CK 2026-04-11</t>
      </text>
    </comment>
    <comment authorId="0" ref="I1284">
      <text>
        <t xml:space="preserve">📦 BOSS 📮SENT 2026-04-29</t>
      </text>
    </comment>
    <comment authorId="0" ref="I2341">
      <text>
        <t xml:space="preserve">📦 BOSS 📮SENT 2026-06-09</t>
      </text>
    </comment>
    <comment authorId="0" ref="I227">
      <text>
        <t xml:space="preserve">📮SENT 2026-03-31 💰CK 2026-04-02</t>
      </text>
    </comment>
    <comment authorId="0" ref="I95">
      <text>
        <t xml:space="preserve">📮SENT 2026-03-31 💰CK 2026-03-31</t>
      </text>
    </comment>
    <comment authorId="0" ref="I1020">
      <text>
        <t xml:space="preserve">📦EMS EB857231330CN</t>
      </text>
    </comment>
    <comment authorId="0" ref="I888">
      <text>
        <t xml:space="preserve">📦EMS EB856696646CN 📮SENT 2026-04-16 💰CK 2026-04-20</t>
      </text>
    </comment>
    <comment authorId="0" ref="I756">
      <text>
        <t xml:space="preserve">📦 BOSS 📮SENT 2026-04-16 💰CK 2026-04-26</t>
      </text>
    </comment>
    <comment authorId="0" ref="I2738">
      <text>
        <t xml:space="preserve">📦 BOSS 📮SENT 2026-06-04</t>
      </text>
    </comment>
    <comment authorId="0" ref="I624">
      <text>
        <t xml:space="preserve">📦 BOSS 📮SENT 2026-04-12 💰CK 2026-04-13</t>
      </text>
    </comment>
    <comment authorId="0" ref="I492">
      <text>
        <t xml:space="preserve">📦 BOSS 📮SENT 2026-04-13</t>
      </text>
    </comment>
    <comment authorId="0" ref="I2474">
      <text>
        <t xml:space="preserve">📦EMS EB859664846CN</t>
      </text>
    </comment>
    <comment authorId="0" ref="I360">
      <text>
        <t xml:space="preserve">📮SENT 2026-04-04 💰CK 2026-04-10</t>
      </text>
    </comment>
    <comment authorId="0" ref="I2342">
      <text>
        <t xml:space="preserve">📦EMS EB859866786CN</t>
      </text>
    </comment>
    <comment authorId="0" ref="I228">
      <text>
        <t xml:space="preserve">📮SENT 2026-03-31 💰CK 2026-04-02</t>
      </text>
    </comment>
    <comment authorId="0" ref="I1153">
      <text>
        <t xml:space="preserve">📦EMS EB857446344CN</t>
      </text>
    </comment>
    <comment authorId="0" ref="I96">
      <text>
        <t xml:space="preserve">💰CK 2026-03-31</t>
      </text>
    </comment>
    <comment authorId="0" ref="I1021">
      <text>
        <t xml:space="preserve">📦 BOSS 📮SENT 2026-04-20 💰CK 2026-04-22</t>
      </text>
    </comment>
    <comment authorId="0" ref="I889">
      <text>
        <t xml:space="preserve">📮SENT 2026-04-16 💰CK 2026-04-20</t>
      </text>
    </comment>
    <comment authorId="0" ref="I1814">
      <text>
        <t xml:space="preserve">📦EMS EB858203321CN</t>
      </text>
    </comment>
    <comment authorId="0" ref="I757">
      <text>
        <t xml:space="preserve">📦 BOSS 📮SENT 2026-04-18 💰CK 2026-05-10</t>
      </text>
    </comment>
    <comment authorId="0" ref="I2739">
      <text>
        <t xml:space="preserve">📦 BOSS 📮SENT 2026-06-04</t>
      </text>
    </comment>
    <comment authorId="0" ref="I625">
      <text>
        <t xml:space="preserve">📦 BOSS 📮SENT 2026-04-12 💰CK 2026-04-13</t>
      </text>
    </comment>
    <comment authorId="0" ref="I493">
      <text>
        <t xml:space="preserve">📮SENT 2026-04-04 💰CK 2026-04-08</t>
      </text>
    </comment>
    <comment authorId="0" ref="I2475">
      <text>
        <t xml:space="preserve">📦EMS EB859664846CN</t>
      </text>
    </comment>
    <comment authorId="0" ref="I361">
      <text>
        <t xml:space="preserve">📮SENT 2026-04-04 💰CK 2026-04-11</t>
      </text>
    </comment>
    <comment authorId="0" ref="I2343">
      <text>
        <t xml:space="preserve">📦 BOSS 📮SENT 2026-06-10</t>
      </text>
    </comment>
    <comment authorId="0" ref="I229">
      <text>
        <t xml:space="preserve">📮SENT 2026-03-31 💰CK 2026-03-31</t>
      </text>
    </comment>
    <comment authorId="0" ref="I1154">
      <text>
        <t xml:space="preserve">📦EMS EB857446344CN</t>
      </text>
    </comment>
    <comment authorId="0" ref="I97">
      <text>
        <t xml:space="preserve">📮SENT 2026-03-31 💰CK 2026-03-31</t>
      </text>
    </comment>
    <comment authorId="0" ref="I1022">
      <text>
        <t xml:space="preserve">📦 BOSS 📮SENT 2026-04-20 💰CK 2026-04-22</t>
      </text>
    </comment>
    <comment authorId="0" ref="I1947">
      <text>
        <t xml:space="preserve">📦EMS EB858203321CN</t>
      </text>
    </comment>
    <comment authorId="0" ref="I890">
      <text>
        <t xml:space="preserve">📮SENT 2026-04-16 💰CK 2026-04-20</t>
      </text>
    </comment>
    <comment authorId="0" ref="I1815">
      <text>
        <t xml:space="preserve">📦EMS EB858203321CN</t>
      </text>
    </comment>
    <comment authorId="0" ref="I758">
      <text>
        <t xml:space="preserve">📦 BOSS 📮SENT 2026-04-15 💰CK 2026-05-10</t>
      </text>
    </comment>
    <comment authorId="0" ref="I626">
      <text>
        <t xml:space="preserve">📦 BOSS 📮SENT 2026-04-12 💰CK 2026-04-13</t>
      </text>
    </comment>
    <comment authorId="0" ref="I1551">
      <text>
        <t xml:space="preserve">📦EMS EB858203321CN</t>
      </text>
    </comment>
    <comment authorId="0" ref="I494">
      <text>
        <t xml:space="preserve">📮SENT 2026-04-19</t>
      </text>
    </comment>
    <comment authorId="0" ref="I2476">
      <text>
        <t xml:space="preserve">📦EMS EB859866786CN</t>
      </text>
    </comment>
    <comment authorId="0" ref="I1419">
      <text>
        <t xml:space="preserve">📦EMS EB857446344CN</t>
      </text>
    </comment>
    <comment authorId="0" ref="I362">
      <text>
        <t xml:space="preserve">📮SENT 2026-03-31 💰CK 2026-03-31</t>
      </text>
    </comment>
    <comment authorId="0" ref="I2344">
      <text>
        <t xml:space="preserve">📦 BOSS 📮SENT 2026-06-10</t>
      </text>
    </comment>
    <comment authorId="0" ref="I1287">
      <text>
        <t xml:space="preserve">📦EMS EB857551400CN/EB857551736CN</t>
      </text>
    </comment>
    <comment authorId="0" ref="I230">
      <text>
        <t xml:space="preserve">📮SENT 2026-03-31 💰CK 2026-03-31</t>
      </text>
    </comment>
    <comment authorId="0" ref="I1155">
      <text>
        <t xml:space="preserve">📦EMS EB857446344CN</t>
      </text>
    </comment>
    <comment authorId="0" ref="I98">
      <text>
        <t xml:space="preserve">💰CK 2026-03-31</t>
      </text>
    </comment>
    <comment authorId="0" ref="I1023">
      <text>
        <t xml:space="preserve">📦 BOSS 📮SENT 2026-04-20 💰CK 2026-04-22</t>
      </text>
    </comment>
    <comment authorId="0" ref="I891">
      <text>
        <t xml:space="preserve">📦 BOSS 📮SENT 2026-04-27 💰CK 2026-04-27</t>
      </text>
    </comment>
    <comment authorId="0" ref="I1816">
      <text>
        <t xml:space="preserve">📦EMS EB858203321CN</t>
      </text>
    </comment>
    <comment authorId="0" ref="I759">
      <text>
        <t xml:space="preserve">📮SENT 2026-04-16 💰CK 2026-04-21</t>
      </text>
    </comment>
    <comment authorId="0" ref="I2741">
      <text>
        <t xml:space="preserve">📦 BOSS 📮SENT 2026-06-10</t>
      </text>
    </comment>
    <comment authorId="0" ref="I627">
      <text>
        <t xml:space="preserve">📮SENT 2026-04-05 💰CK 2026-04-11</t>
      </text>
    </comment>
    <comment authorId="0" ref="I1552">
      <text>
        <t xml:space="preserve">📦EMS EB858203321CN</t>
      </text>
    </comment>
    <comment authorId="0" ref="I495">
      <text>
        <t xml:space="preserve">📦 BOSS 📮SENT 2026-04-21 💰CK 2026-05-10</t>
      </text>
    </comment>
    <comment authorId="0" ref="I1420">
      <text>
        <t xml:space="preserve">📦EMS EB857446344CN</t>
      </text>
    </comment>
    <comment authorId="0" ref="I2477">
      <text>
        <t xml:space="preserve">📦EMS EB859664846CN</t>
      </text>
    </comment>
    <comment authorId="0" ref="I363">
      <text>
        <t xml:space="preserve">📮SENT 2026-03-31 💰CK 2026-03-31</t>
      </text>
    </comment>
    <comment authorId="0" ref="I1288">
      <text>
        <t xml:space="preserve">📦 BOSS 📮SENT 2026-04-29</t>
      </text>
    </comment>
    <comment authorId="0" ref="I2345">
      <text>
        <t xml:space="preserve">📦 BOSS 📮SENT 2026-06-10</t>
      </text>
    </comment>
    <comment authorId="0" ref="I231">
      <text>
        <t xml:space="preserve">📮SENT 2026-03-31 💰CK 2026-03-31</t>
      </text>
    </comment>
    <comment authorId="0" ref="I1156">
      <text>
        <t xml:space="preserve">📦EMS EB857446344CN</t>
      </text>
    </comment>
    <comment authorId="0" ref="I99">
      <text>
        <t xml:space="preserve">📮SENT 2026-03-31</t>
      </text>
    </comment>
    <comment authorId="0" ref="I1024">
      <text>
        <t xml:space="preserve">📦 BOSS 📮SENT 2026-04-20 💰CK 2026-04-22</t>
      </text>
    </comment>
    <comment authorId="0" ref="I1817">
      <text>
        <t xml:space="preserve">📦EMS EB858203321CN</t>
      </text>
    </comment>
    <comment authorId="0" ref="I760">
      <text>
        <t xml:space="preserve">📮SENT 2026-04-16 💰CK 2026-04-17</t>
      </text>
    </comment>
    <comment authorId="0" ref="I2742">
      <text>
        <t xml:space="preserve">📦 BOSS 📮SENT 2026-06-04</t>
      </text>
    </comment>
    <comment authorId="0" ref="I628">
      <text>
        <t xml:space="preserve">📮SENT 2026-04-05 💰CK 2026-04-11</t>
      </text>
    </comment>
    <comment authorId="0" ref="I496">
      <text>
        <t xml:space="preserve">📦 BOSS 📮SENT 2026-04-12 💰CK 2026-04-13</t>
      </text>
    </comment>
    <comment authorId="0" ref="I2478">
      <text>
        <t xml:space="preserve">📦EMS EB859664846CN</t>
      </text>
    </comment>
    <comment authorId="0" ref="I1421">
      <text>
        <t xml:space="preserve">📦EMS EB857446239CN</t>
      </text>
    </comment>
    <comment authorId="0" ref="I364">
      <text>
        <t xml:space="preserve">📮SENT 2026-03-31 💰CK 2026-04-02</t>
      </text>
    </comment>
    <comment authorId="0" ref="I2346">
      <text>
        <t xml:space="preserve">📦 BOSS 📮SENT 2026-06-10</t>
      </text>
    </comment>
    <comment authorId="0" ref="I1289">
      <text>
        <t xml:space="preserve">📦 BOSS 📮SENT 2026-04-29</t>
      </text>
    </comment>
    <comment authorId="0" ref="I232">
      <text>
        <t xml:space="preserve">📮SENT 2026-03-31 💰CK 2026-03-31</t>
      </text>
    </comment>
    <comment authorId="0" ref="I1157">
      <text>
        <t xml:space="preserve">📦EMS EB857446344CN</t>
      </text>
    </comment>
    <comment authorId="0" ref="I100">
      <text>
        <t xml:space="preserve">📮SENT 2026-03-31 💰CK 2026-04-02</t>
      </text>
    </comment>
    <comment authorId="0" ref="I1025">
      <text>
        <t xml:space="preserve">📦 BOSS 📮SENT 2026-04-18 💰CK 2026-04-27</t>
      </text>
    </comment>
    <comment authorId="0" ref="I3007">
      <text>
        <t xml:space="preserve">📦DƯ</t>
      </text>
    </comment>
    <comment authorId="0" ref="I893">
      <text>
        <t xml:space="preserve">📦 BOSS 📮SENT 2026-04-27 💰CK 2026-04-27</t>
      </text>
    </comment>
    <comment authorId="0" ref="I1818">
      <text>
        <t xml:space="preserve">📦 BOSS 📮SENT 2026-05-12</t>
      </text>
    </comment>
    <comment authorId="0" ref="I2743">
      <text>
        <t xml:space="preserve">📦 BOSS 📮SENT 2026-06-04</t>
      </text>
    </comment>
    <comment authorId="0" ref="I629">
      <text>
        <t xml:space="preserve">📮SENT 2026-04-04</t>
      </text>
    </comment>
    <comment authorId="0" ref="I497">
      <text>
        <t xml:space="preserve">📮SENT 2026-04-04 💰CK 2026-04-17</t>
      </text>
    </comment>
    <comment authorId="0" ref="I2479">
      <text>
        <t xml:space="preserve">📦EMS EB859664846CN</t>
      </text>
    </comment>
    <comment authorId="0" ref="I365">
      <text>
        <t xml:space="preserve">📮SENT 2026-03-31 💰CK 2026-04-02</t>
      </text>
    </comment>
    <comment authorId="0" ref="I1290">
      <text>
        <t xml:space="preserve">📦 BOSS 📮SENT 2026-05-07 💰CK 2026-05-10</t>
      </text>
    </comment>
    <comment authorId="0" ref="I2347">
      <text>
        <t xml:space="preserve">📦 BOSS 📮SENT 2026-06-10</t>
      </text>
    </comment>
    <comment authorId="0" ref="I233">
      <text>
        <t xml:space="preserve">📮SENT 2026-04-04 💰CK 2026-04-11</t>
      </text>
    </comment>
    <comment authorId="0" ref="I1158">
      <text>
        <t xml:space="preserve">📦EMS EB857446344CN</t>
      </text>
    </comment>
    <comment authorId="0" ref="I101">
      <text>
        <t xml:space="preserve">📮SENT 2026-03-31 💰CK 2026-03-31</t>
      </text>
    </comment>
    <comment authorId="0" ref="I1026">
      <text>
        <t xml:space="preserve">📦 BOSS 📮SENT 2026-04-18 💰CK 2026-04-27</t>
      </text>
    </comment>
    <comment authorId="0" ref="I762">
      <text>
        <t xml:space="preserve">📮SENT 2026-04-16</t>
      </text>
    </comment>
    <comment authorId="0" ref="I2744">
      <text>
        <t xml:space="preserve">📮SENT 2026-06-09 💰CK 2026-06-09</t>
      </text>
    </comment>
    <comment authorId="0" ref="I630">
      <text>
        <t xml:space="preserve">📮SENT 2026-04-04</t>
      </text>
    </comment>
    <comment authorId="0" ref="I498">
      <text>
        <t xml:space="preserve">📮SENT 2026-04-05</t>
      </text>
    </comment>
    <comment authorId="0" ref="I366">
      <text>
        <t xml:space="preserve">📮SENT 2026-03-31 💰CK 2026-03-31</t>
      </text>
    </comment>
    <comment authorId="0" ref="I2348">
      <text>
        <t xml:space="preserve">📦EMS EB859866786CN</t>
      </text>
    </comment>
    <comment authorId="0" ref="I1291">
      <text>
        <t xml:space="preserve">📦 BOSS 📮SENT 2026-05-09 💰CK 2026-05-09</t>
      </text>
    </comment>
    <comment authorId="0" ref="I234">
      <text>
        <t xml:space="preserve">📮SENT 2026-04-04 💰CK 2026-04-11</t>
      </text>
    </comment>
    <comment authorId="0" ref="I1159">
      <text>
        <t xml:space="preserve">📦 BOSS 📮SENT 2026-05-07 💰CK 2026-05-10</t>
      </text>
    </comment>
    <comment authorId="0" ref="I102">
      <text>
        <t xml:space="preserve">📦 BOSS 📮SENT 2026-04-18 💰CK 2026-05-10</t>
      </text>
    </comment>
    <comment authorId="0" ref="I895">
      <text>
        <t xml:space="preserve">📦 BOSS 📮SENT 2026-05-12</t>
      </text>
    </comment>
    <comment authorId="0" ref="I763">
      <text>
        <t xml:space="preserve">📦 BOSS 📮SENT 2026-04-28 💰CK 2026-04-29</t>
      </text>
    </comment>
    <comment authorId="0" ref="I2745">
      <text>
        <t xml:space="preserve">📮SENT 2026-06-09 💰CK 2026-06-09</t>
      </text>
    </comment>
    <comment authorId="0" ref="I631">
      <text>
        <t xml:space="preserve">📮SENT 2026-04-04 💰CK 2026-04-10</t>
      </text>
    </comment>
    <comment authorId="0" ref="I2613">
      <text>
        <t xml:space="preserve">📦 BOSS 📮SENT 2026-06-01</t>
      </text>
    </comment>
    <comment authorId="0" ref="I499">
      <text>
        <t xml:space="preserve">📦 BOSS 📮SENT 2026-04-21</t>
      </text>
    </comment>
    <comment authorId="0" ref="I367">
      <text>
        <t xml:space="preserve">📮SENT 2026-03-31 💰CK 2026-04-02</t>
      </text>
    </comment>
    <comment authorId="0" ref="I1292">
      <text>
        <t xml:space="preserve">📦 BOSS 📮SENT 2026-04-29</t>
      </text>
    </comment>
    <comment authorId="0" ref="I2349">
      <text>
        <t xml:space="preserve">📦EMS EB859866786CN</t>
      </text>
    </comment>
    <comment authorId="0" ref="I235">
      <text>
        <t xml:space="preserve">📮SENT 2026-03-31 💰CK 2026-04-26</t>
      </text>
    </comment>
    <comment authorId="0" ref="I1160">
      <text>
        <t xml:space="preserve">📦 BOSS 📮SENT 2026-05-07 💰CK 2026-05-10</t>
      </text>
    </comment>
    <comment authorId="0" ref="I103">
      <text>
        <t xml:space="preserve">📮SENT 2026-04-04 💰CK 2026-04-16</t>
      </text>
    </comment>
    <comment authorId="0" ref="I1028">
      <text>
        <t xml:space="preserve">📦 BOSS 📮SENT 2026-05-07</t>
      </text>
    </comment>
    <comment authorId="0" ref="I896">
      <text>
        <t xml:space="preserve">📦 BOSS 📮SENT 2026-04-20 💰CK 2026-04-20</t>
      </text>
    </comment>
    <comment authorId="0" ref="I764">
      <text>
        <t xml:space="preserve">📦 BOSS 📮SENT 2026-04-14 💰CK 2026-05-10</t>
      </text>
    </comment>
    <comment authorId="0" ref="I2746">
      <text>
        <t xml:space="preserve">📦 BOSS 📮SENT 2026-06-04</t>
      </text>
    </comment>
    <comment authorId="0" ref="I632">
      <text>
        <t xml:space="preserve">📮SENT 2026-04-05 💰CK 2026-04-29</t>
      </text>
    </comment>
    <comment authorId="0" ref="I500">
      <text>
        <t xml:space="preserve">📮SENT 2026-04-14 💰CK 2026-04-20</t>
      </text>
    </comment>
    <comment authorId="0" ref="I368">
      <text>
        <t xml:space="preserve">📮SENT 2026-03-31 💰CK 2026-04-02</t>
      </text>
    </comment>
    <comment authorId="0" ref="I2350">
      <text>
        <t xml:space="preserve">📦EMS EB859866786CN</t>
      </text>
    </comment>
    <comment authorId="0" ref="I1293">
      <text>
        <t xml:space="preserve">📦 BOSS 📮SENT 2026-04-29</t>
      </text>
    </comment>
    <comment authorId="0" ref="I236">
      <text>
        <t xml:space="preserve">📮SENT 2026-03-31 💰CK 2026-03-31</t>
      </text>
    </comment>
    <comment authorId="0" ref="I1161">
      <text>
        <t xml:space="preserve">📦 BOSS 📮SENT 2026-05-07 💰CK 2026-05-10</t>
      </text>
    </comment>
    <comment authorId="0" ref="I104">
      <text>
        <t xml:space="preserve">📮SENT 2026-03-31 💰CK 2026-04-02</t>
      </text>
    </comment>
    <comment authorId="0" ref="I1029">
      <text>
        <t xml:space="preserve">📦 BOSS 📮SENT 2026-04-20</t>
      </text>
    </comment>
    <comment authorId="0" ref="I1954">
      <text>
        <t xml:space="preserve">💰CK 2026-05-06</t>
      </text>
    </comment>
    <comment authorId="0" ref="I897">
      <text>
        <t xml:space="preserve">📦 BOSS 📮SENT 2026-04-20 💰CK 2026-04-20</t>
      </text>
    </comment>
    <comment authorId="0" ref="I765">
      <text>
        <t xml:space="preserve">📦 BOSS 📮SENT 2026-04-14 💰CK 2026-05-10</t>
      </text>
    </comment>
    <comment authorId="0" ref="I2747">
      <text>
        <t xml:space="preserve">📦 BOSS 📮SENT 2026-06-04</t>
      </text>
    </comment>
    <comment authorId="0" ref="I633">
      <text>
        <t xml:space="preserve">📮SENT 2026-04-05 💰CK 2026-04-29</t>
      </text>
    </comment>
    <comment authorId="0" ref="I501">
      <text>
        <t xml:space="preserve">📮SENT 2026-04-05 💰CK 2026-05-10</t>
      </text>
    </comment>
    <comment authorId="0" ref="I369">
      <text>
        <t xml:space="preserve">📮SENT 2026-03-31 💰CK 2026-03-31</t>
      </text>
    </comment>
    <comment authorId="0" ref="I2351">
      <text>
        <t xml:space="preserve">📦 BOSS 📮SENT 2026-06-10</t>
      </text>
    </comment>
    <comment authorId="0" ref="I237">
      <text>
        <t xml:space="preserve">📮SENT 2026-03-31 💰CK 2026-03-31</t>
      </text>
    </comment>
    <comment authorId="0" ref="I1162">
      <text>
        <t xml:space="preserve">📦 BOSS 📮SENT 2026-04-20</t>
      </text>
    </comment>
    <comment authorId="0" ref="I105">
      <text>
        <t xml:space="preserve">📮SENT 2026-03-31 💰CK 2026-04-02</t>
      </text>
    </comment>
    <comment authorId="0" ref="I1030">
      <text>
        <t xml:space="preserve">📦EMS EB857231330CN 📮SENT 2026-05-07 💰CK 2026-05-10</t>
      </text>
    </comment>
    <comment authorId="0" ref="I1955">
      <text>
        <t xml:space="preserve">📦 BOSS 📮SENT 2026-05-07 💰CK 2026-05-08</t>
      </text>
    </comment>
    <comment authorId="0" ref="I898">
      <text>
        <t xml:space="preserve">📦 BOSS 📮SENT 2026-04-20 💰CK 2026-04-20</t>
      </text>
    </comment>
    <comment authorId="0" ref="I766">
      <text>
        <t xml:space="preserve">📦 BOSS 📮SENT 2026-04-28 💰CK 2026-05-10</t>
      </text>
    </comment>
    <comment authorId="0" ref="I2748">
      <text>
        <t xml:space="preserve">📦 BOSS 📮SENT 2026-06-04 💰CK 2026-06-08</t>
      </text>
    </comment>
    <comment authorId="0" ref="I634">
      <text>
        <t xml:space="preserve">📮SENT 2026-04-04 💰CK 2026-04-08</t>
      </text>
    </comment>
    <comment authorId="0" ref="I502">
      <text>
        <t xml:space="preserve">📮SENT 2026-04-04 💰CK 2026-04-04</t>
      </text>
    </comment>
    <comment authorId="0" ref="I370">
      <text>
        <t xml:space="preserve">📮SENT 2026-03-31 💰CK 2026-03-31</t>
      </text>
    </comment>
    <comment authorId="0" ref="I2352">
      <text>
        <t xml:space="preserve">📦 BOSS 📮SENT 2026-05-21</t>
      </text>
    </comment>
    <comment authorId="0" ref="I1295">
      <text>
        <t xml:space="preserve">📦 BOSS 📮SENT 2026-05-11</t>
      </text>
    </comment>
    <comment authorId="0" ref="I238">
      <text>
        <t xml:space="preserve">📮SENT 2026-03-31 💰CK 2026-03-31</t>
      </text>
    </comment>
    <comment authorId="0" ref="I1163">
      <text>
        <t xml:space="preserve">📦EMS EB857231330CN</t>
      </text>
    </comment>
    <comment authorId="0" ref="I106">
      <text>
        <t xml:space="preserve">📮SENT 2026-04-06 💰CK 2026-04-20</t>
      </text>
    </comment>
    <comment authorId="0" ref="I1031">
      <text>
        <t xml:space="preserve">📦 BOSS 📮SENT 2026-05-07 💰CK 2026-05-10</t>
      </text>
    </comment>
    <comment authorId="0" ref="I1956">
      <text>
        <t xml:space="preserve">💰CK 2026-05-06</t>
      </text>
    </comment>
    <comment authorId="0" ref="I899">
      <text>
        <t xml:space="preserve">📦 BOSS 📮SENT 2026-04-20 💰CK 2026-04-20</t>
      </text>
    </comment>
    <comment authorId="0" ref="I767">
      <text>
        <t xml:space="preserve">📦 BOSS 📮SENT 2026-04-13 💰CK 2026-05-10</t>
      </text>
    </comment>
    <comment authorId="0" ref="I635">
      <text>
        <t xml:space="preserve">📮SENT 2026-04-04 💰CK 2026-04-08</t>
      </text>
    </comment>
    <comment authorId="0" ref="I1560">
      <text>
        <t xml:space="preserve">📦EMS EB858203321CN</t>
      </text>
    </comment>
    <comment authorId="0" ref="I503">
      <text>
        <t xml:space="preserve">📮SENT 2026-04-04 💰CK 2026-04-11</t>
      </text>
    </comment>
    <comment authorId="0" ref="I1428">
      <text>
        <t xml:space="preserve">📦 BOSS 📮SENT 2026-05-09</t>
      </text>
    </comment>
    <comment authorId="0" ref="I371">
      <text>
        <t xml:space="preserve">📮SENT 2026-03-31 💰CK 2026-04-02</t>
      </text>
    </comment>
    <comment authorId="0" ref="I1296">
      <text>
        <t xml:space="preserve">📦 BOSS 📮SENT 2026-05-11</t>
      </text>
    </comment>
    <comment authorId="0" ref="I2353">
      <text>
        <t xml:space="preserve">📦 BOSS 📮SENT 2026-06-10</t>
      </text>
    </comment>
    <comment authorId="0" ref="I239">
      <text>
        <t xml:space="preserve">📮SENT 2026-03-31 💰CK 2026-03-31</t>
      </text>
    </comment>
    <comment authorId="0" ref="I1164">
      <text>
        <t xml:space="preserve">📦EMS EB857015049CN</t>
      </text>
    </comment>
    <comment authorId="0" ref="I107">
      <text>
        <t xml:space="preserve">📮SENT 2026-03-31</t>
      </text>
    </comment>
    <comment authorId="0" ref="I1032">
      <text>
        <t xml:space="preserve">📦 BOSS 📮SENT 2026-05-08 💰CK 2026-05-10</t>
      </text>
    </comment>
    <comment authorId="0" ref="I900">
      <text>
        <t xml:space="preserve">📦 BOSS 📮SENT 2026-04-21</t>
      </text>
    </comment>
    <comment authorId="0" ref="I768">
      <text>
        <t xml:space="preserve">📦 BOSS 📮SENT 2026-04-13 💰CK 2026-05-10</t>
      </text>
    </comment>
    <comment authorId="0" ref="I2750">
      <text>
        <t xml:space="preserve">📦 BOSS 📮SENT 2026-06-04 💰CK 2026-06-08</t>
      </text>
    </comment>
    <comment authorId="0" ref="I636">
      <text>
        <t xml:space="preserve">📮SENT 2026-04-04</t>
      </text>
    </comment>
    <comment authorId="0" ref="I1561">
      <text>
        <t xml:space="preserve">📦 BOSS 📮SENT 2026-05-11</t>
      </text>
    </comment>
    <comment authorId="0" ref="I504">
      <text>
        <t xml:space="preserve">📮SENT 2026-04-18 💰CK 2026-04-27</t>
      </text>
    </comment>
    <comment authorId="0" ref="I1429">
      <text>
        <t xml:space="preserve">📦 BOSS 📮SENT 2026-05-11</t>
      </text>
    </comment>
    <comment authorId="0" ref="I372">
      <text>
        <t xml:space="preserve">📮SENT 2026-03-31 💰CK 2026-03-31</t>
      </text>
    </comment>
    <comment authorId="0" ref="I2354">
      <text>
        <t xml:space="preserve">📦 BOSS 📮SENT 2026-06-10</t>
      </text>
    </comment>
    <comment authorId="0" ref="I1297">
      <text>
        <t xml:space="preserve">📦 BOSS 📮SENT 2026-04-29</t>
      </text>
    </comment>
    <comment authorId="0" ref="I240">
      <text>
        <t xml:space="preserve">📮SENT 2026-03-31 💰CK 2026-04-02</t>
      </text>
    </comment>
    <comment authorId="0" ref="I1165">
      <text>
        <t xml:space="preserve">📦 BOSS 📮SENT 2026-04-28 💰CK 2026-05-10</t>
      </text>
    </comment>
    <comment authorId="0" ref="I108">
      <text>
        <t xml:space="preserve">📮SENT 2026-03-31 💰CK 2026-04-02</t>
      </text>
    </comment>
    <comment authorId="0" ref="I1033">
      <text>
        <t xml:space="preserve">📦 BOSS 📮SENT 2026-05-08 💰CK 2026-05-10</t>
      </text>
    </comment>
    <comment authorId="0" ref="I901">
      <text>
        <t xml:space="preserve">📦 BOSS 📮SENT 2026-04-21</t>
      </text>
    </comment>
    <comment authorId="0" ref="I769">
      <text>
        <t xml:space="preserve">📮SENT 2026-04-05 💰CK 2026-04-08</t>
      </text>
    </comment>
    <comment authorId="0" ref="I2751">
      <text>
        <t xml:space="preserve">📦 BOSS 📮SENT 2026-06-04</t>
      </text>
    </comment>
    <comment authorId="0" ref="I637">
      <text>
        <t xml:space="preserve">📮SENT 2026-04-04</t>
      </text>
    </comment>
    <comment authorId="0" ref="I1562">
      <text>
        <t xml:space="preserve">📦EMS EB858203321CN</t>
      </text>
    </comment>
    <comment authorId="0" ref="I505">
      <text>
        <t xml:space="preserve">📦 BOSS 📮SENT 2026-05-11</t>
      </text>
    </comment>
    <comment authorId="0" ref="I1430">
      <text>
        <t xml:space="preserve">📦 BOSS 📮SENT 2026-05-11</t>
      </text>
    </comment>
    <comment authorId="0" ref="I373">
      <text>
        <t xml:space="preserve">📮SENT 2026-04-08 💰CK 2026-05-10</t>
      </text>
    </comment>
    <comment authorId="0" ref="I1298">
      <text>
        <t xml:space="preserve">📦 BOSS 📮SENT 2026-04-29</t>
      </text>
    </comment>
    <comment authorId="0" ref="I2355">
      <text>
        <t xml:space="preserve">📦 BOSS 📮SENT 2026-06-10</t>
      </text>
    </comment>
    <comment authorId="0" ref="I241">
      <text>
        <t xml:space="preserve">📮SENT 2026-03-31 💰CK 2026-04-02</t>
      </text>
    </comment>
    <comment authorId="0" ref="I1166">
      <text>
        <t xml:space="preserve">📦 BOSS 📮SENT 2026-05-11</t>
      </text>
    </comment>
    <comment authorId="0" ref="I109">
      <text>
        <t xml:space="preserve">📮SENT 2026-03-31 💰CK 2026-03-31</t>
      </text>
    </comment>
    <comment authorId="0" ref="I1034">
      <text>
        <t xml:space="preserve">📦 BOSS 📮SENT 2026-05-08 💰CK 2026-05-10</t>
      </text>
    </comment>
    <comment authorId="0" ref="I902">
      <text>
        <t xml:space="preserve">📦 BOSS 📮SENT 2026-04-21</t>
      </text>
    </comment>
    <comment authorId="0" ref="I770">
      <text>
        <t xml:space="preserve">📮SENT 2026-04-05 💰CK 2026-04-08</t>
      </text>
    </comment>
    <comment authorId="0" ref="I638">
      <text>
        <t xml:space="preserve">📮SENT 2026-04-04 💰CK 2026-04-11</t>
      </text>
    </comment>
    <comment authorId="0" ref="I506">
      <text>
        <t xml:space="preserve">📮SENT 2026-04-16 💰CK 2026-04-22</t>
      </text>
    </comment>
    <comment authorId="0" ref="I1431">
      <text>
        <t xml:space="preserve">📦 BOSS 📮SENT 2026-05-09 💰CK 2026-05-10</t>
      </text>
    </comment>
    <comment authorId="0" ref="I374">
      <text>
        <t xml:space="preserve">📮SENT 2026-04-08 💰CK 2026-05-10</t>
      </text>
    </comment>
    <comment authorId="0" ref="I1299">
      <text>
        <t xml:space="preserve">📦 BOSS 📮SENT 2026-05-07</t>
      </text>
    </comment>
    <comment authorId="0" ref="I242">
      <text>
        <t xml:space="preserve">📮SENT 2026-04-05 💰CK 2026-04-08</t>
      </text>
    </comment>
    <comment authorId="0" ref="I1167">
      <text>
        <t xml:space="preserve">📦 BOSS 📮SENT 2026-05-08</t>
      </text>
    </comment>
    <comment authorId="0" ref="I110">
      <text>
        <t xml:space="preserve">📮SENT 2026-03-31 💰CK 2026-04-02</t>
      </text>
    </comment>
    <comment authorId="0" ref="I1035">
      <text>
        <t xml:space="preserve">📦 BOSS 📮SENT 2026-05-08 💰CK 2026-05-10</t>
      </text>
    </comment>
    <comment authorId="0" ref="I1960">
      <text>
        <t xml:space="preserve">📦 BOSS 📮SENT 2026-05-12</t>
      </text>
    </comment>
    <comment authorId="0" ref="I903">
      <text>
        <t xml:space="preserve">📦 BOSS 📮SENT 2026-04-21 💰CK 2026-04-26</t>
      </text>
    </comment>
    <comment authorId="0" ref="I771">
      <text>
        <t xml:space="preserve">📦 BOSS 📮SENT 2026-04-16</t>
      </text>
    </comment>
    <comment authorId="0" ref="I2753">
      <text>
        <t xml:space="preserve">📦 BOSS 📮SENT 2026-06-10</t>
      </text>
    </comment>
    <comment authorId="0" ref="I639">
      <text>
        <t xml:space="preserve">📮SENT 2026-04-04 💰CK 2026-04-11</t>
      </text>
    </comment>
    <comment authorId="0" ref="I507">
      <text>
        <t xml:space="preserve">📮SENT 2026-04-04 💰CK 2026-04-11</t>
      </text>
    </comment>
    <comment authorId="0" ref="I1432">
      <text>
        <t xml:space="preserve">📦 BOSS 📮SENT 2026-05-09 💰CK 2026-05-10</t>
      </text>
    </comment>
    <comment authorId="0" ref="I375">
      <text>
        <t xml:space="preserve">📮SENT 2026-03-31 💰CK 2026-04-08</t>
      </text>
    </comment>
    <comment authorId="0" ref="I1300">
      <text>
        <t xml:space="preserve">📦 BOSS 📮SENT 2026-04-29</t>
      </text>
    </comment>
    <comment authorId="0" ref="I2357">
      <text>
        <t xml:space="preserve">📦EMS EB859424465CN</t>
      </text>
    </comment>
    <comment authorId="0" ref="I243">
      <text>
        <t xml:space="preserve">📮SENT 2026-04-05 💰CK 2026-04-08</t>
      </text>
    </comment>
    <comment authorId="0" ref="I1168">
      <text>
        <t xml:space="preserve">📦 BOSS 📮SENT 2026-05-08</t>
      </text>
    </comment>
    <comment authorId="0" ref="I111">
      <text>
        <t xml:space="preserve">📮SENT 2026-04-04 💰CK 2026-04-08</t>
      </text>
    </comment>
    <comment authorId="0" ref="I1036">
      <text>
        <t xml:space="preserve">📮SENT 2026-04-11 💰CK 2026-04-11</t>
      </text>
    </comment>
    <comment authorId="0" ref="I1961">
      <text>
        <t xml:space="preserve">📮SENT 2026-05-07</t>
      </text>
    </comment>
    <comment authorId="0" ref="I904">
      <text>
        <t xml:space="preserve">📦 BOSS 📮SENT 2026-04-21 💰CK 2026-04-26</t>
      </text>
    </comment>
    <comment authorId="0" ref="I772">
      <text>
        <t xml:space="preserve">📦EMS EB857015049CN</t>
      </text>
    </comment>
    <comment authorId="0" ref="I2754">
      <text>
        <t xml:space="preserve">📦 BOSS 📮SENT 2026-06-04 💰CK 2026-06-08</t>
      </text>
    </comment>
    <comment authorId="0" ref="I640">
      <text>
        <t xml:space="preserve">📮SENT 2026-04-04 💰CK 2026-04-11</t>
      </text>
    </comment>
    <comment authorId="0" ref="I508">
      <text>
        <t xml:space="preserve">📮SENT 2026-04-04 💰CK 2026-04-11</t>
      </text>
    </comment>
    <comment authorId="0" ref="I1433">
      <text>
        <t xml:space="preserve">📦 BOSS 📮SENT 2026-05-09 💰CK 2026-05-10</t>
      </text>
    </comment>
    <comment authorId="0" ref="I376">
      <text>
        <t xml:space="preserve">📮SENT 2026-03-31 💰CK 2026-04-08</t>
      </text>
    </comment>
    <comment authorId="0" ref="I2358">
      <text>
        <t xml:space="preserve">📦EMS EB859424465CN</t>
      </text>
    </comment>
    <comment authorId="0" ref="I1301">
      <text>
        <t xml:space="preserve">📦 BOSS 📮SENT 2026-04-29</t>
      </text>
    </comment>
    <comment authorId="0" ref="I244">
      <text>
        <t xml:space="preserve">📮SENT 2026-03-31 💰CK 2026-04-08</t>
      </text>
    </comment>
    <comment authorId="0" ref="I1169">
      <text>
        <t xml:space="preserve">📦 BOSS 📮SENT 2026-05-08</t>
      </text>
    </comment>
    <comment authorId="0" ref="I112">
      <text>
        <t xml:space="preserve">📮SENT 2026-03-31 💰CK 2026-03-31</t>
      </text>
    </comment>
    <comment authorId="0" ref="I1037">
      <text>
        <t xml:space="preserve">📦 BOSS 📮SENT 2026-04-20 💰CK 2026-05-10</t>
      </text>
    </comment>
    <comment authorId="0" ref="I1962">
      <text>
        <t xml:space="preserve">📮SENT 2026-05-07 💰CK 2026-05-10</t>
      </text>
    </comment>
    <comment authorId="0" ref="I905">
      <text>
        <t xml:space="preserve">📦 BOSS 📮SENT 2026-04-21 💰CK 2026-04-26</t>
      </text>
    </comment>
    <comment authorId="0" ref="I1830">
      <text>
        <t xml:space="preserve">📦EMS EB858203321CN</t>
      </text>
    </comment>
    <comment authorId="0" ref="I773">
      <text>
        <t xml:space="preserve">📦 BOSS 📮SENT 2026-04-29</t>
      </text>
    </comment>
    <comment authorId="0" ref="I2755">
      <text>
        <t xml:space="preserve">📦 BOSS 📮SENT 2026-06-04</t>
      </text>
    </comment>
    <comment authorId="0" ref="I641">
      <text>
        <t xml:space="preserve">📮SENT 2026-04-04 💰CK 2026-04-11</t>
      </text>
    </comment>
    <comment authorId="0" ref="I1566">
      <text>
        <t xml:space="preserve">📦 BOSS 📮SENT 2026-05-11</t>
      </text>
    </comment>
    <comment authorId="0" ref="I509">
      <text>
        <t xml:space="preserve">📮SENT 2026-04-04 💰CK 2026-04-04</t>
      </text>
    </comment>
    <comment authorId="0" ref="I377">
      <text>
        <t xml:space="preserve">📮SENT 2026-03-31 💰CK 2026-04-08</t>
      </text>
    </comment>
    <comment authorId="0" ref="I1302">
      <text>
        <t xml:space="preserve">📦 BOSS 📮SENT 2026-05-08</t>
      </text>
    </comment>
    <comment authorId="0" ref="I2359">
      <text>
        <t xml:space="preserve">📦 BOSS 📮SENT 2026-05-18</t>
      </text>
    </comment>
    <comment authorId="0" ref="I245">
      <text>
        <t xml:space="preserve">📮SENT 2026-03-31 💰CK 2026-03-31</t>
      </text>
    </comment>
    <comment authorId="0" ref="I1170">
      <text>
        <t xml:space="preserve">📦 BOSS 📮SENT 2026-04-29 💰CK 2026-05-10</t>
      </text>
    </comment>
    <comment authorId="0" ref="I113">
      <text>
        <t xml:space="preserve">📮SENT 2026-03-31 💰CK 2026-04-02</t>
      </text>
    </comment>
    <comment authorId="0" ref="I1038">
      <text>
        <t xml:space="preserve">📦 BOSS 📮SENT 2026-04-20 💰CK 2026-05-10</t>
      </text>
    </comment>
    <comment authorId="0" ref="I1963">
      <text>
        <t xml:space="preserve">📮SENT 2026-05-07 💰CK 2026-05-10</t>
      </text>
    </comment>
    <comment authorId="0" ref="I906">
      <text>
        <t xml:space="preserve">📮SENT 2026-04-22</t>
      </text>
    </comment>
    <comment authorId="0" ref="I774">
      <text>
        <t xml:space="preserve">📦 BOSS 📮SENT 2026-04-29</t>
      </text>
    </comment>
    <comment authorId="0" ref="I2756">
      <text>
        <t xml:space="preserve">📦 BOSS 📮SENT 2026-06-04</t>
      </text>
    </comment>
    <comment authorId="0" ref="I642">
      <text>
        <t xml:space="preserve">📦 BOSS 📮SENT 2026-04-12 💰CK 2026-04-12</t>
      </text>
    </comment>
    <comment authorId="0" ref="I1567">
      <text>
        <t xml:space="preserve">📦 BOSS 📮SENT 2026-05-11</t>
      </text>
    </comment>
    <comment authorId="0" ref="I510">
      <text>
        <t xml:space="preserve">📮SENT 2026-04-04 💰CK 2026-04-04</t>
      </text>
    </comment>
    <comment authorId="0" ref="I1435">
      <text>
        <t xml:space="preserve">📦EMS EB858203321CN</t>
      </text>
    </comment>
    <comment authorId="0" ref="I378">
      <text>
        <t xml:space="preserve">📮SENT 2026-04-08 💰CK 2026-04-11</t>
      </text>
    </comment>
    <comment authorId="0" ref="I2360">
      <text>
        <t xml:space="preserve">📦 BOSS 📮SENT 2026-06-05</t>
      </text>
    </comment>
    <comment authorId="0" ref="I1303">
      <text>
        <t xml:space="preserve">📦EMS EB857551400CN/EB857551736CN</t>
      </text>
    </comment>
    <comment authorId="0" ref="I246">
      <text>
        <t xml:space="preserve">📦 BOSS 📮SENT 2026-04-18 💰CK 2026-04-26</t>
      </text>
    </comment>
    <comment authorId="0" ref="I1171">
      <text>
        <t xml:space="preserve">📦 BOSS 📮SENT 2026-04-29 💰CK 2026-05-10</t>
      </text>
    </comment>
    <comment authorId="0" ref="I114">
      <text>
        <t xml:space="preserve">📮SENT 2026-03-31 💰CK 2026-04-02</t>
      </text>
    </comment>
    <comment authorId="0" ref="I1039">
      <text>
        <t xml:space="preserve">📦 BOSS 📮SENT 2026-05-09 💰CK 2026-05-09</t>
      </text>
    </comment>
    <comment authorId="0" ref="I1964">
      <text>
        <t xml:space="preserve">📦 BOSS 📮SENT 2026-05-09 💰CK 2026-05-10</t>
      </text>
    </comment>
    <comment authorId="0" ref="I907">
      <text>
        <t xml:space="preserve">📦 BOSS 📮SENT 2026-04-21 💰CK 2026-04-21</t>
      </text>
    </comment>
    <comment authorId="0" ref="I775">
      <text>
        <t xml:space="preserve">📦 BOSS 📮SENT 2026-05-09 💰CK 2026-05-10</t>
      </text>
    </comment>
    <comment authorId="0" ref="I643">
      <text>
        <t xml:space="preserve">📦 BOSS 📮SENT 2026-04-12 💰CK 2026-04-12</t>
      </text>
    </comment>
    <comment authorId="0" ref="I511">
      <text>
        <t xml:space="preserve">📮SENT 2026-04-08 💰CK 2026-04-11</t>
      </text>
    </comment>
    <comment authorId="0" ref="I1436">
      <text>
        <t xml:space="preserve">📦EMS EB857551400CN/EB857551736CN</t>
      </text>
    </comment>
    <comment authorId="0" ref="I379">
      <text>
        <t xml:space="preserve">📮SENT 2026-03-31 💰CK 2026-03-31</t>
      </text>
    </comment>
    <comment authorId="0" ref="I1304">
      <text>
        <t xml:space="preserve">📦EMS EB857551400CN/EB857551736CN</t>
      </text>
    </comment>
    <comment authorId="0" ref="I247">
      <text>
        <t xml:space="preserve">📮SENT 2026-04-16 💰CK 2026-04-17</t>
      </text>
    </comment>
    <comment authorId="0" ref="I115">
      <text>
        <t xml:space="preserve">📮SENT 2026-04-21 💰CK 2026-05-10</t>
      </text>
    </comment>
    <comment authorId="0" ref="I1040">
      <text>
        <t xml:space="preserve">📦 BOSS 📮SENT 2026-05-09 💰CK 2026-05-09</t>
      </text>
    </comment>
    <comment authorId="0" ref="I1965">
      <text>
        <t xml:space="preserve">📦 BOSS 📮SENT 2026-05-07 💰CK 2026-05-10</t>
      </text>
    </comment>
    <comment authorId="0" ref="I908">
      <text>
        <t xml:space="preserve">📦 BOSS 📮SENT 2026-04-21 💰CK 2026-04-21</t>
      </text>
    </comment>
    <comment authorId="0" ref="I1833">
      <text>
        <t xml:space="preserve">📦 BOSS 📮SENT 2026-05-11</t>
      </text>
    </comment>
    <comment authorId="0" ref="I644">
      <text>
        <t xml:space="preserve">📮SENT 2026-04-04</t>
      </text>
    </comment>
    <comment authorId="0" ref="I512">
      <text>
        <t xml:space="preserve">📮SENT 2026-04-08 💰CK 2026-04-11</t>
      </text>
    </comment>
    <comment authorId="0" ref="I380">
      <text>
        <t xml:space="preserve">📮SENT 2026-03-31 💰CK 2026-03-31</t>
      </text>
    </comment>
    <comment authorId="0" ref="I2362">
      <text>
        <t xml:space="preserve">📦EMS EB859424465CN</t>
      </text>
    </comment>
    <comment authorId="0" ref="I1305">
      <text>
        <t xml:space="preserve">📦EMS EB857551400CN/EB857551736CN</t>
      </text>
    </comment>
    <comment authorId="0" ref="I248">
      <text>
        <t xml:space="preserve">📮SENT 2026-04-06 💰CK 2026-04-20</t>
      </text>
    </comment>
    <comment authorId="0" ref="I1173">
      <text>
        <t xml:space="preserve">📦EMS EB857651181CN</t>
      </text>
    </comment>
    <comment authorId="0" ref="I116">
      <text>
        <t xml:space="preserve">📮SENT 2026-04-08 💰CK 2026-04-20</t>
      </text>
    </comment>
    <comment authorId="0" ref="I1041">
      <text>
        <t xml:space="preserve">📦 BOSS 📮SENT 2026-04-20 💰CK 2026-05-10</t>
      </text>
    </comment>
    <comment authorId="0" ref="I1966">
      <text>
        <t xml:space="preserve">📮SENT 2026-05-07</t>
      </text>
    </comment>
    <comment authorId="0" ref="I909">
      <text>
        <t xml:space="preserve">📦 BOSS 📮SENT 2026-04-21 💰CK 2026-04-21</t>
      </text>
    </comment>
    <comment authorId="0" ref="I1834">
      <text>
        <t xml:space="preserve">📦EMS EB858203321CN</t>
      </text>
    </comment>
    <comment authorId="0" ref="I777">
      <text>
        <t xml:space="preserve">📮SENT 2026-04-16 💰CK 2026-04-16</t>
      </text>
    </comment>
    <comment authorId="0" ref="I645">
      <text>
        <t xml:space="preserve">📮SENT 2026-04-04</t>
      </text>
    </comment>
    <comment authorId="0" ref="I1570">
      <text>
        <t xml:space="preserve">📦EMS EB858203321CN</t>
      </text>
    </comment>
    <comment authorId="0" ref="I513">
      <text>
        <t xml:space="preserve">📮SENT 2026-04-08 💰CK 2026-04-17</t>
      </text>
    </comment>
    <comment authorId="0" ref="I1438">
      <text>
        <t xml:space="preserve">📦 BOSS 📮SENT 2026-05-07 💰CK 2026-05-10</t>
      </text>
    </comment>
    <comment authorId="0" ref="I2495">
      <text>
        <t xml:space="preserve">📦EMS EB859664846CN</t>
      </text>
    </comment>
    <comment authorId="0" ref="I381">
      <text>
        <t xml:space="preserve">📮SENT 2026-03-31 💰CK 2026-03-31</t>
      </text>
    </comment>
    <comment authorId="0" ref="I1306">
      <text>
        <t xml:space="preserve">📦EMS EB857551400CN/EB857551736CN</t>
      </text>
    </comment>
    <comment authorId="0" ref="I2363">
      <text>
        <t xml:space="preserve">📦EMS EB859424465CN</t>
      </text>
    </comment>
    <comment authorId="0" ref="I249">
      <text>
        <t xml:space="preserve">📮SENT 2026-04-06 💰CK 2026-04-20</t>
      </text>
    </comment>
    <comment authorId="0" ref="I1174">
      <text>
        <t xml:space="preserve">📦EMS EB857446344CN</t>
      </text>
    </comment>
    <comment authorId="0" ref="I117">
      <text>
        <t xml:space="preserve">📮SENT 2026-03-31</t>
      </text>
    </comment>
    <comment authorId="0" ref="I1042">
      <text>
        <t xml:space="preserve">📦 BOSS 📮SENT 2026-04-20 💰CK 2026-05-10</t>
      </text>
    </comment>
    <comment authorId="0" ref="I910">
      <text>
        <t xml:space="preserve">📦 BOSS 📮SENT 2026-04-21 💰CK 2026-04-21</t>
      </text>
    </comment>
    <comment authorId="0" ref="I778">
      <text>
        <t xml:space="preserve">📮SENT 2026-04-16 💰CK 2026-04-16</t>
      </text>
    </comment>
    <comment authorId="0" ref="I646">
      <text>
        <t xml:space="preserve">📮SENT 2026-04-04 💰CK 2026-05-08</t>
      </text>
    </comment>
    <comment authorId="0" ref="I514">
      <text>
        <t xml:space="preserve">📮SENT 2026-04-08 💰CK 2026-04-17</t>
      </text>
    </comment>
    <comment authorId="0" ref="I1439">
      <text>
        <t xml:space="preserve">📦 BOSS 📮SENT 2026-04-28</t>
      </text>
    </comment>
    <comment authorId="0" ref="I382">
      <text>
        <t xml:space="preserve">📮SENT 2026-04-04 💰CK 2026-04-11</t>
      </text>
    </comment>
    <comment authorId="0" ref="I2364">
      <text>
        <t xml:space="preserve">📦EMS EB859424465CN</t>
      </text>
    </comment>
    <comment authorId="0" ref="I1307">
      <text>
        <t xml:space="preserve">📦 BOSS 📮SENT 2026-05-07 💰CK 2026-05-10</t>
      </text>
    </comment>
    <comment authorId="0" ref="I250">
      <text>
        <t xml:space="preserve">📮SENT 2026-03-31 💰CK 2026-03-31</t>
      </text>
    </comment>
    <comment authorId="0" ref="I1175">
      <text>
        <t xml:space="preserve">📦EMS EB857551400CN/EB857551736CN</t>
      </text>
    </comment>
    <comment authorId="0" ref="I118">
      <text>
        <t xml:space="preserve">📮SENT 2026-04-08</t>
      </text>
    </comment>
    <comment authorId="0" ref="I1043">
      <text>
        <t xml:space="preserve">📦 BOSS 📮SENT 2026-04-21 💰CK 2026-04-26</t>
      </text>
    </comment>
    <comment authorId="0" ref="I911">
      <text>
        <t xml:space="preserve">📦 BOSS 📮SENT 2026-04-29 💰CK 2026-05-06</t>
      </text>
    </comment>
    <comment authorId="0" ref="I1836">
      <text>
        <t xml:space="preserve">📦EMS EB858203321CN</t>
      </text>
    </comment>
    <comment authorId="0" ref="I779">
      <text>
        <t xml:space="preserve">📮SENT 2026-04-16 💰CK 2026-04-16</t>
      </text>
    </comment>
    <comment authorId="0" ref="I647">
      <text>
        <t xml:space="preserve">📮SENT 2026-04-04 💰CK 2026-05-08</t>
      </text>
    </comment>
    <comment authorId="0" ref="I515">
      <text>
        <t xml:space="preserve">📦EMS EB856696646CN 📮SENT 2026-04-16 💰CK 2026-04-22</t>
      </text>
    </comment>
    <comment authorId="0" ref="I1440">
      <text>
        <t xml:space="preserve">📦 BOSS 📮SENT 2026-05-09</t>
      </text>
    </comment>
    <comment authorId="0" ref="I383">
      <text>
        <t xml:space="preserve">📮SENT 2026-03-31 💰CK 2026-04-08</t>
      </text>
    </comment>
    <comment authorId="0" ref="I1308">
      <text>
        <t xml:space="preserve">📦EMS EB857551400CN/EB857551736CN</t>
      </text>
    </comment>
    <comment authorId="0" ref="I2365">
      <text>
        <t xml:space="preserve">📦EMS EB859424465CN</t>
      </text>
    </comment>
    <comment authorId="0" ref="I251">
      <text>
        <t xml:space="preserve">📮SENT 2026-03-31 💰CK 2026-03-31</t>
      </text>
    </comment>
    <comment authorId="0" ref="I119">
      <text>
        <t xml:space="preserve">📮SENT 2026-03-31 💰CK 2026-03-31</t>
      </text>
    </comment>
    <comment authorId="0" ref="I1044">
      <text>
        <t xml:space="preserve">📦 BOSS 📮SENT 2026-04-21 💰CK 2026-04-26</t>
      </text>
    </comment>
    <comment authorId="0" ref="I1969">
      <text>
        <t xml:space="preserve">📦 BOSS 📮SENT 2026-05-09 💰CK 2026-05-10</t>
      </text>
    </comment>
    <comment authorId="0" ref="I912">
      <text>
        <t xml:space="preserve">📦 BOSS 📮SENT 2026-04-29 💰CK 2026-05-06</t>
      </text>
    </comment>
    <comment authorId="0" ref="I1837">
      <text>
        <t xml:space="preserve">📦EMS EB858203321CN</t>
      </text>
    </comment>
    <comment authorId="0" ref="I780">
      <text>
        <t xml:space="preserve">📦EMS EB856696646CN 📮SENT 2026-04-16 💰CK 2026-04-16</t>
      </text>
    </comment>
    <comment authorId="0" ref="I648">
      <text>
        <t xml:space="preserve">📮SENT 2026-04-04 💰CK 2026-04-04</t>
      </text>
    </comment>
    <comment authorId="0" ref="I516">
      <text>
        <t xml:space="preserve">📦 BOSS 📮SENT 2026-04-12 💰CK 2026-04-12</t>
      </text>
    </comment>
    <comment authorId="0" ref="I384">
      <text>
        <t xml:space="preserve">📮SENT 2026-03-31 💰CK 2026-03-31</t>
      </text>
    </comment>
    <comment authorId="0" ref="I2366">
      <text>
        <t xml:space="preserve">📦 BOSS 📮SENT 2026-06-04</t>
      </text>
    </comment>
    <comment authorId="0" ref="I1309">
      <text>
        <t xml:space="preserve">📦EMS EB857551400CN/EB857551736CN</t>
      </text>
    </comment>
    <comment authorId="0" ref="I252">
      <text>
        <t xml:space="preserve">📮SENT 2026-03-31 💰CK 2026-04-08</t>
      </text>
    </comment>
    <comment authorId="0" ref="I1177">
      <text>
        <t xml:space="preserve">📦EMS EB857551400CN/EB857551736CN</t>
      </text>
    </comment>
    <comment authorId="0" ref="I120">
      <text>
        <t xml:space="preserve">📮SENT 2026-03-31 💰CK 2026-04-02</t>
      </text>
    </comment>
    <comment authorId="0" ref="I1045">
      <text>
        <t xml:space="preserve">📦 BOSS 📮SENT 2026-04-21 💰CK 2026-04-26</t>
      </text>
    </comment>
    <comment authorId="0" ref="I1970">
      <text>
        <t xml:space="preserve">📮SENT 2026-05-07 💰CK 2026-05-10</t>
      </text>
    </comment>
    <comment authorId="0" ref="I913">
      <text>
        <t xml:space="preserve">📦 BOSS 📮SENT 2026-04-29 💰CK 2026-05-06</t>
      </text>
    </comment>
    <comment authorId="0" ref="I781">
      <text>
        <t xml:space="preserve">📦 BOSS 📮SENT 2026-05-09 💰CK 2026-05-10</t>
      </text>
    </comment>
    <comment authorId="0" ref="I649">
      <text>
        <t xml:space="preserve">📮SENT 2026-04-04 💰CK 2026-04-04</t>
      </text>
    </comment>
    <comment authorId="0" ref="I2631">
      <text>
        <t xml:space="preserve">📦EMS EB859866786CN</t>
      </text>
    </comment>
    <comment authorId="0" ref="I517">
      <text>
        <t xml:space="preserve">📦 BOSS 📮SENT 2026-04-16 💰CK 2026-05-10</t>
      </text>
    </comment>
    <comment authorId="0" ref="I2367">
      <text>
        <t xml:space="preserve">📦EMS EB859424465CN</t>
      </text>
    </comment>
    <comment authorId="0" ref="I253">
      <text>
        <t xml:space="preserve">📮SENT 2026-03-31 💰CK 2026-04-08</t>
      </text>
    </comment>
    <comment authorId="0" ref="I121">
      <text>
        <t xml:space="preserve">📮SENT 2026-03-31 💰CK 2026-04-20</t>
      </text>
    </comment>
    <comment authorId="0" ref="I1046">
      <text>
        <t xml:space="preserve">📦 BOSS 📮SENT 2026-04-21 💰CK 2026-04-26</t>
      </text>
    </comment>
    <comment authorId="0" ref="I914">
      <text>
        <t xml:space="preserve">📦 BOSS 📮SENT 2026-04-29 💰CK 2026-05-06</t>
      </text>
    </comment>
    <comment authorId="0" ref="I1839">
      <text>
        <t xml:space="preserve">📦 BOSS 📮SENT 2026-05-12</t>
      </text>
    </comment>
    <comment authorId="0" ref="I782">
      <text>
        <t xml:space="preserve">📦EMS EB856696646CN 📮SENT 2026-04-16 💰CK 2026-04-20</t>
      </text>
    </comment>
    <comment authorId="0" ref="I650">
      <text>
        <t xml:space="preserve">📮SENT 2026-04-04 💰CK 2026-04-11</t>
      </text>
    </comment>
    <comment authorId="0" ref="I1575">
      <text>
        <t xml:space="preserve">📦EMS EB858203321CN</t>
      </text>
    </comment>
    <comment authorId="0" ref="I518">
      <text>
        <t xml:space="preserve">📦 BOSS 📮SENT 2026-04-12 💰CK 2026-04-13</t>
      </text>
    </comment>
    <comment authorId="0" ref="I2500">
      <text>
        <t xml:space="preserve">📦EMS EB859664846CN</t>
      </text>
    </comment>
    <comment authorId="0" ref="I1443">
      <text>
        <t xml:space="preserve">📦 BOSS 📮SENT 2026-05-07</t>
      </text>
    </comment>
    <comment authorId="0" ref="I2368">
      <text>
        <t xml:space="preserve">📦EMS EB859424465CN</t>
      </text>
    </comment>
    <comment authorId="0" ref="I254">
      <text>
        <t xml:space="preserve">📮SENT 2026-03-31 💰CK 2026-04-02</t>
      </text>
    </comment>
    <comment authorId="0" ref="I1179">
      <text>
        <t xml:space="preserve">📦EMS EB857551400CN/EB857551736CN</t>
      </text>
    </comment>
    <comment authorId="0" ref="I122">
      <text>
        <t xml:space="preserve">📮SENT 2026-03-31 💰CK 2026-04-02</t>
      </text>
    </comment>
    <comment authorId="0" ref="I1047">
      <text>
        <t xml:space="preserve">📦 BOSS 📮SENT 2026-04-20</t>
      </text>
    </comment>
    <comment authorId="0" ref="I1972">
      <text>
        <t xml:space="preserve">💰CK 2026-05-06</t>
      </text>
    </comment>
    <comment authorId="0" ref="I915">
      <text>
        <t xml:space="preserve">📦 BOSS 📮SENT 2026-04-29 💰CK 2026-05-06</t>
      </text>
    </comment>
    <comment authorId="0" ref="I1840">
      <text>
        <t xml:space="preserve">📦EMS EB858203321CN</t>
      </text>
    </comment>
    <comment authorId="0" ref="I783">
      <text>
        <t xml:space="preserve">📮SENT 2026-04-16 💰CK 2026-04-20</t>
      </text>
    </comment>
    <comment authorId="0" ref="I651">
      <text>
        <t xml:space="preserve">📮SENT 2026-04-04 💰CK 2026-04-11</t>
      </text>
    </comment>
    <comment authorId="0" ref="I519">
      <text>
        <t xml:space="preserve">📦 BOSS 📮SENT 2026-04-12 💰CK 2026-04-13</t>
      </text>
    </comment>
    <comment authorId="0" ref="I2501">
      <text>
        <t xml:space="preserve">📦 BOSS 📮SENT 2026-06-10</t>
      </text>
    </comment>
    <comment authorId="0" ref="I387">
      <text>
        <t xml:space="preserve">📮SENT 2026-03-31</t>
      </text>
    </comment>
    <comment authorId="0" ref="I2369">
      <text>
        <t xml:space="preserve">📦 BOSS 📮SENT 2026-06-05</t>
      </text>
    </comment>
    <comment authorId="0" ref="I255">
      <text>
        <t xml:space="preserve">📮SENT 2026-03-31 💰CK 2026-04-02</t>
      </text>
    </comment>
    <comment authorId="0" ref="I1180">
      <text>
        <t xml:space="preserve">📦EMS EB857446344CN</t>
      </text>
    </comment>
    <comment authorId="0" ref="I123">
      <text>
        <t xml:space="preserve">📮SENT 2026-03-31 💰CK 2026-03-31</t>
      </text>
    </comment>
    <comment authorId="0" ref="I1048">
      <text>
        <t xml:space="preserve">📦 BOSS 📮SENT 2026-04-20</t>
      </text>
    </comment>
    <comment authorId="0" ref="I916">
      <text>
        <t xml:space="preserve">📦 BOSS 📮SENT 2026-04-29 💰CK 2026-05-06</t>
      </text>
    </comment>
    <comment authorId="0" ref="I1841">
      <text>
        <t xml:space="preserve">📦EMS EB858203321CN</t>
      </text>
    </comment>
    <comment authorId="0" ref="I784">
      <text>
        <t xml:space="preserve">📮SENT 2026-04-16 💰CK 2026-04-20</t>
      </text>
    </comment>
    <comment authorId="0" ref="I652">
      <text>
        <t xml:space="preserve">📮SENT 2026-04-05</t>
      </text>
    </comment>
    <comment authorId="0" ref="I520">
      <text>
        <t xml:space="preserve">📦 BOSS 📮SENT 2026-04-12 💰CK 2026-04-16</t>
      </text>
    </comment>
    <comment authorId="0" ref="I388">
      <text>
        <t xml:space="preserve">📮SENT 2026-04-08 💰CK 2026-04-11</t>
      </text>
    </comment>
    <comment authorId="0" ref="I2370">
      <text>
        <t xml:space="preserve">📦 BOSS 📮SENT 2026-06-09</t>
      </text>
    </comment>
    <comment authorId="0" ref="I1313">
      <text>
        <t xml:space="preserve">📦 BOSS 📮SENT 2026-05-11</t>
      </text>
    </comment>
    <comment authorId="0" ref="I256">
      <text>
        <t xml:space="preserve">📦 BOSS 📮SENT 2026-04-18 💰CK 2026-04-20</t>
      </text>
    </comment>
    <comment authorId="0" ref="I1181">
      <text>
        <t xml:space="preserve">📦EMS EB857551400CN/EB857551736CN 📮SENT 2026-05-07 💰CK 2026-05-10</t>
      </text>
    </comment>
    <comment authorId="0" ref="I124">
      <text>
        <t xml:space="preserve">💰CK 2026-04-11</t>
      </text>
    </comment>
    <comment authorId="0" ref="I1049">
      <text>
        <t xml:space="preserve">📦 BOSS 📮SENT 2026-04-20</t>
      </text>
    </comment>
    <comment authorId="0" ref="I1974">
      <text>
        <t xml:space="preserve">📦 BOSS 📮SENT 2026-05-07 💰CK 2026-05-08</t>
      </text>
    </comment>
    <comment authorId="0" ref="I917">
      <text>
        <t xml:space="preserve">📦 BOSS 📮SENT 2026-04-29 💰CK 2026-05-06</t>
      </text>
    </comment>
    <comment authorId="0" ref="I785">
      <text>
        <t xml:space="preserve">📮SENT 2026-04-16 💰CK 2026-04-20</t>
      </text>
    </comment>
    <comment authorId="0" ref="I653">
      <text>
        <t xml:space="preserve">📮SENT 2026-04-05</t>
      </text>
    </comment>
    <comment authorId="0" ref="I1578">
      <text>
        <t xml:space="preserve">📦EMS EB858203321CN</t>
      </text>
    </comment>
    <comment authorId="0" ref="I521">
      <text>
        <t xml:space="preserve">📦 BOSS 📮SENT 2026-04-12 💰CK 2026-04-16</t>
      </text>
    </comment>
    <comment authorId="0" ref="I389">
      <text>
        <t xml:space="preserve">📮SENT 2026-03-31</t>
      </text>
    </comment>
    <comment authorId="0" ref="I2371">
      <text>
        <t xml:space="preserve">📦EMS EB859424465CN</t>
      </text>
    </comment>
    <comment authorId="0" ref="I257">
      <text>
        <t xml:space="preserve">📦 BOSS 📮SENT 2026-04-18 💰CK 2026-04-20</t>
      </text>
    </comment>
    <comment authorId="0" ref="I1182">
      <text>
        <t xml:space="preserve">📦EMS EB857551400CN/EB857551736CN</t>
      </text>
    </comment>
    <comment authorId="0" ref="I125">
      <text>
        <t xml:space="preserve">📮SENT 2026-04-05 💰CK 2026-04-29</t>
      </text>
    </comment>
    <comment authorId="0" ref="I1050">
      <text>
        <t xml:space="preserve">📮SENT 2026-04-20 💰CK 2026-04-27</t>
      </text>
    </comment>
    <comment authorId="0" ref="I1843">
      <text>
        <t xml:space="preserve">📦EMS EB858203321CN</t>
      </text>
    </comment>
    <comment authorId="0" ref="I1711">
      <text>
        <t xml:space="preserve">📦EMS EB857551400CN/EB857551736CN</t>
      </text>
    </comment>
    <comment authorId="0" ref="I654">
      <text>
        <t xml:space="preserve">📮SENT 2026-04-05</t>
      </text>
    </comment>
    <comment authorId="0" ref="I522">
      <text>
        <t xml:space="preserve">📦 BOSS 📮SENT 2026-04-12 💰CK 2026-04-13</t>
      </text>
    </comment>
    <comment authorId="0" ref="I1447">
      <text>
        <t xml:space="preserve">📦 BOSS 📮SENT 2026-05-09 💰CK 2026-05-09</t>
      </text>
    </comment>
    <comment authorId="0" ref="I390">
      <text>
        <t xml:space="preserve">📮SENT 2026-03-31 💰CK 2026-04-25</t>
      </text>
    </comment>
    <comment authorId="0" ref="I2372">
      <text>
        <t xml:space="preserve">📦 BOSS 📮SENT 2026-06-04</t>
      </text>
    </comment>
    <comment authorId="0" ref="I258">
      <text>
        <t xml:space="preserve">📮SENT 2026-04-21 💰CK 2026-05-10</t>
      </text>
    </comment>
    <comment authorId="0" ref="I1183">
      <text>
        <t xml:space="preserve">📦EMS EB857551400CN/EB857551736CN</t>
      </text>
    </comment>
    <comment authorId="0" ref="I126">
      <text>
        <t xml:space="preserve">📮SENT 2026-04-21 💰CK 2026-04-21</t>
      </text>
    </comment>
    <comment authorId="0" ref="I1051">
      <text>
        <t xml:space="preserve">📮SENT 2026-04-20 💰CK 2026-04-27</t>
      </text>
    </comment>
    <comment authorId="0" ref="I919">
      <text>
        <t xml:space="preserve">📦 BOSS 📮SENT 2026-04-21 💰CK 2026-05-08</t>
      </text>
    </comment>
    <comment authorId="0" ref="I655">
      <text>
        <t xml:space="preserve">📮SENT 2026-04-05</t>
      </text>
    </comment>
    <comment authorId="0" ref="I523">
      <text>
        <t xml:space="preserve">📦EMS EB856696646CN 📮SENT 2026-04-16 💰CK 2026-05-10</t>
      </text>
    </comment>
    <comment authorId="0" ref="I391">
      <text>
        <t xml:space="preserve">📮SENT 2026-03-31 💰CK 2026-04-02</t>
      </text>
    </comment>
    <comment authorId="0" ref="I2373">
      <text>
        <t xml:space="preserve">📦 BOSS 📮SENT 2026-06-04</t>
      </text>
    </comment>
    <comment authorId="0" ref="I259">
      <text>
        <t xml:space="preserve">📮SENT 2026-04-19</t>
      </text>
    </comment>
    <comment authorId="0" ref="I1184">
      <text>
        <t xml:space="preserve">📦 BOSS 📮SENT 2026-05-07 💰CK 2026-05-08</t>
      </text>
    </comment>
    <comment authorId="0" ref="I127">
      <text>
        <t xml:space="preserve">📮SENT 2026-04-04 💰CK 2026-04-04</t>
      </text>
    </comment>
    <comment authorId="0" ref="I1052">
      <text>
        <t xml:space="preserve">📮SENT 2026-04-20 💰CK 2026-04-27</t>
      </text>
    </comment>
    <comment authorId="0" ref="I3034">
      <text>
        <t xml:space="preserve">📦EMS EB859664846CN</t>
      </text>
    </comment>
    <comment authorId="0" ref="I1977">
      <text>
        <t xml:space="preserve">📦 BOSS 📮SENT 2026-05-12</t>
      </text>
    </comment>
    <comment authorId="0" ref="I920">
      <text>
        <t xml:space="preserve">📦 BOSS 📮SENT 2026-04-21 💰CK 2026-05-08</t>
      </text>
    </comment>
    <comment authorId="0" ref="I1845">
      <text>
        <t xml:space="preserve">📦EMS EB858203321CN</t>
      </text>
    </comment>
    <comment authorId="0" ref="I788">
      <text>
        <t xml:space="preserve">📦 BOSS 📮SENT 2026-04-20</t>
      </text>
    </comment>
    <comment authorId="0" ref="I656">
      <text>
        <t xml:space="preserve">📮SENT 2026-04-04 💰CK 2026-04-11</t>
      </text>
    </comment>
    <comment authorId="0" ref="I524">
      <text>
        <t xml:space="preserve">📦 BOSS 📮SENT 2026-04-12 💰CK 2026-05-10</t>
      </text>
    </comment>
    <comment authorId="0" ref="I392">
      <text>
        <t xml:space="preserve">📮SENT 2026-04-02</t>
      </text>
    </comment>
    <comment authorId="0" ref="I2374">
      <text>
        <t xml:space="preserve">📦EMS EB859424465CN</t>
      </text>
    </comment>
    <comment authorId="0" ref="I260">
      <text>
        <t xml:space="preserve">📮SENT 2026-04-19</t>
      </text>
    </comment>
    <comment authorId="0" ref="I1185">
      <text>
        <t xml:space="preserve">📦 BOSS 📮SENT 2026-05-07 💰CK 2026-05-08</t>
      </text>
    </comment>
    <comment authorId="0" ref="I128">
      <text>
        <t xml:space="preserve">📦 BOSS 📮SENT 2026-04-23 💰CK 2026-04-26</t>
      </text>
    </comment>
    <comment authorId="0" ref="I1053">
      <text>
        <t xml:space="preserve">📮SENT 2026-04-20 💰CK 2026-04-27</t>
      </text>
    </comment>
    <comment authorId="0" ref="I1978">
      <text>
        <t xml:space="preserve">📦 BOSS 📮SENT 2026-05-12</t>
      </text>
    </comment>
    <comment authorId="0" ref="I3035">
      <text>
        <t xml:space="preserve">📦EMS EB859664846CN</t>
      </text>
    </comment>
    <comment authorId="0" ref="I921">
      <text>
        <t xml:space="preserve">📦 BOSS 📮SENT 2026-04-20 💰CK 2026-05-10</t>
      </text>
    </comment>
    <comment authorId="0" ref="I1846">
      <text>
        <t xml:space="preserve">📦EMS EB858203321CN</t>
      </text>
    </comment>
    <comment authorId="0" ref="I789">
      <text>
        <t xml:space="preserve">📦 BOSS 📮SENT 2026-04-20</t>
      </text>
    </comment>
    <comment authorId="0" ref="I657">
      <text>
        <t xml:space="preserve">📮SENT 2026-04-04 💰CK 2026-04-11</t>
      </text>
    </comment>
    <comment authorId="0" ref="I525">
      <text>
        <t xml:space="preserve">📦 BOSS 📮SENT 2026-04-14 💰CK 2026-05-10</t>
      </text>
    </comment>
    <comment authorId="0" ref="I393">
      <text>
        <t xml:space="preserve">📮SENT 2026-03-31</t>
      </text>
    </comment>
    <comment authorId="0" ref="I1318">
      <text>
        <t xml:space="preserve">📦 BOSS 📮SENT 2026-05-07 💰CK 2026-05-10</t>
      </text>
    </comment>
    <comment authorId="0" ref="I2375">
      <text>
        <t xml:space="preserve">📦 BOSS 📮SENT 2026-06-04</t>
      </text>
    </comment>
    <comment authorId="0" ref="I261">
      <text>
        <t xml:space="preserve">📮SENT 2026-03-31</t>
      </text>
    </comment>
    <comment authorId="0" ref="I1186">
      <text>
        <t xml:space="preserve">📦 BOSS 📮SENT 2026-05-08</t>
      </text>
    </comment>
    <comment authorId="0" ref="I129">
      <text>
        <t xml:space="preserve">📮SENT 2026-03-31 💰CK 2026-04-11</t>
      </text>
    </comment>
    <comment authorId="0" ref="I1054">
      <text>
        <t xml:space="preserve">📮SENT 2026-04-20</t>
      </text>
    </comment>
    <comment authorId="0" ref="I3036">
      <text>
        <t xml:space="preserve">📦EMS EB859664846CN</t>
      </text>
    </comment>
    <comment authorId="0" ref="I922">
      <text>
        <t xml:space="preserve">📦 BOSS 📮SENT 2026-04-21</t>
      </text>
    </comment>
    <comment authorId="0" ref="I1847">
      <text>
        <t xml:space="preserve">📦EMS EB858203321CN</t>
      </text>
    </comment>
    <comment authorId="0" ref="I790">
      <text>
        <t xml:space="preserve">📮SENT 2026-04-16 💰CK 2026-04-20</t>
      </text>
    </comment>
    <comment authorId="0" ref="I658">
      <text>
        <t xml:space="preserve">📮SENT 2026-04-19</t>
      </text>
    </comment>
    <comment authorId="0" ref="I526">
      <text>
        <t xml:space="preserve">📦 BOSS 📮SENT 2026-04-21 💰CK 2026-04-21</t>
      </text>
    </comment>
    <comment authorId="0" ref="I1451">
      <text>
        <t xml:space="preserve">📦EMS EB858203321CN</t>
      </text>
    </comment>
    <comment authorId="0" ref="I394">
      <text>
        <t xml:space="preserve">📮SENT 2026-03-31</t>
      </text>
    </comment>
    <comment authorId="0" ref="I1319">
      <text>
        <t xml:space="preserve">📦 BOSS 📮SENT 2026-05-07 💰CK 2026-05-10</t>
      </text>
    </comment>
    <comment authorId="0" ref="I262">
      <text>
        <t xml:space="preserve">📮SENT 2026-03-31</t>
      </text>
    </comment>
    <comment authorId="0" ref="I1187">
      <text>
        <t xml:space="preserve">📦 BOSS 📮SENT 2026-05-08</t>
      </text>
    </comment>
    <comment authorId="0" ref="I130">
      <text>
        <t xml:space="preserve">📮SENT 2026-03-31 💰CK 2026-03-31</t>
      </text>
    </comment>
    <comment authorId="0" ref="I1055">
      <text>
        <t xml:space="preserve">📮SENT 2026-04-20</t>
      </text>
    </comment>
    <comment authorId="0" ref="I3037">
      <text>
        <t xml:space="preserve">📦EMS EB859664846CN</t>
      </text>
    </comment>
    <comment authorId="0" ref="I923">
      <text>
        <t xml:space="preserve">📦 BOSS 📮SENT 2026-04-29</t>
      </text>
    </comment>
    <comment authorId="0" ref="I791">
      <text>
        <t xml:space="preserve">📦 BOSS 📮SENT 2026-04-18 💰CK 2026-05-10</t>
      </text>
    </comment>
    <comment authorId="0" ref="I659">
      <text>
        <t xml:space="preserve">📮SENT 2026-04-19</t>
      </text>
    </comment>
    <comment authorId="0" ref="I527">
      <text>
        <t xml:space="preserve">📦 BOSS 📮SENT 2026-04-12 💰CK 2026-04-21</t>
      </text>
    </comment>
    <comment authorId="0" ref="I395">
      <text>
        <t xml:space="preserve">📮SENT 2026-03-31</t>
      </text>
    </comment>
    <comment authorId="0" ref="I1320">
      <text>
        <t xml:space="preserve">📦 BOSS 📮SENT 2026-05-07 💰CK 2026-05-10</t>
      </text>
    </comment>
    <comment authorId="0" ref="I263">
      <text>
        <t xml:space="preserve">📮SENT 2026-03-31</t>
      </text>
    </comment>
    <comment authorId="0" ref="I1188">
      <text>
        <t xml:space="preserve">📦 BOSS 📮SENT 2026-05-08</t>
      </text>
    </comment>
    <comment authorId="0" ref="I131">
      <text>
        <t xml:space="preserve">📮SENT 2026-03-31 💰CK 2026-04-02</t>
      </text>
    </comment>
    <comment authorId="0" ref="I1056">
      <text>
        <t xml:space="preserve">📦 BOSS 📮SENT 2026-04-23 💰CK 2026-05-10</t>
      </text>
    </comment>
    <comment authorId="0" ref="I3038">
      <text>
        <t xml:space="preserve">📦EMS EB859664846CN</t>
      </text>
    </comment>
    <comment authorId="0" ref="I924">
      <text>
        <t xml:space="preserve">📦 BOSS 📮SENT 2026-04-20</t>
      </text>
    </comment>
    <comment authorId="0" ref="I1849">
      <text>
        <t xml:space="preserve">📦EMS EB858203321CN</t>
      </text>
    </comment>
    <comment authorId="0" ref="I792">
      <text>
        <t xml:space="preserve">📦 BOSS 📮SENT 2026-04-18 💰CK 2026-05-10</t>
      </text>
    </comment>
    <comment authorId="0" ref="I660">
      <text>
        <t xml:space="preserve">💰CK 2026-04-11</t>
      </text>
    </comment>
    <comment authorId="0" ref="I528">
      <text>
        <t xml:space="preserve">📦 BOSS 📮SENT 2026-04-12 💰CK 2026-04-21</t>
      </text>
    </comment>
    <comment authorId="0" ref="I1453">
      <text>
        <t xml:space="preserve">📦EMS EB857015049CN</t>
      </text>
    </comment>
    <comment authorId="0" ref="I396">
      <text>
        <t xml:space="preserve">📮SENT 2026-03-31</t>
      </text>
    </comment>
    <comment authorId="0" ref="I264">
      <text>
        <t xml:space="preserve">📮SENT 2026-03-31</t>
      </text>
    </comment>
    <comment authorId="0" ref="I1189">
      <text>
        <t xml:space="preserve">📦 BOSS 📮SENT 2026-05-08</t>
      </text>
    </comment>
    <comment authorId="0" ref="I1057">
      <text>
        <t xml:space="preserve">📦 BOSS 📮SENT 2026-04-23 💰CK 2026-05-10</t>
      </text>
    </comment>
    <comment authorId="0" ref="I3039">
      <text>
        <t xml:space="preserve">📦EMS EB859664846CN</t>
      </text>
    </comment>
    <comment authorId="0" ref="I925">
      <text>
        <t xml:space="preserve">📦 BOSS 📮SENT 2026-04-20 💰CK 2026-04-26</t>
      </text>
    </comment>
    <comment authorId="0" ref="I1850">
      <text>
        <t xml:space="preserve">📦 BOSS 📮SENT 2026-05-11</t>
      </text>
    </comment>
    <comment authorId="0" ref="I661">
      <text>
        <t xml:space="preserve">💰CK 2026-04-11</t>
      </text>
    </comment>
    <comment authorId="0" ref="I529">
      <text>
        <t xml:space="preserve">📦 BOSS 📮SENT 2026-04-12 💰CK 2026-04-13</t>
      </text>
    </comment>
    <comment authorId="0" ref="I397">
      <text>
        <t xml:space="preserve">📮SENT 2026-03-31 💰CK 2026-05-06</t>
      </text>
    </comment>
  </commentList>
</comments>
</file>

<file path=xl/sharedStrings.xml><?xml version="1.0" encoding="utf-8"?>
<sst xmlns="http://schemas.openxmlformats.org/spreadsheetml/2006/main" count="27148" uniqueCount="4226">
  <si>
    <t>Tên khách</t>
  </si>
  <si>
    <t>Tên Sp</t>
  </si>
  <si>
    <t>Mã SP</t>
  </si>
  <si>
    <t>SIZE</t>
  </si>
  <si>
    <t>COLOR</t>
  </si>
  <si>
    <t>Số lượng</t>
  </si>
  <si>
    <t>Giá sp</t>
  </si>
  <si>
    <t>NGÀY OD</t>
  </si>
  <si>
    <t>TRẠNG THÁI</t>
  </si>
  <si>
    <t>Link fb</t>
  </si>
  <si>
    <t>Ngọc Thuý Trần</t>
  </si>
  <si>
    <t>Phông trơn ngắn tay</t>
  </si>
  <si>
    <t>S</t>
  </si>
  <si>
    <t>TRẮNG</t>
  </si>
  <si>
    <t>Đã gửi</t>
  </si>
  <si>
    <t>https://www.facebook.com/share/1QYxbzMHD7/?mibextid=wwXIfr</t>
  </si>
  <si>
    <t>HỒNG</t>
  </si>
  <si>
    <t>Uyên Lê</t>
  </si>
  <si>
    <t>ĐEN</t>
  </si>
  <si>
    <t>Hà Giang</t>
  </si>
  <si>
    <t>XÁM ĐẬM</t>
  </si>
  <si>
    <t>Bùi Thị Ngọc Hân</t>
  </si>
  <si>
    <t>M</t>
  </si>
  <si>
    <t>XÁM</t>
  </si>
  <si>
    <t>Đã xoá</t>
  </si>
  <si>
    <t>Trang Mẩu</t>
  </si>
  <si>
    <t>NÂU</t>
  </si>
  <si>
    <t>ĐỎ</t>
  </si>
  <si>
    <t>Nguyễn Phương Vy</t>
  </si>
  <si>
    <t>Lily</t>
  </si>
  <si>
    <t>Thanh Hang Huang</t>
  </si>
  <si>
    <t>Kim Cúc</t>
  </si>
  <si>
    <t>Lê Thuỳ Dương</t>
  </si>
  <si>
    <t>Trần Kiều Giang</t>
  </si>
  <si>
    <t>Phạm Thị Như Ý</t>
  </si>
  <si>
    <t>Nguyễn Thu</t>
  </si>
  <si>
    <t>Ngọc Huyền</t>
  </si>
  <si>
    <t>Dang Minh</t>
  </si>
  <si>
    <t>Trần Thị Thu</t>
  </si>
  <si>
    <t>Bích Thuỷ</t>
  </si>
  <si>
    <t>Vũ Hà Thu</t>
  </si>
  <si>
    <t>Ng Hà Phương</t>
  </si>
  <si>
    <t>Nguyễn Hương</t>
  </si>
  <si>
    <t>https://www.facebook.com/share/17v6iyn5xx/?mibextid=wwXIfr</t>
  </si>
  <si>
    <t>Hương Cherry</t>
  </si>
  <si>
    <t>Polo lông thỏ</t>
  </si>
  <si>
    <t>FZ</t>
  </si>
  <si>
    <t>BE</t>
  </si>
  <si>
    <t>Hoàng Yếnn</t>
  </si>
  <si>
    <t>Lộc Tâm</t>
  </si>
  <si>
    <t>Ngọc Hà</t>
  </si>
  <si>
    <t>Phương Nga</t>
  </si>
  <si>
    <t>Lụa Mỹ</t>
  </si>
  <si>
    <t>Phạm Hoàn</t>
  </si>
  <si>
    <t>Hà Oanh</t>
  </si>
  <si>
    <t>Thuỳ Trang</t>
  </si>
  <si>
    <t>Tâm Tâm</t>
  </si>
  <si>
    <t>Jean xanh đậm</t>
  </si>
  <si>
    <t>XANH THAN</t>
  </si>
  <si>
    <t>https://www.facebook.com/share/1GzVVq96Za/?mibextid=wwXIfr</t>
  </si>
  <si>
    <t>Trang Minn</t>
  </si>
  <si>
    <t xml:space="preserve">Phan Nhung </t>
  </si>
  <si>
    <t>GiangHoang Vu</t>
  </si>
  <si>
    <t>Trang Đoàn</t>
  </si>
  <si>
    <t>Hoàng Nhật Mai</t>
  </si>
  <si>
    <t>Hong Doan</t>
  </si>
  <si>
    <t>Cao The</t>
  </si>
  <si>
    <t>https://www.facebook.com/share/18RcCZWJ6a/?mibextid=wwXIfr</t>
  </si>
  <si>
    <t>Ngọc Hiền</t>
  </si>
  <si>
    <t>Huyền Trang</t>
  </si>
  <si>
    <t>https://www.facebook.com/share/1EJQU4nE6g/?mibextid=wwXIfr</t>
  </si>
  <si>
    <t>Li Ly</t>
  </si>
  <si>
    <t xml:space="preserve">Thảo Huyền </t>
  </si>
  <si>
    <t>Huyền Thỏ</t>
  </si>
  <si>
    <t>Trà Mei</t>
  </si>
  <si>
    <t>L</t>
  </si>
  <si>
    <t xml:space="preserve">Vân Trang </t>
  </si>
  <si>
    <t>Nguyễn Hoàng</t>
  </si>
  <si>
    <t>Sami Sami</t>
  </si>
  <si>
    <t>Yến Nhi</t>
  </si>
  <si>
    <t>Nhung Đỗ</t>
  </si>
  <si>
    <t>https://www.facebook.com/share/1D4ngbZHBR/?mibextid=wwXIfr</t>
  </si>
  <si>
    <t>Hà Nhi</t>
  </si>
  <si>
    <t>Váy jean nâu</t>
  </si>
  <si>
    <t>Hương Nhật</t>
  </si>
  <si>
    <t>Anh Kieu Bao</t>
  </si>
  <si>
    <t>Trangg Tũnn</t>
  </si>
  <si>
    <t>Ngọc Dung</t>
  </si>
  <si>
    <t>Nguyen Yen Nhi</t>
  </si>
  <si>
    <t>Quần jean đùi xanh</t>
  </si>
  <si>
    <t xml:space="preserve">Khánh Hoà </t>
  </si>
  <si>
    <t>Hồng Nhi</t>
  </si>
  <si>
    <t xml:space="preserve">Huyền Trang </t>
  </si>
  <si>
    <t>Hoàng Huyền</t>
  </si>
  <si>
    <t>Trần T Thuỳ</t>
  </si>
  <si>
    <t>Ty Ty</t>
  </si>
  <si>
    <t>Phạm Thuý</t>
  </si>
  <si>
    <t>Jean lửng xanh đậm</t>
  </si>
  <si>
    <t>https://www.facebook.com/share/17GC4jqgbw/?mibextid=wwXIfr</t>
  </si>
  <si>
    <t>Chanh Lê</t>
  </si>
  <si>
    <t>Thanh Tiền</t>
  </si>
  <si>
    <t>Bùi Thu Hiền</t>
  </si>
  <si>
    <t>Thuận Lê</t>
  </si>
  <si>
    <t>Hạ Trang</t>
  </si>
  <si>
    <t>Huyền Nga</t>
  </si>
  <si>
    <t>Thư Thư</t>
  </si>
  <si>
    <t>Vũ Tuyền</t>
  </si>
  <si>
    <t>Hồ Thị Hải</t>
  </si>
  <si>
    <t>Linh Đa Trần</t>
  </si>
  <si>
    <t>Tâm Hồ</t>
  </si>
  <si>
    <t>Ng T. Kim Dungg</t>
  </si>
  <si>
    <t>Minh Nguyệt</t>
  </si>
  <si>
    <t>Kim Chi</t>
  </si>
  <si>
    <t>Huyền Trang 2</t>
  </si>
  <si>
    <t>Phạm Thị Diệu Linh</t>
  </si>
  <si>
    <t>Đàm Mai Lan</t>
  </si>
  <si>
    <t>Nguyễn Thị Hiền</t>
  </si>
  <si>
    <t>Thiên An</t>
  </si>
  <si>
    <t>Nhung Kul's</t>
  </si>
  <si>
    <t>https://www.facebook.com/share/1GJK8WCYwa/?mibextid=wwXIfr</t>
  </si>
  <si>
    <t>Thiên Lý</t>
  </si>
  <si>
    <t>Trang Trần</t>
  </si>
  <si>
    <t>Thu Hường Nguyễn</t>
  </si>
  <si>
    <t>Duong Cam Tu</t>
  </si>
  <si>
    <t>Đỗ Duyên</t>
  </si>
  <si>
    <t>Loan Trần</t>
  </si>
  <si>
    <t>Lê Hải Yến</t>
  </si>
  <si>
    <t>Linh Nguyen</t>
  </si>
  <si>
    <t>Đào Thị Thu</t>
  </si>
  <si>
    <t>Thuỳ Trangg</t>
  </si>
  <si>
    <t>Thuý Hạnh</t>
  </si>
  <si>
    <t>https://www.facebook.com/share/1CaXKMnryV/?mibextid=wwXIfr</t>
  </si>
  <si>
    <t>chup bi Kiều</t>
  </si>
  <si>
    <t>Quỳnh Như</t>
  </si>
  <si>
    <t>Khánh Nhung</t>
  </si>
  <si>
    <t>Nguyễn Thu Thảo</t>
  </si>
  <si>
    <t>Hằng Min's</t>
  </si>
  <si>
    <t>Sáu Nguyễn</t>
  </si>
  <si>
    <t>Page</t>
  </si>
  <si>
    <t>Hà Trần</t>
  </si>
  <si>
    <t>Diễm Pưngg</t>
  </si>
  <si>
    <t>Polo len tăm</t>
  </si>
  <si>
    <t>Nhật Giang</t>
  </si>
  <si>
    <t>Võ Thị Ngọc Châu</t>
  </si>
  <si>
    <t>Ngọc Ánh</t>
  </si>
  <si>
    <t>https://www.facebook.com/share/1CAWpeEnCM/?mibextid=wwXIfr</t>
  </si>
  <si>
    <t>https://www.facebook.com/share/18LYntj22X/?mibextid=wwXIfr</t>
  </si>
  <si>
    <t>Hồng Phấn</t>
  </si>
  <si>
    <t>Nguyễn Minh Anh</t>
  </si>
  <si>
    <t>Áo Dạ</t>
  </si>
  <si>
    <t>Hoang Anh</t>
  </si>
  <si>
    <t>NaNa Purple</t>
  </si>
  <si>
    <t>Quần giả váy xanh</t>
  </si>
  <si>
    <t xml:space="preserve">Luyện Bùi </t>
  </si>
  <si>
    <t>Đỗ Hồng Thắm</t>
  </si>
  <si>
    <t>Cao Thị Vinh</t>
  </si>
  <si>
    <t>Nguyệt Nga</t>
  </si>
  <si>
    <t>Mến Trần</t>
  </si>
  <si>
    <t>Nguyễn Thu Trang</t>
  </si>
  <si>
    <t>Thiên Yết</t>
  </si>
  <si>
    <t>Jean 2 khuy</t>
  </si>
  <si>
    <t>Hoa Shine</t>
  </si>
  <si>
    <t>Mùi Rau</t>
  </si>
  <si>
    <t>Jean Rộng Nâu</t>
  </si>
  <si>
    <t>Hà Ji Yong</t>
  </si>
  <si>
    <t>Áo Ren</t>
  </si>
  <si>
    <t>Thanh Thảo</t>
  </si>
  <si>
    <t>Khánh Hoà</t>
  </si>
  <si>
    <t>Thun dài tay</t>
  </si>
  <si>
    <t>https://www.facebook.com/share/1AuQbfLWyQ/?mibextid=wwXIfr</t>
  </si>
  <si>
    <t>Phan Trang</t>
  </si>
  <si>
    <t>Camgiang Tran</t>
  </si>
  <si>
    <t>Loe nâu</t>
  </si>
  <si>
    <t>Jean rộng xanh</t>
  </si>
  <si>
    <t>Chu Thị Phương Anh</t>
  </si>
  <si>
    <t>Vũ Nguyễn Hạ My</t>
  </si>
  <si>
    <t>Set áo trễ vai</t>
  </si>
  <si>
    <t>Yến Yến</t>
  </si>
  <si>
    <t>Luyện Bùi</t>
  </si>
  <si>
    <t>Trễ vai xanh</t>
  </si>
  <si>
    <t>Đăng T Phạm</t>
  </si>
  <si>
    <t>Bích Ngọc1</t>
  </si>
  <si>
    <t>Jean đậm 95cm</t>
  </si>
  <si>
    <t>https://www.facebook.com/share/18G43Zz4Kd/?mibextid=wwXIfr</t>
  </si>
  <si>
    <t>Trinh dathao</t>
  </si>
  <si>
    <t>Oanh Kim</t>
  </si>
  <si>
    <t>Le Hong Diep</t>
  </si>
  <si>
    <t>Hà Ny</t>
  </si>
  <si>
    <t>Ngọc June</t>
  </si>
  <si>
    <t>Bích Ngọc</t>
  </si>
  <si>
    <t>Thu Hoài</t>
  </si>
  <si>
    <t>Vũ Hằng</t>
  </si>
  <si>
    <t>Hoàng Hương Giang</t>
  </si>
  <si>
    <t>Lê Hương Trà</t>
  </si>
  <si>
    <t>https://www.facebook.com/share/1Anik37rwZ/?mibextid=wwXIfr</t>
  </si>
  <si>
    <t>Nhi Xinh</t>
  </si>
  <si>
    <t>Ba Lỗ có mút</t>
  </si>
  <si>
    <t>Em Bé</t>
  </si>
  <si>
    <t>TÍM</t>
  </si>
  <si>
    <t>Nguyễn Dung</t>
  </si>
  <si>
    <t>Lương Nguyễn</t>
  </si>
  <si>
    <t>Hoàng T Minh</t>
  </si>
  <si>
    <t>Hải Nga Phạm</t>
  </si>
  <si>
    <t>Sam Sam</t>
  </si>
  <si>
    <t>Hoài Ý</t>
  </si>
  <si>
    <t>Đỗ AnhThư</t>
  </si>
  <si>
    <t>Nguyễn Thị Hồng Mai</t>
  </si>
  <si>
    <t>Trần Thị Cẩm My</t>
  </si>
  <si>
    <t>Nguyễn Hồng Đào</t>
  </si>
  <si>
    <t>Nguyễn Quỳnh Mai</t>
  </si>
  <si>
    <t>Trần Thị Hương Giang</t>
  </si>
  <si>
    <t>ティ. ヴァン</t>
  </si>
  <si>
    <t>Phương Hà</t>
  </si>
  <si>
    <t>Hà Đào</t>
  </si>
  <si>
    <t>Bich Ngoc Nguyen</t>
  </si>
  <si>
    <t>Phạm Trúc</t>
  </si>
  <si>
    <t>Trang Trang</t>
  </si>
  <si>
    <t>Linh Thuỳ Ốc Nhồi</t>
  </si>
  <si>
    <t>Trần Phương Thảo</t>
  </si>
  <si>
    <t>Trần Huyền</t>
  </si>
  <si>
    <t>Trang Phạm</t>
  </si>
  <si>
    <t>Jean xanh loe</t>
  </si>
  <si>
    <t>Võ Quỳnh Linh</t>
  </si>
  <si>
    <t>Đùi sơ mi</t>
  </si>
  <si>
    <t>Đào Trần</t>
  </si>
  <si>
    <t>Nguyen Trang</t>
  </si>
  <si>
    <t>Su Na</t>
  </si>
  <si>
    <t>キン Quỳnh</t>
  </si>
  <si>
    <t>Nguyet Dong Thi</t>
  </si>
  <si>
    <t>Phông ngựa</t>
  </si>
  <si>
    <t>Trangg Bờmm</t>
  </si>
  <si>
    <t>Huỳnh Thị Phương Linh</t>
  </si>
  <si>
    <t>Uyên Thu Nguyễn</t>
  </si>
  <si>
    <t>Võ Duyên</t>
  </si>
  <si>
    <t>Trắng xinh</t>
  </si>
  <si>
    <t>Võ Thị Huỳnh Như</t>
  </si>
  <si>
    <t>Hà Lê Dung</t>
  </si>
  <si>
    <t>Lương Mỹ Hạnh</t>
  </si>
  <si>
    <t>Thuỷ</t>
  </si>
  <si>
    <t>https://www.facebook.com/share/1CBNudwxCL/?mibextid=wwXIfr</t>
  </si>
  <si>
    <t>Thu Hoài Nguyễn</t>
  </si>
  <si>
    <t>Dung Kami</t>
  </si>
  <si>
    <t>Thuý Ngà</t>
  </si>
  <si>
    <t>Trịnh Hồng Tâm</t>
  </si>
  <si>
    <t>Phạm Thu Hằng</t>
  </si>
  <si>
    <t>Bống Linh</t>
  </si>
  <si>
    <t>Kiều Hương</t>
  </si>
  <si>
    <t>Mai Thanh Giang</t>
  </si>
  <si>
    <t>Tran Linhh</t>
  </si>
  <si>
    <t>Nguyễn Hoa</t>
  </si>
  <si>
    <t>https://www.facebook.com/share/1KyZermE74/?mibextid=wwXIfr</t>
  </si>
  <si>
    <t>Quần sooc</t>
  </si>
  <si>
    <t>Thương Thương</t>
  </si>
  <si>
    <t>Ánh Min</t>
  </si>
  <si>
    <t>Lương Thị Thanh Hải</t>
  </si>
  <si>
    <t>Hoàng Uyên</t>
  </si>
  <si>
    <t>Mai suppy</t>
  </si>
  <si>
    <t>Tí Bu</t>
  </si>
  <si>
    <t>https://www.facebook.com/share/1CZB6aY6zY/?mibextid=wwXIfr</t>
  </si>
  <si>
    <t xml:space="preserve">Thanh Trang </t>
  </si>
  <si>
    <t>Nguyễn Kiều Diễm</t>
  </si>
  <si>
    <t>Nguyễn Lưu Luyến</t>
  </si>
  <si>
    <t xml:space="preserve">Nguyễn Phượng </t>
  </si>
  <si>
    <t>Nguyễn Thị Soan</t>
  </si>
  <si>
    <t>Nguyễn Quyên(page)</t>
  </si>
  <si>
    <t>Minh Trang</t>
  </si>
  <si>
    <t>Hảo Nguyễn</t>
  </si>
  <si>
    <t>Hoàng Yến Thanh</t>
  </si>
  <si>
    <t>Giày howell</t>
  </si>
  <si>
    <t>M001</t>
  </si>
  <si>
    <t>Min's Nguyệt</t>
  </si>
  <si>
    <t>Thu</t>
  </si>
  <si>
    <t>https://www.facebook.com/share/18QVmBu18D/?mibextid=wwXIfr</t>
  </si>
  <si>
    <t>Quỳnh Thêu</t>
  </si>
  <si>
    <t>Hoahonggai Thon</t>
  </si>
  <si>
    <t>Châu Lâm</t>
  </si>
  <si>
    <t>モンモン</t>
  </si>
  <si>
    <t>https://www.facebook.com/share/1HVVJ5URRZ/?mibextid=wwXIfr</t>
  </si>
  <si>
    <t>Trần Linh</t>
  </si>
  <si>
    <t>https://www.facebook.com/share/1AxaBTTg8q/?mibextid=wwXIfr</t>
  </si>
  <si>
    <t>Thu Thao Le</t>
  </si>
  <si>
    <t>Loan Dao</t>
  </si>
  <si>
    <t>https://www.facebook.com/share/1CQ2cBa1QY/?mibextid=wwXIfr</t>
  </si>
  <si>
    <t>Nguyễn Hân</t>
  </si>
  <si>
    <t>Hue Nguyen</t>
  </si>
  <si>
    <t>https://www.facebook.com/share/1BAdFF1iZB/?mibextid=wwXIfr</t>
  </si>
  <si>
    <t>Oanh Tồ</t>
  </si>
  <si>
    <t>https://www.facebook.com/share/1AXG4kvF4L/?mibextid=wwXIfr</t>
  </si>
  <si>
    <t>Nguyễn Quyên</t>
  </si>
  <si>
    <t>https://www.facebook.com/share/1cHcttESBn/?mibextid=wwXIfr</t>
  </si>
  <si>
    <t>https://www.facebook.com/share/1GG2PUGwJa/?mibextid=wwXIfr</t>
  </si>
  <si>
    <t>Hàn Lan Anh</t>
  </si>
  <si>
    <t>Chu Thị Quyên</t>
  </si>
  <si>
    <t>Trần Thảo Yến</t>
  </si>
  <si>
    <t>Bùii Phươngg</t>
  </si>
  <si>
    <t>Lam Lam</t>
  </si>
  <si>
    <t>Mai Suppy</t>
  </si>
  <si>
    <t>Thảo Thỏ</t>
  </si>
  <si>
    <t>Bùi Lương</t>
  </si>
  <si>
    <t>La Xuyen</t>
  </si>
  <si>
    <t>Huyền Osumi</t>
  </si>
  <si>
    <t>Nguyễn Linh Lan</t>
  </si>
  <si>
    <t>Nguyen Thi Thanh Tuyen</t>
  </si>
  <si>
    <t>Trương Thuỷ</t>
  </si>
  <si>
    <t>Việt Hà</t>
  </si>
  <si>
    <t>https://www.facebook.com/share/1AmitUBzNP/</t>
  </si>
  <si>
    <t>Hoài Linh</t>
  </si>
  <si>
    <t>Huyền Linh</t>
  </si>
  <si>
    <t>Hằng Vũ</t>
  </si>
  <si>
    <t>Thu Tô</t>
  </si>
  <si>
    <t>Nguyễn Thu Phương</t>
  </si>
  <si>
    <t>Nguyễn Huyền Trang</t>
  </si>
  <si>
    <t>Nguyễn Thị Thu</t>
  </si>
  <si>
    <t>Dương Duyên</t>
  </si>
  <si>
    <t>Mỹ Hạnh Phạmm</t>
  </si>
  <si>
    <t>Thu Trang</t>
  </si>
  <si>
    <t>Su Kem</t>
  </si>
  <si>
    <t>Đỗ Nhung</t>
  </si>
  <si>
    <t>Nguyệt</t>
  </si>
  <si>
    <t>Huyền Trang 1</t>
  </si>
  <si>
    <t>Đồ ngủ</t>
  </si>
  <si>
    <t>M003</t>
  </si>
  <si>
    <t>https://www.facebook.com/share/1CFqzXh4wt/?mibextid=wwXIfr</t>
  </si>
  <si>
    <t>AnhThư Phann</t>
  </si>
  <si>
    <t>Angelina Tran</t>
  </si>
  <si>
    <t>Dung Nguyễn</t>
  </si>
  <si>
    <t>Hoàng Yến</t>
  </si>
  <si>
    <t>Thuý Huệ</t>
  </si>
  <si>
    <t>Đan Thảo</t>
  </si>
  <si>
    <t>Sâu Màu Mè</t>
  </si>
  <si>
    <t>https://www.facebook.com/share/1GoC1z1qrC/?mibextid=wwXIfr</t>
  </si>
  <si>
    <t>Ngoc Anh Nguyen</t>
  </si>
  <si>
    <t>Mộc Dương</t>
  </si>
  <si>
    <t>Khoảng Lặng</t>
  </si>
  <si>
    <t>https://www.facebook.com/share/18HMZRAkTs/?mibextid=wwXIfr</t>
  </si>
  <si>
    <t>Mơ Mơ</t>
  </si>
  <si>
    <t>Phông giấy DM</t>
  </si>
  <si>
    <t>Châm Châm Nè</t>
  </si>
  <si>
    <t>VÀNG</t>
  </si>
  <si>
    <t>Trịnh Thị Thu Hiền</t>
  </si>
  <si>
    <t>XANH NHẠT</t>
  </si>
  <si>
    <t>Ánh Lê</t>
  </si>
  <si>
    <t>Thu Hiền(xa)</t>
  </si>
  <si>
    <t>Ngô Trần Yến Vy</t>
  </si>
  <si>
    <t>Huỳnh Ngân</t>
  </si>
  <si>
    <t>Huong Giang</t>
  </si>
  <si>
    <t>Váy trắng dài</t>
  </si>
  <si>
    <t>Hương Tôi Quê</t>
  </si>
  <si>
    <t>Hoài An</t>
  </si>
  <si>
    <t>Nhat Ha Tran Le</t>
  </si>
  <si>
    <t>Linh Trần</t>
  </si>
  <si>
    <t>Bich Chung</t>
  </si>
  <si>
    <t>Jean EN&amp;ER</t>
  </si>
  <si>
    <t>Thuỳ Linh</t>
  </si>
  <si>
    <t>Duong Thu Anh</t>
  </si>
  <si>
    <t>Anh Ain</t>
  </si>
  <si>
    <t>Minh Diệu</t>
  </si>
  <si>
    <t xml:space="preserve">Ngọc Tẹt </t>
  </si>
  <si>
    <t>Wabi Sabi</t>
  </si>
  <si>
    <t>Phạm Thị Minh Thư</t>
  </si>
  <si>
    <t>Bộ đồ mát</t>
  </si>
  <si>
    <t>M004</t>
  </si>
  <si>
    <t>Phan Nhung</t>
  </si>
  <si>
    <t>Voi Còi</t>
  </si>
  <si>
    <t>Huỳnh Vy</t>
  </si>
  <si>
    <t>Bộ Nỉ</t>
  </si>
  <si>
    <t>グエン　フエン</t>
  </si>
  <si>
    <t>Tram Anh</t>
  </si>
  <si>
    <t>Lê Mai Phương</t>
  </si>
  <si>
    <t>Anh Phương</t>
  </si>
  <si>
    <t>Mỹ Hà</t>
  </si>
  <si>
    <t>Hở vai</t>
  </si>
  <si>
    <t>Thanh Huyền</t>
  </si>
  <si>
    <t>https://www.facebook.com/share/14KWh9eZXLa/</t>
  </si>
  <si>
    <t>Le Hoang Anh</t>
  </si>
  <si>
    <t>Giày Love</t>
  </si>
  <si>
    <t>M005</t>
  </si>
  <si>
    <t>Áo dây</t>
  </si>
  <si>
    <t>M006</t>
  </si>
  <si>
    <t>Hoa Bỉ Ngạn</t>
  </si>
  <si>
    <t>Linh</t>
  </si>
  <si>
    <t>Chang Nguyễn</t>
  </si>
  <si>
    <t>Minh Lan</t>
  </si>
  <si>
    <t>Ngọc Linh</t>
  </si>
  <si>
    <t>Trần Khánh Nhi</t>
  </si>
  <si>
    <t>Khánh Vi</t>
  </si>
  <si>
    <t>Nguyễn Hoàng Yến Linh</t>
  </si>
  <si>
    <t>Nguyễnn Thuu Thảo</t>
  </si>
  <si>
    <t>Trần Huỳnh Hoa</t>
  </si>
  <si>
    <t>Cậu Bé May Mắn</t>
  </si>
  <si>
    <t>Lý Tụm</t>
  </si>
  <si>
    <t>Huỳnh Trang</t>
  </si>
  <si>
    <t>Eyelash Linh Võ</t>
  </si>
  <si>
    <t>Minh Minh</t>
  </si>
  <si>
    <t>Xim Tran</t>
  </si>
  <si>
    <t>Lê Thục Uyên</t>
  </si>
  <si>
    <t>Hiền Bạch</t>
  </si>
  <si>
    <t>Lê Thị Hoài An</t>
  </si>
  <si>
    <t>Hoàng My</t>
  </si>
  <si>
    <t>Hiên Marie</t>
  </si>
  <si>
    <t>Hường Mít</t>
  </si>
  <si>
    <t>Nguyet Dang</t>
  </si>
  <si>
    <t>Đỗ Bích Phương</t>
  </si>
  <si>
    <t>Nhu Mai Vu</t>
  </si>
  <si>
    <t>Thu Huyền</t>
  </si>
  <si>
    <t>https://www.facebook.com/share/1DpesQM4Tb/?mibextid=wwXIfr</t>
  </si>
  <si>
    <t>Minh Huyền</t>
  </si>
  <si>
    <t>Uyên Phan</t>
  </si>
  <si>
    <t>Ct Ngọc Lan</t>
  </si>
  <si>
    <t>Thuý Hiền</t>
  </si>
  <si>
    <t>Thu Thuỷ</t>
  </si>
  <si>
    <t>https://www.facebook.com/share/1Ahk68zA6s/?mibextid=wwXIfr</t>
  </si>
  <si>
    <t>Thắm Nguyên</t>
  </si>
  <si>
    <t>https://www.facebook.com/share/1CmeeuasPc/</t>
  </si>
  <si>
    <t>ÁO DENIM</t>
  </si>
  <si>
    <t>XANH</t>
  </si>
  <si>
    <t>https://www.facebook.com/meichan2212</t>
  </si>
  <si>
    <t>https://www.facebook.com/tho.huyen.56829</t>
  </si>
  <si>
    <t>Nga Mýyt</t>
  </si>
  <si>
    <t>https://www.facebook.com/profile.php</t>
  </si>
  <si>
    <t>https://www.facebook.com/thuyy.trangg.752</t>
  </si>
  <si>
    <t>Hoàng Hồng</t>
  </si>
  <si>
    <t>http://facebook.com/ngoc.linh.764073</t>
  </si>
  <si>
    <t>Trinh Vani</t>
  </si>
  <si>
    <t>Thy Dinh</t>
  </si>
  <si>
    <t>https://www.facebook.com/thydinh201</t>
  </si>
  <si>
    <t>Lan Anh</t>
  </si>
  <si>
    <t>https://www.facebook.com/share/1Bzobj9mJ4/</t>
  </si>
  <si>
    <t>Nguyễn Kiều Oanh</t>
  </si>
  <si>
    <t>https://www.facebook.com/share/1BW9pGS46g/</t>
  </si>
  <si>
    <t>Lạc イ</t>
  </si>
  <si>
    <t>https://www.facebook.com/share/18FcyFfX9m/</t>
  </si>
  <si>
    <t>Tiên Jully</t>
  </si>
  <si>
    <t>https://www.facebook.com/share/1NLcBrYjqJ/</t>
  </si>
  <si>
    <t>Nguyễn Huyền</t>
  </si>
  <si>
    <t>https://www.facebook.com/share/1CjuGFS7R4/</t>
  </si>
  <si>
    <t>https://www.facebook.com/share/1Hf12fTfjm/</t>
  </si>
  <si>
    <t>Nguyễn Vân</t>
  </si>
  <si>
    <t>https://www.facebook.com/share/1Ds98gUs1u/</t>
  </si>
  <si>
    <t>Quỳnh Hary</t>
  </si>
  <si>
    <t>Mũ Polo</t>
  </si>
  <si>
    <t>MU01</t>
  </si>
  <si>
    <t xml:space="preserve">NÂU NHẠT </t>
  </si>
  <si>
    <t>https://www.facebook.com/quynh.harry.3</t>
  </si>
  <si>
    <t>https://www.facebook.com/phamthi.lananh.56863</t>
  </si>
  <si>
    <t>https://www.facebook.com/linhlum.95</t>
  </si>
  <si>
    <t>Nguyễn Oanh</t>
  </si>
  <si>
    <t>NÂU NHẠT</t>
  </si>
  <si>
    <t>https://www.facebook.com/share/1CVFPQcg5J/</t>
  </si>
  <si>
    <t>Thu Hiền</t>
  </si>
  <si>
    <t>https://www.facebook.com/Dunglacuocdoi.thuhien</t>
  </si>
  <si>
    <t>Hải Yến</t>
  </si>
  <si>
    <t>https://www.facebook.com/yenyen7109</t>
  </si>
  <si>
    <t>http://facebook.com/profile.php</t>
  </si>
  <si>
    <t>https://www.facebook.com/hien.bachthi.9</t>
  </si>
  <si>
    <t>Tâm Tâm1</t>
  </si>
  <si>
    <t>https://www.facebook.com/profile.php?id=100014031810826</t>
  </si>
  <si>
    <t>Huyền Huyền</t>
  </si>
  <si>
    <t>https://www.facebook.com/giobe.nghean.14</t>
  </si>
  <si>
    <t>Nga Vũ</t>
  </si>
  <si>
    <t>https://www.facebook.com/profile.php?id=100055517575557</t>
  </si>
  <si>
    <t>https://www.facebook.com/linh.thuy.oc.nhoi</t>
  </si>
  <si>
    <t>Nlê Phương</t>
  </si>
  <si>
    <t>https://www.facebook.com/nle.phuong.3</t>
  </si>
  <si>
    <t>Hà Nấm</t>
  </si>
  <si>
    <t>https://www.facebook.com/ntth.aoisakura</t>
  </si>
  <si>
    <t>Trà Đào</t>
  </si>
  <si>
    <t>https://www.facebook.com/tra.dao.12/</t>
  </si>
  <si>
    <t>Mai Thu Hiền</t>
  </si>
  <si>
    <t>https://www.facebook.com/Hienbabier3101</t>
  </si>
  <si>
    <t>Dương Thị Quỳnh Nga</t>
  </si>
  <si>
    <t>https://www.facebook.com/nga.quyh</t>
  </si>
  <si>
    <t>Lee ThanhThanh</t>
  </si>
  <si>
    <t>Về kho</t>
  </si>
  <si>
    <t>https://www.facebook.com/le.tthanh.714111</t>
  </si>
  <si>
    <t>https://www.facebook.com/profile.php?id=100008402494492</t>
  </si>
  <si>
    <t>Lê Hương</t>
  </si>
  <si>
    <t>https://www.facebook.com/profile.php?id=100034559618050</t>
  </si>
  <si>
    <t>https://www.facebook.com/kieuscons.cochu.5</t>
  </si>
  <si>
    <t>https://www.facebook.com/angelina.d.tran</t>
  </si>
  <si>
    <t>https://www.facebook.com/profile.php?id=100015801011695</t>
  </si>
  <si>
    <t xml:space="preserve">Đàm Kim Thoa </t>
  </si>
  <si>
    <t>https://www.facebook.com/profile.php?id=100089737698852</t>
  </si>
  <si>
    <t>https://www.facebook.com/thuanh.duong.925</t>
  </si>
  <si>
    <t>Do Thi Hoang Yen</t>
  </si>
  <si>
    <t>https://www.facebook.com/yen.do.921677</t>
  </si>
  <si>
    <t>ĐẶNG.T TRÂM</t>
  </si>
  <si>
    <t>https://www.facebook.com/profile.php?id=61581534937440</t>
  </si>
  <si>
    <t>Mỡ Mở</t>
  </si>
  <si>
    <t>https://www.facebook.com/huynh.quy.98096</t>
  </si>
  <si>
    <t>Bùi Thị Thanh Hà</t>
  </si>
  <si>
    <t>https://www.facebook.com/profile.php?id=100006539089039</t>
  </si>
  <si>
    <t>https://www.facebook.com/chin.cao.56211</t>
  </si>
  <si>
    <t>https://www.facebook.com/Huongnhat.tokyo</t>
  </si>
  <si>
    <t>https://www.facebook.com/share/14bEMgYCFgs/</t>
  </si>
  <si>
    <t xml:space="preserve">Bích Ngọc </t>
  </si>
  <si>
    <t>https://www.facebook.com/share/1BVnWN3eAE/</t>
  </si>
  <si>
    <t>https://www.facebook.com/profile.php?id=100034218013749</t>
  </si>
  <si>
    <t>Thiên Ngân</t>
  </si>
  <si>
    <t>https://www.facebook.com/share/184BmUWtfL/</t>
  </si>
  <si>
    <t>https://www.facebook.com/m.dggiuu001</t>
  </si>
  <si>
    <t>Phung Huynh</t>
  </si>
  <si>
    <t>https://www.facebook.com/phung.huynh.3762</t>
  </si>
  <si>
    <t>Hoàng Hạnh</t>
  </si>
  <si>
    <t>https://www.facebook.com/share/1HWfxHb49P/</t>
  </si>
  <si>
    <t>https://www.facebook.com/profile.php?id=100038727009326</t>
  </si>
  <si>
    <t>https://www.facebook.com/profile.php?id=100014490075446</t>
  </si>
  <si>
    <t>https://www.facebook.com/share/18aTUDDXXb/</t>
  </si>
  <si>
    <t>Đỗ Nguyên</t>
  </si>
  <si>
    <t>https://www.facebook.com/profile.php?id=100037242972472</t>
  </si>
  <si>
    <t>Nguyệt Yến</t>
  </si>
  <si>
    <t>https://www.facebook.com/yen.nguyet.5477</t>
  </si>
  <si>
    <t xml:space="preserve">Bún Hà </t>
  </si>
  <si>
    <t>https://www.facebook.com/share/1KcCQcNJgZ/</t>
  </si>
  <si>
    <t>https://www.facebook.com/share/1DRHDwTSJn/</t>
  </si>
  <si>
    <t>https://www.facebook.com/share/1B1WD5Zbw7/</t>
  </si>
  <si>
    <t>Trà Táo Đỏ</t>
  </si>
  <si>
    <t>TRA1</t>
  </si>
  <si>
    <t>https://www.facebook.com/profile.php?id=100068447630155</t>
  </si>
  <si>
    <t>Linh Nhi Nguyen Ngoc</t>
  </si>
  <si>
    <t>https://www.facebook.com/profile.php?id=61576355874013</t>
  </si>
  <si>
    <t>https://www.facebook.com/con.g.doc.5</t>
  </si>
  <si>
    <t>Phương Như</t>
  </si>
  <si>
    <t>https://www.facebook.com/byun.baekhyun1810</t>
  </si>
  <si>
    <t>Nguyễn Thị Mỹ Hạnh</t>
  </si>
  <si>
    <t>https://www.facebook.com/mitxinh1903</t>
  </si>
  <si>
    <t>Hà My My</t>
  </si>
  <si>
    <t>https://www.facebook.com/profile.php?id=100008702644577</t>
  </si>
  <si>
    <t>Nguyễn Kỳ</t>
  </si>
  <si>
    <t>https://www.facebook.com/profile.php?id=61576772471952</t>
  </si>
  <si>
    <t>Hồng Ruby</t>
  </si>
  <si>
    <t>https://www.facebook.com/hongruby.nguyen.73</t>
  </si>
  <si>
    <t>Vũ Hoàng Yến</t>
  </si>
  <si>
    <t>https://www.facebook.com/profile.php?id=100010439075530</t>
  </si>
  <si>
    <t>Thảo Ly</t>
  </si>
  <si>
    <t>https://www.facebook.com/tran.suly.3</t>
  </si>
  <si>
    <t>https://www.facebook.com/nguyet.dang.526438</t>
  </si>
  <si>
    <t>Trần Thúy Vân</t>
  </si>
  <si>
    <t>https://www.facebook.com/profile.php?id=100080646824364</t>
  </si>
  <si>
    <t>Kyleery Nguyen</t>
  </si>
  <si>
    <t>https://www.facebook.com/Wattomin</t>
  </si>
  <si>
    <t>https://www.facebook.com/pham.mun.52643821</t>
  </si>
  <si>
    <t>https://www.facebook.com/pretty.huongx</t>
  </si>
  <si>
    <t>Nguyệt Em</t>
  </si>
  <si>
    <t>https://www.facebook.com/nguyet.duong.7315</t>
  </si>
  <si>
    <t>Nguyen Phuong Thao</t>
  </si>
  <si>
    <t>https://www.facebook.com/profile.php?id=100026145288640</t>
  </si>
  <si>
    <t>Võ Bích Hậu</t>
  </si>
  <si>
    <t>https://www.facebook.com/hau.bich.7777</t>
  </si>
  <si>
    <t>Hoàng Oanh</t>
  </si>
  <si>
    <t>https://www.facebook.com/hoangoanh.242</t>
  </si>
  <si>
    <t>https://www.facebook.com/lehoanganh8668</t>
  </si>
  <si>
    <t>https://www.facebook.com/meu.sica.9</t>
  </si>
  <si>
    <t xml:space="preserve">Thiện Đức </t>
  </si>
  <si>
    <t>https://www.facebook.com/thienplu</t>
  </si>
  <si>
    <t xml:space="preserve">Hà Đào </t>
  </si>
  <si>
    <t>https://www.facebook.com/share/1CX8bcv19k/</t>
  </si>
  <si>
    <t>Yoshiki Thuong</t>
  </si>
  <si>
    <t>https://www.facebook.com/share/1JMDHXcfmv/</t>
  </si>
  <si>
    <t>Phương Thảo</t>
  </si>
  <si>
    <t>https://www.facebook.com/share/1DszgjSVJ8/</t>
  </si>
  <si>
    <t>Duyên Eria</t>
  </si>
  <si>
    <t>https://www.facebook.com/share/1ShKp9oKHY/</t>
  </si>
  <si>
    <t>Nhii Nguyen</t>
  </si>
  <si>
    <t>https://www.facebook.com/share/1D4dn1jhgX/</t>
  </si>
  <si>
    <t>Hương Lê</t>
  </si>
  <si>
    <t>https://www.facebook.com/share/1AvZMZeHjr/</t>
  </si>
  <si>
    <t>Mến Nguyễn</t>
  </si>
  <si>
    <t>Áo trễ vai nơ</t>
  </si>
  <si>
    <t>https://www.facebook.com/share/18Jf5CFuvo/</t>
  </si>
  <si>
    <t>Ánh Nguyễn</t>
  </si>
  <si>
    <t>Lê Thị Thu Hương</t>
  </si>
  <si>
    <t>https://www.facebook.com/share/1CbKfVgkJ2/</t>
  </si>
  <si>
    <t>Thu Trần</t>
  </si>
  <si>
    <t>https://www.facebook.com/share/1YseKsm9nT/</t>
  </si>
  <si>
    <t>Trịnh Tình</t>
  </si>
  <si>
    <t>https://www.facebook.com/share/1DwQq1j1hu/</t>
  </si>
  <si>
    <t>Bra set số 4</t>
  </si>
  <si>
    <t>BRA4</t>
  </si>
  <si>
    <t>Set 10 quần lót</t>
  </si>
  <si>
    <t>CHIP1</t>
  </si>
  <si>
    <t>Lan Nguyễn</t>
  </si>
  <si>
    <t>https://www.facebook.com/share/185JWdwdkL/</t>
  </si>
  <si>
    <t>https://www.facebook.com/share/1ahkRZJ7z3/</t>
  </si>
  <si>
    <t>Giao Ninh</t>
  </si>
  <si>
    <t>https://www.facebook.com/share/1HB3rZHkm2/</t>
  </si>
  <si>
    <t xml:space="preserve">Kim Ngân </t>
  </si>
  <si>
    <t>Set bra số 10</t>
  </si>
  <si>
    <t>BRA10</t>
  </si>
  <si>
    <t>https://www.facebook.com/share/1CS9Hnj3PP/</t>
  </si>
  <si>
    <t>Hồng Hạnh</t>
  </si>
  <si>
    <t>https://www.facebook.com/share/1CkkzDy17z/</t>
  </si>
  <si>
    <t>Phương Ling</t>
  </si>
  <si>
    <t>https://www.facebook.com/share/18DoYNLTjW/</t>
  </si>
  <si>
    <t>花雪</t>
  </si>
  <si>
    <t>https://www.facebook.com/share/1BwESoMpKp/</t>
  </si>
  <si>
    <t>Trần Nhung</t>
  </si>
  <si>
    <t>https://www.facebook.com/share/1Cv4ctbn2W/</t>
  </si>
  <si>
    <t>Trangg Mia</t>
  </si>
  <si>
    <t>https://www.facebook.com/share/1buS1FWDvs/</t>
  </si>
  <si>
    <t>Nguyễn Hoài Anh</t>
  </si>
  <si>
    <t>https://www.facebook.com/share/1Cf46pVYWx/</t>
  </si>
  <si>
    <t>https://www.facebook.com/share/1CJaXPJ5aQ/</t>
  </si>
  <si>
    <t>Ngọc Thuyết</t>
  </si>
  <si>
    <t>https://www.facebook.com/share/1B1yYxL3UJ/</t>
  </si>
  <si>
    <t>Thuỳ Nguyễn</t>
  </si>
  <si>
    <t>https://www.facebook.com/share/1LgSRbAfuA/</t>
  </si>
  <si>
    <t>Ngà Trần</t>
  </si>
  <si>
    <t>https://www.facebook.com/share/1HCfw2Am5a/</t>
  </si>
  <si>
    <t>Tờ Huyên</t>
  </si>
  <si>
    <t>https://www.facebook.com/share/1DPpmwMjkB/</t>
  </si>
  <si>
    <t>Lệ Thuỷ</t>
  </si>
  <si>
    <t>https://www.facebook.com/share/1Pp6U9UoBq/</t>
  </si>
  <si>
    <t>Nguyen Kim Dung</t>
  </si>
  <si>
    <t>https://www.facebook.com/share/18JPXQyUr5/</t>
  </si>
  <si>
    <t>Nguyễn Thuỳ Dung</t>
  </si>
  <si>
    <t>https://www.facebook.com/share/1BEjswV4KA/</t>
  </si>
  <si>
    <t>Hu Thi Nguyen</t>
  </si>
  <si>
    <t>https://www.facebook.com/share/18Ti8JtHbH/</t>
  </si>
  <si>
    <t>Lê Vi</t>
  </si>
  <si>
    <t>https://www.facebook.com/share/18USNN5Ncs/</t>
  </si>
  <si>
    <t>Hoai Thu</t>
  </si>
  <si>
    <t>https://www.facebook.com/share/18VPhC7aPt/</t>
  </si>
  <si>
    <t>Phạm Thu Thuỳ</t>
  </si>
  <si>
    <t>https://www.facebook.com/share/1DrdMbuCed/</t>
  </si>
  <si>
    <t>Thái</t>
  </si>
  <si>
    <t>https://www.facebook.com/share/14XmBGjXk6y/</t>
  </si>
  <si>
    <t>Trần T. My</t>
  </si>
  <si>
    <t>https://www.facebook.com/share/1AxJ2BYNjp/</t>
  </si>
  <si>
    <t>Nguyễn Hậu</t>
  </si>
  <si>
    <t>https://www.facebook.com/share/1DRB6DLUQz/</t>
  </si>
  <si>
    <t>Khánh Linh</t>
  </si>
  <si>
    <t>https://www.facebook.com/share/1B3RgQiK6E/</t>
  </si>
  <si>
    <t>Hột Mít</t>
  </si>
  <si>
    <t>https://www.facebook.com/share/1GFVuaM7ZC/</t>
  </si>
  <si>
    <t>Sabaku Mến</t>
  </si>
  <si>
    <t>https://www.facebook.com/share/1TG9MuRy13/</t>
  </si>
  <si>
    <t>Nguyên Thuỷ</t>
  </si>
  <si>
    <t>https://www.facebook.com/share/1CdY1kfiAD/</t>
  </si>
  <si>
    <t>Minh Thuỳ</t>
  </si>
  <si>
    <t>https://www.facebook.com/share/16aK5P8NqS/</t>
  </si>
  <si>
    <t xml:space="preserve">Hồng Hạnh 1 </t>
  </si>
  <si>
    <t>https://www.facebook.com/share/1CwbamSYv9/</t>
  </si>
  <si>
    <t>https://www.facebook.com/share/1GnvgU6v4B/</t>
  </si>
  <si>
    <t>Pham Thảo</t>
  </si>
  <si>
    <t>https://www.facebook.com/share/18VM4WJPV7/</t>
  </si>
  <si>
    <t>Ánh Tuyết</t>
  </si>
  <si>
    <t>https://www.facebook.com/share/14bEdjTeGKH/</t>
  </si>
  <si>
    <t>Hoai Lee</t>
  </si>
  <si>
    <t>https://www.facebook.com/share/15eQaiaMF3L/</t>
  </si>
  <si>
    <t>Mai Minh Hương</t>
  </si>
  <si>
    <t>https://www.facebook.com/share/1FEG1B4Pco/</t>
  </si>
  <si>
    <t>https://www.facebook.com/share/1AsSUmzeNB/</t>
  </si>
  <si>
    <t>Nguyen Thao</t>
  </si>
  <si>
    <t>https://www.facebook.com/share/1CCurnNdQg/</t>
  </si>
  <si>
    <t>Nguyễnn Ngọcc Ánhh</t>
  </si>
  <si>
    <t>https://www.facebook.com/profile.php?id=100048924420984</t>
  </si>
  <si>
    <t>Ngọc Hân</t>
  </si>
  <si>
    <t>https://www.facebook.com/share/1EA3N6VZHh/</t>
  </si>
  <si>
    <t>Vic Nguyễn</t>
  </si>
  <si>
    <t>https://www.facebook.com/share/18bM8kagGk/</t>
  </si>
  <si>
    <t>Phan Minh</t>
  </si>
  <si>
    <t>https://www.facebook.com/share/1doDScYS3A/</t>
  </si>
  <si>
    <t>Cừu Nhanh Nhảu</t>
  </si>
  <si>
    <t>https://www.facebook.com/share/1P8fTTbpuq/</t>
  </si>
  <si>
    <t>Vân Ain</t>
  </si>
  <si>
    <t>https://www.facebook.com/share/1AYsczqjVa/</t>
  </si>
  <si>
    <t>Lê Thi Thanh Thi</t>
  </si>
  <si>
    <t>https://www.facebook.com/share/1B7vuz3xum/</t>
  </si>
  <si>
    <t>Nguyễnn Ánh Quyên</t>
  </si>
  <si>
    <t>https://www.facebook.com/share/171UWtqxn7/</t>
  </si>
  <si>
    <t>https://www.facebook.com/share/1HTs6AEBrx/</t>
  </si>
  <si>
    <t>Trang Nhung</t>
  </si>
  <si>
    <t>https://www.facebook.com/share/1DW16Kxh93/</t>
  </si>
  <si>
    <t>https://www.facebook.com/share/18D2cjUHjs/</t>
  </si>
  <si>
    <t>Sinh Nguyễn</t>
  </si>
  <si>
    <t>https://www.facebook.com/share/1CetKNeCtE/</t>
  </si>
  <si>
    <t>Nguyễn Linh</t>
  </si>
  <si>
    <t>https://www.facebook.com/share/18Qej2Zu6y/</t>
  </si>
  <si>
    <t>Nga Nguyen</t>
  </si>
  <si>
    <t>https://www.facebook.com/share/183YEj8tMP/</t>
  </si>
  <si>
    <t>https://www.facebook.com/share/1DpqAnaBRK/</t>
  </si>
  <si>
    <t>Mai Thanh</t>
  </si>
  <si>
    <t>https://www.facebook.com/share/1LjHnBkCNB/</t>
  </si>
  <si>
    <t>Thương Vũ</t>
  </si>
  <si>
    <t>https://www.facebook.com/share/1AzKp7fSji/</t>
  </si>
  <si>
    <t>Đoàn Kim Anh</t>
  </si>
  <si>
    <t>https://www.facebook.com/kim.a.kimanh</t>
  </si>
  <si>
    <t>Nguyễn Huyền Trang1</t>
  </si>
  <si>
    <t>https://www.facebook.com/share/17tXp8HeJV/</t>
  </si>
  <si>
    <t>https://www.facebook.com/share/1Au526jRD8/</t>
  </si>
  <si>
    <t>Phạm Thêu</t>
  </si>
  <si>
    <t>https://www.facebook.com/share/18aKzq4eyd/</t>
  </si>
  <si>
    <t>Tonooka Liên</t>
  </si>
  <si>
    <t>https://www.facebook.com/share/1GUNHfu6nU/</t>
  </si>
  <si>
    <t>Phạm Thị Dung</t>
  </si>
  <si>
    <t>https://www.facebook.com/share/18X8PbxWEf/</t>
  </si>
  <si>
    <t>Hương Lý</t>
  </si>
  <si>
    <t>https://www.facebook.com/share/1Az8wwEdS2/</t>
  </si>
  <si>
    <t>Nguyễn Lành</t>
  </si>
  <si>
    <t>https://www.facebook.com/share/1ZtFwn4jRS/</t>
  </si>
  <si>
    <t>Nguyễn Hoài</t>
  </si>
  <si>
    <t>https://www.facebook.com/share/17dtSW4aia/</t>
  </si>
  <si>
    <t>Hạnnh Trầnn</t>
  </si>
  <si>
    <t>https://www.facebook.com/share/1Eb33oCgGJ/</t>
  </si>
  <si>
    <t>Su Hào</t>
  </si>
  <si>
    <t>https://www.facebook.com/share/1CtJFt5RSx/</t>
  </si>
  <si>
    <t>Nguyễn Hải Yến</t>
  </si>
  <si>
    <t>https://www.facebook.com/share/1B56g9Mg67/</t>
  </si>
  <si>
    <t>https://www.facebook.com/share/181MeUHP52/</t>
  </si>
  <si>
    <t>Nguyễn Thị Thanh Lam</t>
  </si>
  <si>
    <t>https://www.facebook.com/share/1BEr2JRq8m/</t>
  </si>
  <si>
    <t>Đỗ Phương Dung</t>
  </si>
  <si>
    <t>https://www.facebook.com/share/1DkLZKVmvg/</t>
  </si>
  <si>
    <t>Trần Kiều Linh</t>
  </si>
  <si>
    <t>https://www.facebook.com/share/18MvsGjdCR/</t>
  </si>
  <si>
    <t>Trang</t>
  </si>
  <si>
    <t>https://www.facebook.com/share/16pcwQrFT2/</t>
  </si>
  <si>
    <t>Nguyễn Trà</t>
  </si>
  <si>
    <t>https://www.facebook.com/share/1DTcc9BqkR/</t>
  </si>
  <si>
    <t>Quỳnh Loan</t>
  </si>
  <si>
    <t>https://www.facebook.com/share/1DAvfzH1Dc/</t>
  </si>
  <si>
    <t>Thuý Hằng</t>
  </si>
  <si>
    <t>https://www.facebook.com/share/189KiPb34K/</t>
  </si>
  <si>
    <t>Nguyễn Nguyệt</t>
  </si>
  <si>
    <t>https://www.facebook.com/share/17CKfbh5AB/</t>
  </si>
  <si>
    <t>Quần đùi jean</t>
  </si>
  <si>
    <t>Lê Lan Hương</t>
  </si>
  <si>
    <t>Đinh Thị Cẩm Tú</t>
  </si>
  <si>
    <t>https://www.facebook.com/share/1Vr7N7RvQ8/</t>
  </si>
  <si>
    <t xml:space="preserve">Quần jean trơn </t>
  </si>
  <si>
    <t>https://www.facebook.com/share/1FRWL6oweC/</t>
  </si>
  <si>
    <t>Thu Thảo</t>
  </si>
  <si>
    <t>https://www.facebook.com/share/1FXqceeAP6/</t>
  </si>
  <si>
    <t>GẤU XANH</t>
  </si>
  <si>
    <t>GẤU HỒNG</t>
  </si>
  <si>
    <t>Nguyen Vi</t>
  </si>
  <si>
    <t>https://www.facebook.com/share/1CtCcxfpvc/</t>
  </si>
  <si>
    <t>Thư Minh Nguyễn</t>
  </si>
  <si>
    <t>https://www.facebook.com/share/1DbYqkGw2y/</t>
  </si>
  <si>
    <t>Quỳnh Tú</t>
  </si>
  <si>
    <t>https://www.facebook.com/share/1AsD5zMarV/</t>
  </si>
  <si>
    <t>Trần Tuyết</t>
  </si>
  <si>
    <t>https://www.facebook.com/share/1AtgcGoDTg/</t>
  </si>
  <si>
    <t>Nưa Đỗ</t>
  </si>
  <si>
    <t>https://www.facebook.com/share/18CFd9jzMG/</t>
  </si>
  <si>
    <t>https://www.facebook.com/share/1DLmWEpiNv/</t>
  </si>
  <si>
    <t>Thanh Tam Tran</t>
  </si>
  <si>
    <t>https://www.facebook.com/share/1JRjGvQXei/</t>
  </si>
  <si>
    <t>Đào Bayby</t>
  </si>
  <si>
    <t>https://www.facebook.com/share/18U8odTAyk/</t>
  </si>
  <si>
    <t>Nana Purple</t>
  </si>
  <si>
    <t>https://www.facebook.com/share/18eAWfpSXV/</t>
  </si>
  <si>
    <t>Hằngg Ngaa</t>
  </si>
  <si>
    <t>https://www.facebook.com/share/18V5atZ5Ho/</t>
  </si>
  <si>
    <t>Thun trơn có mút</t>
  </si>
  <si>
    <t>Aaaa</t>
  </si>
  <si>
    <t>Nguyễn Thị Thuỳ Trang</t>
  </si>
  <si>
    <t>SỌC HỒNG</t>
  </si>
  <si>
    <t>https://www.facebook.com/share/1DpGV8qe7Z/</t>
  </si>
  <si>
    <t>SỌC XANH</t>
  </si>
  <si>
    <t>Hà Thị Quỳnh</t>
  </si>
  <si>
    <t>TÊN KHÁCH</t>
  </si>
  <si>
    <t>M007</t>
  </si>
  <si>
    <t>HATHIQUYNH</t>
  </si>
  <si>
    <t>https://www.facebook.com/share/1DMeh29c5j/</t>
  </si>
  <si>
    <t>Lê Yuu</t>
  </si>
  <si>
    <t>LEYU</t>
  </si>
  <si>
    <t>https://www.facebook.com/share/1CDF9GJv3c/</t>
  </si>
  <si>
    <t>Ngọc A-nh</t>
  </si>
  <si>
    <t>CAM</t>
  </si>
  <si>
    <t>https://www.facebook.com/profile.php?id=61576325116102</t>
  </si>
  <si>
    <t>Yumi Nguyễn</t>
  </si>
  <si>
    <t>XANH NÕN</t>
  </si>
  <si>
    <t>https://www.facebook.com/thanhvan2802</t>
  </si>
  <si>
    <t>Huyền Vương</t>
  </si>
  <si>
    <t>https://www.facebook.com/profile.php?id=100008951794453</t>
  </si>
  <si>
    <t>Hảo Út</t>
  </si>
  <si>
    <t>https://www.facebook.com/ut.hao.777</t>
  </si>
  <si>
    <t>Kim Yên</t>
  </si>
  <si>
    <t>https://www.facebook.com/profile.php?id=100016762638666</t>
  </si>
  <si>
    <t>Trâm Lêê</t>
  </si>
  <si>
    <t>https://www.facebook.com/share/1WynSNUvYA/</t>
  </si>
  <si>
    <t>Phạm Thị Hà Vi</t>
  </si>
  <si>
    <t>https://www.facebook.com/havi.phamthi.33</t>
  </si>
  <si>
    <t>Thu Hường</t>
  </si>
  <si>
    <t>https://www.facebook.com/itsme01112000</t>
  </si>
  <si>
    <t>テイ ハン ブ</t>
  </si>
  <si>
    <t>https://www.facebook.com/hanhtho210619975555</t>
  </si>
  <si>
    <t>https://www.facebook.com/soan.nguyenthi.108</t>
  </si>
  <si>
    <t>https://www.facebook.com/hoang.anhh.7106</t>
  </si>
  <si>
    <t>https://www.facebook.com/profile.php?id=61550872307675</t>
  </si>
  <si>
    <t>https://www.facebook.com/thao.phan.5667901</t>
  </si>
  <si>
    <t>Phạm Ngọc Trang</t>
  </si>
  <si>
    <t>https://www.facebook.com/trang.phamngoc.739</t>
  </si>
  <si>
    <t>Minh Cuc Vu</t>
  </si>
  <si>
    <t>https://www.facebook.com/share/1BpTGjwCnp/</t>
  </si>
  <si>
    <t>https://www.facebook.com/share/1AGfbwQ8E9/</t>
  </si>
  <si>
    <t>Ngọc Bùi</t>
  </si>
  <si>
    <t>https://www.facebook.com/share/1BArdmgbcU/</t>
  </si>
  <si>
    <t>Huyen Him</t>
  </si>
  <si>
    <t>https://www.facebook.com/share/18WtG956fF/</t>
  </si>
  <si>
    <t>Bông Bi</t>
  </si>
  <si>
    <t>https://www.facebook.com/share/1BKFSZjPkP/</t>
  </si>
  <si>
    <t>HằnG Em</t>
  </si>
  <si>
    <t>https://www.facebook.com/share/14e2CsYrAZ6/</t>
  </si>
  <si>
    <t>Đào Thị Trà</t>
  </si>
  <si>
    <t>https://www.facebook.com/share/1HzVAd1hgJ/</t>
  </si>
  <si>
    <t>Nguyễn Thị Tuyết Minh</t>
  </si>
  <si>
    <t>Hoa Nana</t>
  </si>
  <si>
    <t>https://www.facebook.com/share/17w5iMLwDq/</t>
  </si>
  <si>
    <t>Bình</t>
  </si>
  <si>
    <t>https://www.facebook.com/share/1BGzEsbzgj/</t>
  </si>
  <si>
    <t>Thoa Nguyen</t>
  </si>
  <si>
    <t>https://www.facebook.com/share/1BxhrMGM3h/</t>
  </si>
  <si>
    <t>Phấn Phạm</t>
  </si>
  <si>
    <t>https://www.facebook.com/share/1HkP4iBJQd/</t>
  </si>
  <si>
    <t>Hường Miki</t>
  </si>
  <si>
    <t>https://www.facebook.com/share/1EoaHnD36n/</t>
  </si>
  <si>
    <t>NT Ngọc Mai</t>
  </si>
  <si>
    <t>https://www.facebook.com/share/1AxDrpTcLY/</t>
  </si>
  <si>
    <t>Nguyễn Thị Mai Vinh</t>
  </si>
  <si>
    <t>https://www.facebook.com/share/1FrfUX4efh/</t>
  </si>
  <si>
    <t>https://www.facebook.com/share/1BWvmwynPA/</t>
  </si>
  <si>
    <t>Quần jean khuy túi</t>
  </si>
  <si>
    <t>Linh Trang</t>
  </si>
  <si>
    <t>Áo chấm bi</t>
  </si>
  <si>
    <t>https://www.facebook.com/share/1ETaQre3B4/</t>
  </si>
  <si>
    <t>Phạm Hương Lan</t>
  </si>
  <si>
    <t>https://www.facebook.com/share/1EhPdwUWyA/</t>
  </si>
  <si>
    <t>Quynh Quynh</t>
  </si>
  <si>
    <t>https://www.facebook.com/share/1bcu5nEQEs/</t>
  </si>
  <si>
    <t>Đào Thị Tring</t>
  </si>
  <si>
    <t>https://www.facebook.com/share/1EKcyPLr4P/</t>
  </si>
  <si>
    <t>https://www.facebook.com/share/178jkpzZUv/</t>
  </si>
  <si>
    <t>Đàm Chinh</t>
  </si>
  <si>
    <t>https://www.facebook.com/share/1CYRqHhKAG/</t>
  </si>
  <si>
    <t>Nga Dương</t>
  </si>
  <si>
    <t>https://www.facebook.com/share/1GStDBv9J5/</t>
  </si>
  <si>
    <t>Anna Nguyen Ly</t>
  </si>
  <si>
    <t>https://www.facebook.com/share/177hsDhyGz/</t>
  </si>
  <si>
    <t>Lưu Thị Thanh Thuỷ</t>
  </si>
  <si>
    <t>https://www.facebook.com/share/17zeitFdWJ/</t>
  </si>
  <si>
    <t>Ngọc Mai</t>
  </si>
  <si>
    <t>https://www.facebook.com/share/1Dg8bQTsNd/</t>
  </si>
  <si>
    <t>Hậu Đậu</t>
  </si>
  <si>
    <t>https://www.facebook.com/share/196uaGbB3t/</t>
  </si>
  <si>
    <t>Nắng Hạ</t>
  </si>
  <si>
    <t>https://www.facebook.com/share/1LewJpEJsu/</t>
  </si>
  <si>
    <t>Thương</t>
  </si>
  <si>
    <t>https://www.facebook.com/share/1ZRCy5aiom/</t>
  </si>
  <si>
    <t>Dương Trà My</t>
  </si>
  <si>
    <t>https://www.facebook.com/share/18HNhpD7VF/</t>
  </si>
  <si>
    <t>Oanh Nguyễn</t>
  </si>
  <si>
    <t>https://www.facebook.com/share/18JeBxo91P/</t>
  </si>
  <si>
    <t>Phạm Mỹ Hạnh</t>
  </si>
  <si>
    <t>https://www.facebook.com/share/1XzBhUgAqP/</t>
  </si>
  <si>
    <t>Thu Trang Nguyễn Thị</t>
  </si>
  <si>
    <t>https://www.facebook.com/share/1E5iZTLH25/</t>
  </si>
  <si>
    <t>Nguyễn Hà</t>
  </si>
  <si>
    <t>https://www.facebook.com/share/1AeYmu7cH3/</t>
  </si>
  <si>
    <t>Nguyễn Thảo</t>
  </si>
  <si>
    <t>https://www.facebook.com/share/1C8YfDMZoV/</t>
  </si>
  <si>
    <t>https://www.facebook.com/share/19gu6tdbrM/</t>
  </si>
  <si>
    <t>https://www.facebook.com/share/1JKXxma68G/</t>
  </si>
  <si>
    <t>Thuý VT</t>
  </si>
  <si>
    <t>https://www.facebook.com/share/1FUUgJLNHA/</t>
  </si>
  <si>
    <t>https://www.facebook.com/share/1KAShWrtGq/</t>
  </si>
  <si>
    <t>https://www.facebook.com/share/1GoNjk9PrP/</t>
  </si>
  <si>
    <t>https://www.facebook.com/share/1AvKTP68qh/</t>
  </si>
  <si>
    <t>Trinh Dathao</t>
  </si>
  <si>
    <t>https://www.facebook.com/share/18oY2A6HaG/</t>
  </si>
  <si>
    <t>Thuong Hoai Nguyen</t>
  </si>
  <si>
    <t>https://www.facebook.com/share/1CT5tYj4o3/</t>
  </si>
  <si>
    <t>https://www.facebook.com/share/14ZoJNX9CCa/</t>
  </si>
  <si>
    <t>Nguyễn Diệu</t>
  </si>
  <si>
    <t>https://www.facebook.com/share/1BdYJyecSP/</t>
  </si>
  <si>
    <t>https://www.facebook.com/share/18MQ8PrGhR/</t>
  </si>
  <si>
    <t>Thuy Thuỷ1</t>
  </si>
  <si>
    <t>https://www.facebook.com/share/1BG5punj7H/</t>
  </si>
  <si>
    <t>https://www.facebook.com/share/18iDaDfyMT/</t>
  </si>
  <si>
    <t>https://www.facebook.com/share/1DhAHKynd9/</t>
  </si>
  <si>
    <t>https://www.facebook.com/share/1H6HJNkCEJ/</t>
  </si>
  <si>
    <t>https://www.facebook.com/share/1USjS6Nb6N/</t>
  </si>
  <si>
    <t>Hiền Hiền</t>
  </si>
  <si>
    <t>https://www.facebook.com/share/1GTDhFjN3n/</t>
  </si>
  <si>
    <t>Bùi Linh Chi</t>
  </si>
  <si>
    <t>https://www.facebook.com/share/1P1idcptA6/</t>
  </si>
  <si>
    <t>Do Ngoc Uyen</t>
  </si>
  <si>
    <t>DONGOCUYEN</t>
  </si>
  <si>
    <t>https://www.facebook.com/share/18FDsrZBN2/</t>
  </si>
  <si>
    <t>Trang Bae</t>
  </si>
  <si>
    <t>Giày bệt đính hoa</t>
  </si>
  <si>
    <t>GIAY1</t>
  </si>
  <si>
    <t>https://www.facebook.com/share/1H6ipSQtWq/</t>
  </si>
  <si>
    <t>Đặng Thu Phương</t>
  </si>
  <si>
    <t>https://www.facebook.com/share/1E7d2rmxvb/</t>
  </si>
  <si>
    <t>Thái Thị Hằng</t>
  </si>
  <si>
    <t>https://www.facebook.com/share/14aWivcGAgj/</t>
  </si>
  <si>
    <t>https://www.facebook.com/share/17bUrxiNrT/</t>
  </si>
  <si>
    <t>https://www.facebook.com/share/1JLuXk68ZT/</t>
  </si>
  <si>
    <t>Hong Tram Ho</t>
  </si>
  <si>
    <t>https://www.facebook.com/share/1JJxSXEHfh/</t>
  </si>
  <si>
    <t>Phùng Linh Chi</t>
  </si>
  <si>
    <t>https://www.facebook.com/share/1CFsAsqsHk/</t>
  </si>
  <si>
    <t>Trần Thắm</t>
  </si>
  <si>
    <t>https://www.facebook.com/share/1G79BmYRS9/</t>
  </si>
  <si>
    <t>https://www.facebook.com/share/18HEUEWdGm/</t>
  </si>
  <si>
    <t>Hương Aki</t>
  </si>
  <si>
    <t>HUONGAKI</t>
  </si>
  <si>
    <t>https://www.facebook.com/share/1EFUCJviTF/</t>
  </si>
  <si>
    <t>Ng Thị Hảo</t>
  </si>
  <si>
    <t>Áo chống nắng Catkaiser</t>
  </si>
  <si>
    <t>M008</t>
  </si>
  <si>
    <t>XANH LÁ</t>
  </si>
  <si>
    <t>Dép xỏ ngón</t>
  </si>
  <si>
    <t>GIAY2</t>
  </si>
  <si>
    <t>Hạ Long</t>
  </si>
  <si>
    <t>https://www.facebook.com/share/14YqPxXyxT2/</t>
  </si>
  <si>
    <t>HALONG</t>
  </si>
  <si>
    <t>https://www.facebook.com/share/1ApS2gcSc7/</t>
  </si>
  <si>
    <t>Trần Tú Nga</t>
  </si>
  <si>
    <t>https://www.facebook.com/share/1JbnKjuq2H/</t>
  </si>
  <si>
    <t>Thanh Thuỷ</t>
  </si>
  <si>
    <t>https://www.facebook.com/share/1JACjH39ro/</t>
  </si>
  <si>
    <t>THANHTHUY</t>
  </si>
  <si>
    <t>Nguyễn Thị Ngọc Mai</t>
  </si>
  <si>
    <t>https://www.facebook.com/share/1CMFgekJma/</t>
  </si>
  <si>
    <t>Tô Thuỳ Linh</t>
  </si>
  <si>
    <t>https://www.facebook.com/share/1GnkuzoUDy/</t>
  </si>
  <si>
    <t>Hoàng Ái Nhung</t>
  </si>
  <si>
    <t>https://www.facebook.com/share/1Sbjq2GBhf/</t>
  </si>
  <si>
    <t>Trần Toại Mỹ</t>
  </si>
  <si>
    <t>https://www.facebook.com/share/18h61E9686/</t>
  </si>
  <si>
    <t>Hoàng Thu Hiền</t>
  </si>
  <si>
    <t>Phông giấy dài tay</t>
  </si>
  <si>
    <t>https://www.facebook.com/share/1CqgCxaWNi/</t>
  </si>
  <si>
    <t>Hoàng Thu Hằng</t>
  </si>
  <si>
    <t>https://www.facebook.com/share/1AzYbCvnum/</t>
  </si>
  <si>
    <t>Bảo Châm</t>
  </si>
  <si>
    <t>https://www.facebook.com/share/18Fc4dCD39/</t>
  </si>
  <si>
    <t>Minh Tâm</t>
  </si>
  <si>
    <t>https://www.facebook.com/share/1CXzX14Tdh/</t>
  </si>
  <si>
    <t>Dương Thuỷ</t>
  </si>
  <si>
    <t>https://www.facebook.com/share/18g9mGMfFS/</t>
  </si>
  <si>
    <t>https://www.facebook.com/share/1AzCic9VJR/</t>
  </si>
  <si>
    <t>Bùi Hằng</t>
  </si>
  <si>
    <t>https://www.facebook.com/share/1CMsdD8rwu/</t>
  </si>
  <si>
    <t>Hường Linh</t>
  </si>
  <si>
    <t>https://www.facebook.com/share/17xYXxAfog/</t>
  </si>
  <si>
    <t>Gà Đenn</t>
  </si>
  <si>
    <t>Lê Thị Tuyết Minh</t>
  </si>
  <si>
    <t>https://www.facebook.com/share/18TByQthF8/</t>
  </si>
  <si>
    <t>HUYENTRANG</t>
  </si>
  <si>
    <t>https://www.facebook.com/share/1B2JXmqUQA/</t>
  </si>
  <si>
    <t>https://www.facebook.com/share/1EZ24v5RFB/</t>
  </si>
  <si>
    <t>HUYNHVY</t>
  </si>
  <si>
    <t>https://www.facebook.com/share/1DL95979Aj/</t>
  </si>
  <si>
    <t>Quần loe đen Catkaiser</t>
  </si>
  <si>
    <t>CK98118</t>
  </si>
  <si>
    <t>VO Thị Kim Oanh</t>
  </si>
  <si>
    <t>Áo ba lỗ có móc treo</t>
  </si>
  <si>
    <t>https://www.facebook.com/share/1CiQ9HbrVj/</t>
  </si>
  <si>
    <t>Áo Thun Trơn basic</t>
  </si>
  <si>
    <t>https://www.facebook.com/share/1GgTDUuqNj/</t>
  </si>
  <si>
    <t>Ngoc Bich</t>
  </si>
  <si>
    <t>https://www.facebook.com/share/18aRuQa4jv/</t>
  </si>
  <si>
    <t>Tu Cam</t>
  </si>
  <si>
    <t>https://www.facebook.com/share/1NFHZ7tsTn/</t>
  </si>
  <si>
    <t>Phan Thị Ngọc Mai</t>
  </si>
  <si>
    <t>https://www.facebook.com/share/1Ph4GfdcAk/</t>
  </si>
  <si>
    <t>Hong Lili</t>
  </si>
  <si>
    <t>https://www.facebook.com/share/18eA236Y4d/</t>
  </si>
  <si>
    <t>https://www.facebook.com/share/1H56ngrqG1/</t>
  </si>
  <si>
    <t>Trang Tran</t>
  </si>
  <si>
    <t>https://www.facebook.com/share/1H2NzHymcs/</t>
  </si>
  <si>
    <t>https://www.facebook.com/profile.php?id=100048831948107</t>
  </si>
  <si>
    <t>https://www.facebook.com/htrazf</t>
  </si>
  <si>
    <t>Sinh Nguyen</t>
  </si>
  <si>
    <t>https://www.facebook.com/sinh.nguyen.9275439</t>
  </si>
  <si>
    <t xml:space="preserve">Thu Hiền </t>
  </si>
  <si>
    <t>https://www.facebook.com/profile.php?id=100028331620651</t>
  </si>
  <si>
    <t>https://www.facebook.com/profile.php?id=100014304249016</t>
  </si>
  <si>
    <t>Hoang Linh</t>
  </si>
  <si>
    <t>https://www.facebook.com/linh.ciu2108</t>
  </si>
  <si>
    <t>Nguyen Thi Soan</t>
  </si>
  <si>
    <t>Nhung Hip</t>
  </si>
  <si>
    <t>https://www.facebook.com/profile.php?id=100022079980060</t>
  </si>
  <si>
    <t>Ngoc A-nh</t>
  </si>
  <si>
    <t>XL</t>
  </si>
  <si>
    <t>Hoai Y</t>
  </si>
  <si>
    <t>https://www.facebook.com/hoaiyy</t>
  </si>
  <si>
    <t>https://www.facebook.com/profile.php?id=100009428697194</t>
  </si>
  <si>
    <t>Thao Tina</t>
  </si>
  <si>
    <t>https://www.facebook.com/share/1Eb1phm4Ep/</t>
  </si>
  <si>
    <t>Phạm Thị Huyền</t>
  </si>
  <si>
    <t>https://www.facebook.com/share/14WRcLocMrN/</t>
  </si>
  <si>
    <t>Lê Phương Lan</t>
  </si>
  <si>
    <t>https://www.facebook.com/share/1EWQDkUFoM/</t>
  </si>
  <si>
    <t>Lê Hà Thu</t>
  </si>
  <si>
    <t>https://www.facebook.com/share/1LgM8NMG5L/</t>
  </si>
  <si>
    <t>Huệ</t>
  </si>
  <si>
    <t>https://www.facebook.com/share/1ChF38Fd3k/</t>
  </si>
  <si>
    <t>Linh Tây</t>
  </si>
  <si>
    <t>https://www.facebook.com/share/1BJpkei63W/</t>
  </si>
  <si>
    <t>https://www.facebook.com/share/1KyACZrGtL/</t>
  </si>
  <si>
    <t>Áo Charm Paris</t>
  </si>
  <si>
    <t>Tiên Thuỷ</t>
  </si>
  <si>
    <t>https://www.facebook.com/share/18iy3XAFo4/</t>
  </si>
  <si>
    <t>Nhỏ Em</t>
  </si>
  <si>
    <t>https://www.facebook.com/share/1AzCd8yYoC/</t>
  </si>
  <si>
    <t>Jean EN&amp;ER 98cm</t>
  </si>
  <si>
    <t>https://www.facebook.com/share/1AzEcJu6wD/</t>
  </si>
  <si>
    <t>Linh Em</t>
  </si>
  <si>
    <t>Áo sơ mi trắng ren</t>
  </si>
  <si>
    <t>https://www.facebook.com/share/1AxfZL7VAe/</t>
  </si>
  <si>
    <t>Quỳnh Ng</t>
  </si>
  <si>
    <t>https://www.facebook.com/share/14ZV1UcL9Fd/</t>
  </si>
  <si>
    <t>https://www.facebook.com/share/18bYkQ9tZw/</t>
  </si>
  <si>
    <t>Ck98118</t>
  </si>
  <si>
    <t>Vũ Thuỳ Linh</t>
  </si>
  <si>
    <t>https://www.facebook.com/share/1JkxuLgYQR/</t>
  </si>
  <si>
    <t>Hậu Mạo</t>
  </si>
  <si>
    <t>https://www.facebook.com/share/14aQ2nJk4Ts/</t>
  </si>
  <si>
    <t>Ng My</t>
  </si>
  <si>
    <t>https://www.facebook.com/share/1ArXqxRFPC/</t>
  </si>
  <si>
    <t>https://www.facebook.com/share/18ECb1p3Ci/</t>
  </si>
  <si>
    <t>ck98118</t>
  </si>
  <si>
    <t>THu Hiền</t>
  </si>
  <si>
    <t>Huỳnh Vũ Minh Tâm</t>
  </si>
  <si>
    <t>https://www.facebook.com/share/1Cn3vgBB3i/</t>
  </si>
  <si>
    <t>https://www.facebook.com/share/18boox3vxp/</t>
  </si>
  <si>
    <t>Ngoc Billy</t>
  </si>
  <si>
    <t>https://www.facebook.com/share/18UEXm5Z6U/</t>
  </si>
  <si>
    <t>https://www.facebook.com/share/1HvazyYYAy/</t>
  </si>
  <si>
    <t>He Nhung</t>
  </si>
  <si>
    <t>https://www.facebook.com/share/1EBLjFiYt9/</t>
  </si>
  <si>
    <t>2XL</t>
  </si>
  <si>
    <t>https://www.facebook.com/share/1Cavxcv1jx/</t>
  </si>
  <si>
    <t>Phương Tuyền</t>
  </si>
  <si>
    <t>https://www.facebook.com/share/178iWoKeou/</t>
  </si>
  <si>
    <t>https://www.facebook.com/share/1E6fKwy5ke/</t>
  </si>
  <si>
    <t>Huyền Đỗ</t>
  </si>
  <si>
    <t>https://www.facebook.com/share/1Awncrqr6P/</t>
  </si>
  <si>
    <t>https://www.facebook.com/share/1bgeuinth8/</t>
  </si>
  <si>
    <t>Mỹ Ngânn</t>
  </si>
  <si>
    <t>https://www.facebook.com/share/18QcNz3q2r/</t>
  </si>
  <si>
    <t>https://www.facebook.com/share/1BKFVaQPaB/</t>
  </si>
  <si>
    <t>https://www.facebook.com/share/1KFaHMXL62/</t>
  </si>
  <si>
    <t>https://www.facebook.com/share/1HvxF22VbZ/</t>
  </si>
  <si>
    <t>Đoàn Thị Lan</t>
  </si>
  <si>
    <t>https://www.facebook.com/share/18bnPLVN4Y/</t>
  </si>
  <si>
    <t>Hoàng Thanh Nhàn</t>
  </si>
  <si>
    <t>https://www.facebook.com/share/1CVF8WPmaj/</t>
  </si>
  <si>
    <t>Khanh Hoang</t>
  </si>
  <si>
    <t>Quần jean wgwe</t>
  </si>
  <si>
    <t>https://www.facebook.com/share/1AH3vwWW6a/</t>
  </si>
  <si>
    <t>https://www.facebook.com/share/1ApHfEfEJX/</t>
  </si>
  <si>
    <t>Wgwe trễ vai</t>
  </si>
  <si>
    <t>https://www.facebook.com/share/18MAuQgaJ5/</t>
  </si>
  <si>
    <t>https://www.facebook.com/share/1E8uDmku72/</t>
  </si>
  <si>
    <t>https://www.facebook.com/share/1e6PnmCpnn/</t>
  </si>
  <si>
    <t>https://www.facebook.com/share/18W5HzCkgh/</t>
  </si>
  <si>
    <t>Lâm Trang</t>
  </si>
  <si>
    <t>https://www.facebook.com/share/1Cd59PWxLb/</t>
  </si>
  <si>
    <t>Tiểu Di</t>
  </si>
  <si>
    <t>https://www.facebook.com/share/1c3DPxsS2c/</t>
  </si>
  <si>
    <t>https://www.facebook.com/share/1CgYnnpdKD/</t>
  </si>
  <si>
    <t>Mai Hana</t>
  </si>
  <si>
    <t>https://www.facebook.com/share/1QfVSEJJ5A/</t>
  </si>
  <si>
    <t>https://www.facebook.com/share/1CqxBBY32C/</t>
  </si>
  <si>
    <t>Trần Bảo Ngọc Trang</t>
  </si>
  <si>
    <t>https://www.facebook.com/share/1TCXQdGyHu/</t>
  </si>
  <si>
    <t>https://www.facebook.com/share/18dqaSseJ5/</t>
  </si>
  <si>
    <t>Huệ Subii</t>
  </si>
  <si>
    <t>https://www.facebook.com/share/1E76CZurg4/</t>
  </si>
  <si>
    <t>Dao Thi Quyen</t>
  </si>
  <si>
    <t>https://www.facebook.com/share/17UgU7RxD9/</t>
  </si>
  <si>
    <t>https://www.facebook.com/share/1CS1TUhrxP/</t>
  </si>
  <si>
    <t>Vũ Thuỳ Ngân</t>
  </si>
  <si>
    <t>https://www.facebook.com/share/18Y9rTt9GH/</t>
  </si>
  <si>
    <t>Wgwe Phông cổ ren</t>
  </si>
  <si>
    <t>Wgwe quần jean Lửng</t>
  </si>
  <si>
    <t>Bắp Thuỳ Dương</t>
  </si>
  <si>
    <t>https://www.facebook.com/share/1Azf7z2o4Q/</t>
  </si>
  <si>
    <t>Nguyen Giang</t>
  </si>
  <si>
    <t>https://www.facebook.com/share/14hSsZwoGRZ/</t>
  </si>
  <si>
    <t>Nguyễn Ánh Quyên</t>
  </si>
  <si>
    <t>https://www.facebook.com/share/18iJXPw5aA/</t>
  </si>
  <si>
    <t>https://www.facebook.com/share/1CPgqT37o2/</t>
  </si>
  <si>
    <t>Nguyễn Lê Xuân Quỳnh</t>
  </si>
  <si>
    <t>https://www.facebook.com/share/18SJ7Bkjv9/</t>
  </si>
  <si>
    <t>https://www.facebook.com/share/1CtiWUicWd/</t>
  </si>
  <si>
    <t>Trần Thanh Thuý</t>
  </si>
  <si>
    <t>https://www.facebook.com/share/18St9Jg6Ba/</t>
  </si>
  <si>
    <t>Nguyễn Linh1</t>
  </si>
  <si>
    <t>https://www.facebook.com/share/18FWgMb474/</t>
  </si>
  <si>
    <t>Nhỏ Hin</t>
  </si>
  <si>
    <t>https://www.facebook.com/share/1Dg2MXdph5/</t>
  </si>
  <si>
    <t>https://www.facebook.com/share/14bDUZJAxHW/</t>
  </si>
  <si>
    <t>Mi Lo</t>
  </si>
  <si>
    <t>https://www.facebook.com/share/1CcoAxAgb7/</t>
  </si>
  <si>
    <t>Kiểu Nè</t>
  </si>
  <si>
    <t>https://www.facebook.com/share/18EvXDaPAh/</t>
  </si>
  <si>
    <t>Trương Ánh Tuyết</t>
  </si>
  <si>
    <t>https://www.facebook.com/share/1ESyjMp7im/</t>
  </si>
  <si>
    <t>Kiều Huyền</t>
  </si>
  <si>
    <t>https://www.facebook.com/share/1EAjiabKJ8/</t>
  </si>
  <si>
    <t>Kẹo Bông</t>
  </si>
  <si>
    <t>Trà My</t>
  </si>
  <si>
    <t>https://www.facebook.com/share/1EVjzgMu69/</t>
  </si>
  <si>
    <t>Bùi Thị Hải Anh</t>
  </si>
  <si>
    <t>https://www.facebook.com/share/1CUb857TAX/</t>
  </si>
  <si>
    <t>Nguyễn Thị Hằng</t>
  </si>
  <si>
    <t>https://www.facebook.com/share/1DbhYfYegH/</t>
  </si>
  <si>
    <t>NGUYENTHIHANG</t>
  </si>
  <si>
    <t>Thu Hà</t>
  </si>
  <si>
    <t>https://www.facebook.com/share/1H2TWBu2DW/</t>
  </si>
  <si>
    <t>Ny Ny</t>
  </si>
  <si>
    <t>https://www.facebook.com/share/1PzpXCteua/</t>
  </si>
  <si>
    <t>NGOCANH</t>
  </si>
  <si>
    <t>Phan Phu</t>
  </si>
  <si>
    <t>https://www.facebook.com/share/1EKfhjKMzC/</t>
  </si>
  <si>
    <t>Nguyễn Thị Quỳnh</t>
  </si>
  <si>
    <t>https://www.facebook.com/share/1KmJALpNyd/</t>
  </si>
  <si>
    <t>Nguyễn Liên</t>
  </si>
  <si>
    <t>https://www.facebook.com/share/18GdUtKFfT/</t>
  </si>
  <si>
    <t>https://www.facebook.com/share/1EV9UBkGiX/</t>
  </si>
  <si>
    <t>https://www.facebook.com/share/1L63GHmkAe/</t>
  </si>
  <si>
    <t>Nguyễn Lan</t>
  </si>
  <si>
    <t>https://www.facebook.com/share/18E5sfRSYn/</t>
  </si>
  <si>
    <t>Diệu Linh</t>
  </si>
  <si>
    <t>https://www.facebook.com/share/1AyCXkFFCR/</t>
  </si>
  <si>
    <t>Yen Lee</t>
  </si>
  <si>
    <t>https://www.facebook.com/share/1KW554xqyD/</t>
  </si>
  <si>
    <t>Đường Bảo Linh</t>
  </si>
  <si>
    <t>https://www.facebook.com/share/1Hu44bcf7Z/</t>
  </si>
  <si>
    <t>https://www.facebook.com/share/1CYbSuXyVk/</t>
  </si>
  <si>
    <t>Sophie Tran</t>
  </si>
  <si>
    <t>https://www.facebook.com/share/1DzVMAy8pB/</t>
  </si>
  <si>
    <t>Lý Quờ</t>
  </si>
  <si>
    <t>https://www.facebook.com/share/1GHqyeepJr/</t>
  </si>
  <si>
    <t>Vũ Minh Quỳnh</t>
  </si>
  <si>
    <t>https://www.facebook.com/share/1Aen4qAdYq/</t>
  </si>
  <si>
    <t>Phuong Thao Hoang</t>
  </si>
  <si>
    <t>https://www.facebook.com/share/1GchuMhJBX/</t>
  </si>
  <si>
    <t>Nhu Anh</t>
  </si>
  <si>
    <t>https://www.facebook.com/share/18PYEoBPCW/</t>
  </si>
  <si>
    <t>https://www.facebook.com/share/1HCpZBzm3j/</t>
  </si>
  <si>
    <t>Lê T.Thanh Thuỷ</t>
  </si>
  <si>
    <t>https://www.facebook.com/share/18KdXCfDUc/</t>
  </si>
  <si>
    <t>Giang Vũ</t>
  </si>
  <si>
    <t>GIANGVU</t>
  </si>
  <si>
    <t>https://www.facebook.com/share/18D7LfCLMb/</t>
  </si>
  <si>
    <t>DAOTHITRA</t>
  </si>
  <si>
    <t>MAITHANHGIANG</t>
  </si>
  <si>
    <t>Thảo Vy</t>
  </si>
  <si>
    <t>THAOVY</t>
  </si>
  <si>
    <t>https://www.facebook.com/share/1AkdELBB38/</t>
  </si>
  <si>
    <t>Dương Như Mai Linh</t>
  </si>
  <si>
    <t>DUONGNHUMAILINH</t>
  </si>
  <si>
    <t>https://www.facebook.com/share/1DquQtvUuz/</t>
  </si>
  <si>
    <t>Thương Bùi</t>
  </si>
  <si>
    <t>THUONGBUI</t>
  </si>
  <si>
    <t>https://www.facebook.com/share/1Ddu6gKtDs/</t>
  </si>
  <si>
    <t>SOPH TRAN</t>
  </si>
  <si>
    <t>NGUYENTHAO</t>
  </si>
  <si>
    <t>Hà Nguyễn</t>
  </si>
  <si>
    <t>HANGUYEN</t>
  </si>
  <si>
    <t>https://www.facebook.com/share/1bMbRV2JwS/</t>
  </si>
  <si>
    <t>Phương Quyên</t>
  </si>
  <si>
    <t>PHUONGQUYEN</t>
  </si>
  <si>
    <t>https://www.facebook.com/share/1KPCtLNzm4/</t>
  </si>
  <si>
    <t>PHUONGNHU</t>
  </si>
  <si>
    <t>https://www.facebook.com/share/1UMzvfNuzJ/</t>
  </si>
  <si>
    <t>Moon Lee</t>
  </si>
  <si>
    <t>MOONLEE</t>
  </si>
  <si>
    <t>https://www.facebook.com/share/1HikNfPCh3/</t>
  </si>
  <si>
    <t>Thái Ngọc</t>
  </si>
  <si>
    <t>https://www.facebook.com/share/1Kv3dG38HJ/</t>
  </si>
  <si>
    <t>https://www.facebook.com/share/18SSsD3Qeq/</t>
  </si>
  <si>
    <t>Giang Giang</t>
  </si>
  <si>
    <t>https://www.facebook.com/share/1HtjuPa7Zu/</t>
  </si>
  <si>
    <t>Chờ hàng</t>
  </si>
  <si>
    <t>Quần đùi nam Jeep</t>
  </si>
  <si>
    <t>M009</t>
  </si>
  <si>
    <t>3XL</t>
  </si>
  <si>
    <t>Nguyễn Thu Hồng</t>
  </si>
  <si>
    <t>https://www.facebook.com/share/17AguGKEwa/</t>
  </si>
  <si>
    <t>https://www.facebook.com/share/1U6UvgrcRU/</t>
  </si>
  <si>
    <t>https://www.facebook.com/share/1CDSe3L3U9/</t>
  </si>
  <si>
    <t>Nhung Kul’s</t>
  </si>
  <si>
    <t>https://www.facebook.com/share/15sqGZz5R5r/</t>
  </si>
  <si>
    <t>https://www.facebook.com/share/14a5gmp8tcp/</t>
  </si>
  <si>
    <t>Hà Vũ</t>
  </si>
  <si>
    <t>Áo ren wgwe</t>
  </si>
  <si>
    <t>https://www.facebook.com/share/17FneLXveE/</t>
  </si>
  <si>
    <t>https://www.facebook.com/share/1FNk1o5org/</t>
  </si>
  <si>
    <t>https://www.facebook.com/share/1EHXz48UTB/</t>
  </si>
  <si>
    <t>Bra cup ngực mẫu 1</t>
  </si>
  <si>
    <t>BRA1</t>
  </si>
  <si>
    <t>bra hở lưng mẫu 2</t>
  </si>
  <si>
    <t>BRA2</t>
  </si>
  <si>
    <t>Bra độn</t>
  </si>
  <si>
    <t>BRA3</t>
  </si>
  <si>
    <t>Duyên Lê</t>
  </si>
  <si>
    <t>https://www.facebook.com/share/1BJiN48dGQ/</t>
  </si>
  <si>
    <t>Quần trơn wgwe</t>
  </si>
  <si>
    <t>SEN</t>
  </si>
  <si>
    <t>Phan Hằng</t>
  </si>
  <si>
    <t>Hiền Trần</t>
  </si>
  <si>
    <t>https://www.facebook.com/share/1B77Uji1Rv/</t>
  </si>
  <si>
    <t>Áo chống nắng hers</t>
  </si>
  <si>
    <t>Huệ Cát</t>
  </si>
  <si>
    <t>https://www.facebook.com/share/1CXpLK2cxy/</t>
  </si>
  <si>
    <t>Trần Thị Ngọc Thạch</t>
  </si>
  <si>
    <t>https://www.facebook.com/share/1MhTuRFEYp/</t>
  </si>
  <si>
    <t>Như Quỳnh</t>
  </si>
  <si>
    <t>https://www.facebook.com/share/1CKL9EsMR8/</t>
  </si>
  <si>
    <t>Liên Nguyễn</t>
  </si>
  <si>
    <t>https://www.facebook.com/share/1FEi6tA76d/</t>
  </si>
  <si>
    <t>https://www.facebook.com/share/1AvgCpRN73/</t>
  </si>
  <si>
    <t>Trần Thuý Vân</t>
  </si>
  <si>
    <t>https://www.facebook.com/share/1HhJ1Gk2Qq/</t>
  </si>
  <si>
    <t>Thanhh Hà</t>
  </si>
  <si>
    <t>https://www.facebook.com/share/18oLBxPTFA/</t>
  </si>
  <si>
    <t>https://www.facebook.com/share/19cDxRh8W9/</t>
  </si>
  <si>
    <t>GẤU VÀNG</t>
  </si>
  <si>
    <t>https://www.facebook.com/share/18h9z8fh1E/</t>
  </si>
  <si>
    <t>Thắmm Thắmm</t>
  </si>
  <si>
    <t>https://www.facebook.com/share/1E5L6upzSm/</t>
  </si>
  <si>
    <t xml:space="preserve">Cáo </t>
  </si>
  <si>
    <t>Set quần chip nơ 10c</t>
  </si>
  <si>
    <t>M010</t>
  </si>
  <si>
    <t>https://www.facebook.com/share/1Dt23VSuiV/</t>
  </si>
  <si>
    <t>Kim Anh</t>
  </si>
  <si>
    <t>https://www.facebook.com/share/1B6tmmLF4a/</t>
  </si>
  <si>
    <t>https://www.facebook.com/share/1UWuJf3ES5/</t>
  </si>
  <si>
    <t>https://www.facebook.com/share/1N9dL3dSn3/</t>
  </si>
  <si>
    <t>https://www.facebook.com/share/18jYhGt2gN/</t>
  </si>
  <si>
    <t>Anh Phạm</t>
  </si>
  <si>
    <t>https://www.facebook.com/share/1B7dCmr9XS/</t>
  </si>
  <si>
    <t>Kiều T. Mai Xuân</t>
  </si>
  <si>
    <t>https://www.facebook.com/share/18TRjqgsfP/</t>
  </si>
  <si>
    <t>Thuỷ Vinh</t>
  </si>
  <si>
    <t>https://www.facebook.com/share/1E6y4N2dcJ/</t>
  </si>
  <si>
    <t>Vũ Thị Ngọc Châu</t>
  </si>
  <si>
    <t>https://www.facebook.com/share/18RiB9TAV4/</t>
  </si>
  <si>
    <t>https://www.facebook.com/share/1UQrAejni5/</t>
  </si>
  <si>
    <t>https://www.facebook.com/share/1ECFJFWvRA/</t>
  </si>
  <si>
    <t>Cáo</t>
  </si>
  <si>
    <t>Trang Vu</t>
  </si>
  <si>
    <t>https://www.facebook.com/share/1FuEWUr1wr/</t>
  </si>
  <si>
    <t>Trần Nhật Lệ</t>
  </si>
  <si>
    <t>Set 2 quần chip gen</t>
  </si>
  <si>
    <t>QUAN1</t>
  </si>
  <si>
    <t>A</t>
  </si>
  <si>
    <t>https://www.facebook.com/share/1BTqqfKWFP/</t>
  </si>
  <si>
    <t>C</t>
  </si>
  <si>
    <t>Min’s Nguyệt</t>
  </si>
  <si>
    <t>B</t>
  </si>
  <si>
    <t>https://www.facebook.com/share/1DTQ2dVfo1/</t>
  </si>
  <si>
    <t>https://www.facebook.com/share/1AmjHmcL7U/</t>
  </si>
  <si>
    <t>Bích Vũ</t>
  </si>
  <si>
    <t>https://www.facebook.com/share/1Bn9V1jnik/</t>
  </si>
  <si>
    <t>https://www.facebook.com/share/1GQAG1AMx3/</t>
  </si>
  <si>
    <t>https://www.facebook.com/share/1GBjohn9bz/</t>
  </si>
  <si>
    <t>https://www.facebook.com/share/18pe3Jfxii/</t>
  </si>
  <si>
    <t>Trang Kiều</t>
  </si>
  <si>
    <t>https://www.facebook.com/share/18iSSrbNnJ/</t>
  </si>
  <si>
    <t>https://www.facebook.com/share/1Gg3vgbWjX/</t>
  </si>
  <si>
    <t>Tồ Mýt</t>
  </si>
  <si>
    <t>Bùi Quỳnh</t>
  </si>
  <si>
    <t>https://www.facebook.com/share/18K2Pad6yy/</t>
  </si>
  <si>
    <t>Thi Thi</t>
  </si>
  <si>
    <t>https://www.facebook.com/share/18JPVoaP72/</t>
  </si>
  <si>
    <t>https://www.facebook.com/share/18ZwtqcTCZ/</t>
  </si>
  <si>
    <t>Minh Thư</t>
  </si>
  <si>
    <t>https://www.facebook.com/share/18HZkbQHqA/</t>
  </si>
  <si>
    <t>Hoàng Quyên</t>
  </si>
  <si>
    <t>https://www.facebook.com/share/1CgSbHEeHM/</t>
  </si>
  <si>
    <t>Thương Phạm</t>
  </si>
  <si>
    <t>https://www.facebook.com/share/1CeJCnXV9e/</t>
  </si>
  <si>
    <t>Nguyễn Thu Hà</t>
  </si>
  <si>
    <t>https://www.facebook.com/share/1CjAnwVYoi/</t>
  </si>
  <si>
    <t>Tham Vu</t>
  </si>
  <si>
    <t>https://www.facebook.com/share/1BMUWS2THL/</t>
  </si>
  <si>
    <t>Nguyễn Mỹ Nhung</t>
  </si>
  <si>
    <t>https://www.facebook.com/share/1DdyQRNQru/</t>
  </si>
  <si>
    <t>Nguyễn Phương Linh</t>
  </si>
  <si>
    <t>https://www.facebook.com/share/185DjMFJn3/</t>
  </si>
  <si>
    <t>Hiền Anh</t>
  </si>
  <si>
    <t>https://www.facebook.com/share/15jTpvp9ZSK/</t>
  </si>
  <si>
    <t>Dép Jeep</t>
  </si>
  <si>
    <t>P230MTX362</t>
  </si>
  <si>
    <t>https://www.facebook.com/share/18gmFHuC1y/</t>
  </si>
  <si>
    <t>Lê Diễm</t>
  </si>
  <si>
    <t>https://www.facebook.com/share/1Drw1b5q9W/</t>
  </si>
  <si>
    <t>Thuý Hằng1</t>
  </si>
  <si>
    <t>https://www.facebook.com/share/14dXRHmFczS/</t>
  </si>
  <si>
    <t>https://www.facebook.com/share/1B4DnGFvGp/</t>
  </si>
  <si>
    <t>Thuỷ Ngọc’s</t>
  </si>
  <si>
    <t>https://www.facebook.com/share/14h7S9gBuLr/</t>
  </si>
  <si>
    <t>Lê Thị Thu Thảo</t>
  </si>
  <si>
    <t>https://www.facebook.com/share/1E92ckXU9G/</t>
  </si>
  <si>
    <t>Hiềnn Lee</t>
  </si>
  <si>
    <t>https://www.facebook.com/share/17T43UfoEu/</t>
  </si>
  <si>
    <t>Ninh Hồng Thắm</t>
  </si>
  <si>
    <t>https://www.facebook.com/share/1Gq4jdSJh3/</t>
  </si>
  <si>
    <t>AnhThu Phann</t>
  </si>
  <si>
    <t>https://www.facebook.com/share/1Capd2jYfk/</t>
  </si>
  <si>
    <t>Áo voan chấm bi</t>
  </si>
  <si>
    <t>Thị Phuong Thanh</t>
  </si>
  <si>
    <t>https://www.facebook.com/share/1BZbjVJxfB/</t>
  </si>
  <si>
    <t>GIÀY JEEP HỒNG TÍM</t>
  </si>
  <si>
    <t>P661W12375</t>
  </si>
  <si>
    <t>https://www.facebook.com/share/18LcG72mQT/</t>
  </si>
  <si>
    <t>Set son 3ce</t>
  </si>
  <si>
    <t>M011</t>
  </si>
  <si>
    <t>BREAKME</t>
  </si>
  <si>
    <t>VINTAGE BOUQUET</t>
  </si>
  <si>
    <t>NEW MOTION</t>
  </si>
  <si>
    <t>https://www.facebook.com/share/1LANzUPr2B/</t>
  </si>
  <si>
    <t>Chuột Chảnh</t>
  </si>
  <si>
    <t>https://www.facebook.com/share/1KxWF7khx3/</t>
  </si>
  <si>
    <t xml:space="preserve">Giày jeep bestseller </t>
  </si>
  <si>
    <t xml:space="preserve"> P651W13112C</t>
  </si>
  <si>
    <t>Trinh Trinh</t>
  </si>
  <si>
    <t>https://www.facebook.com/share/18awZ6aTns/</t>
  </si>
  <si>
    <t>Nguyễn Duyên</t>
  </si>
  <si>
    <t>NGUYENDUYEN</t>
  </si>
  <si>
    <t>https://www.facebook.com/share/16w38LHfLv/</t>
  </si>
  <si>
    <t>Lê Thị Kim Oanh</t>
  </si>
  <si>
    <t>https://www.facebook.com/share/18eWwC9xkj/</t>
  </si>
  <si>
    <t>https://www.facebook.com/share/1CCeWQfBru/</t>
  </si>
  <si>
    <t>Huong Ly</t>
  </si>
  <si>
    <t>HUONGLY</t>
  </si>
  <si>
    <t>https://www.facebook.com/share/1DfhQrib9d/</t>
  </si>
  <si>
    <t>Thu Nguyen</t>
  </si>
  <si>
    <t>https://www.facebook.com/share/14XMtwmxsBV/</t>
  </si>
  <si>
    <t>Bích Phượng</t>
  </si>
  <si>
    <t>https://www.facebook.com/share/18NDLeTSvX/</t>
  </si>
  <si>
    <t>Huế Trình</t>
  </si>
  <si>
    <t>HUETRINH</t>
  </si>
  <si>
    <t>https://www.facebook.com/share/1GwKZpNoVR/</t>
  </si>
  <si>
    <t>Dương Ngọc Thảo</t>
  </si>
  <si>
    <t>DUONGNGOCTHAO</t>
  </si>
  <si>
    <t>THUYTRANGG</t>
  </si>
  <si>
    <t>https://www.facebook.com/share/14c8aR4sijM/</t>
  </si>
  <si>
    <t>Thảo Yoon</t>
  </si>
  <si>
    <t>https://www.facebook.com/share/1CyzyqiTbn/</t>
  </si>
  <si>
    <t>https://www.facebook.com/share/1D5FNq918g/</t>
  </si>
  <si>
    <t>Phạm Thị Xuân Năm</t>
  </si>
  <si>
    <t>https://www.facebook.com/share/1CYmUGmuFH/</t>
  </si>
  <si>
    <t>https://www.facebook.com/share/1Gwx8ScyXz/</t>
  </si>
  <si>
    <t>https://www.facebook.com/share/1BvfJmyJtn/</t>
  </si>
  <si>
    <t>https://www.facebook.com/share/1QP3QmRxaW/</t>
  </si>
  <si>
    <t>Sim Nguyen</t>
  </si>
  <si>
    <t>https://www.facebook.com/share/1AW1uVathJ/</t>
  </si>
  <si>
    <t>https://www.facebook.com/share/184X4KQEbB/</t>
  </si>
  <si>
    <t>Phạm Huyền</t>
  </si>
  <si>
    <t>https://www.facebook.com/share/1NAwgZYuvn/</t>
  </si>
  <si>
    <t>Hường Anh</t>
  </si>
  <si>
    <t>https://www.facebook.com/share/17z6zJfqdD/</t>
  </si>
  <si>
    <t>Thu Phương</t>
  </si>
  <si>
    <t>https://www.facebook.com/share/1AznU6QD5p/</t>
  </si>
  <si>
    <t>Thanh Chúc</t>
  </si>
  <si>
    <t>https://www.facebook.com/share/1ELqauK16r/</t>
  </si>
  <si>
    <t>Gia Linh JP</t>
  </si>
  <si>
    <t>GIALINH</t>
  </si>
  <si>
    <t>Hiếu Cọt</t>
  </si>
  <si>
    <t xml:space="preserve">P230MTX362-T800	</t>
  </si>
  <si>
    <t>https://www.facebook.com/share/1CYPqdn9G2/</t>
  </si>
  <si>
    <t>Đỗ Thị Thu Hà</t>
  </si>
  <si>
    <t>Giày jeep nơ</t>
  </si>
  <si>
    <t>P661W13363</t>
  </si>
  <si>
    <t>Giày jeep quai chéo</t>
  </si>
  <si>
    <t>P661W13310</t>
  </si>
  <si>
    <t>P230MTX362-T800</t>
  </si>
  <si>
    <t>Ngân</t>
  </si>
  <si>
    <t>jeep  sandal</t>
  </si>
  <si>
    <t>PE232WAS632</t>
  </si>
  <si>
    <t>Tuyết’s</t>
  </si>
  <si>
    <t>https://www.facebook.com/share/18fqhXrJpv/</t>
  </si>
  <si>
    <t>Hồ Thị Vân</t>
  </si>
  <si>
    <t>https://www.facebook.com/share/1EFLRZfZqb/</t>
  </si>
  <si>
    <t>Suni Bobo</t>
  </si>
  <si>
    <t>https://www.facebook.com/share/1H5w6KE9BD/</t>
  </si>
  <si>
    <t>Nhung Mô Mô</t>
  </si>
  <si>
    <t>https://www.facebook.com/share/1b9zkLeDux/</t>
  </si>
  <si>
    <t>Didom</t>
  </si>
  <si>
    <t>https://www.facebook.com/share/1BrhEiMvDx/</t>
  </si>
  <si>
    <t>HuyenQuyen Nguyen</t>
  </si>
  <si>
    <t>https://www.facebook.com/share/18pYcbzmfh/</t>
  </si>
  <si>
    <t>Mi Ly</t>
  </si>
  <si>
    <t>https://www.facebook.com/share/1DhLcfuuR9/</t>
  </si>
  <si>
    <t>https://www.facebook.com/share/1LPtZWFZN3/</t>
  </si>
  <si>
    <t>Thuy Dung</t>
  </si>
  <si>
    <t>https://www.facebook.com/share/181dQ48q7H/</t>
  </si>
  <si>
    <t>Hanhtrinh Moi</t>
  </si>
  <si>
    <t>https://www.facebook.com/share/1811JmUqUj/</t>
  </si>
  <si>
    <t>Ngọcc Linhh</t>
  </si>
  <si>
    <t>https://www.facebook.com/share/1DmEKbSZvg/</t>
  </si>
  <si>
    <t>Thanh Nhàn</t>
  </si>
  <si>
    <t>https://www.facebook.com/share/1BCRc5CWXa/</t>
  </si>
  <si>
    <t>Hien Tieu</t>
  </si>
  <si>
    <t>https://www.facebook.com/share/18W8WSpXQW/</t>
  </si>
  <si>
    <t>https://www.facebook.com/share/1DwBGRF3Dd/</t>
  </si>
  <si>
    <t>Anna Uyen Le</t>
  </si>
  <si>
    <t>https://www.facebook.com/share/1DuELkRTKA/</t>
  </si>
  <si>
    <t>Thanh Do</t>
  </si>
  <si>
    <t>https://www.facebook.com/share/1G93jrUszK/</t>
  </si>
  <si>
    <t>Kim Huệ</t>
  </si>
  <si>
    <t>https://www.facebook.com/share/1BQVsupuUM/</t>
  </si>
  <si>
    <t>https://www.facebook.com/share/14ZJhNiPLas/</t>
  </si>
  <si>
    <t>Le Ngoc Han</t>
  </si>
  <si>
    <t>https://www.facebook.com/share/1Df1Evg4Gs/</t>
  </si>
  <si>
    <t>Phan Thắm</t>
  </si>
  <si>
    <t>https://www.facebook.com/share/1XqHr3Lfx8/</t>
  </si>
  <si>
    <t>Minh Thuý Nguyễn</t>
  </si>
  <si>
    <t>https://www.facebook.com/share/18UizWVWXd/</t>
  </si>
  <si>
    <t>Lannie Vũ</t>
  </si>
  <si>
    <t>https://www.facebook.com/share/1CAPi6MbiQ/</t>
  </si>
  <si>
    <t>Hảo Nguyễ Thị</t>
  </si>
  <si>
    <t>https://www.facebook.com/share/18PZ2CB7YN/</t>
  </si>
  <si>
    <t>Hằng Min’s</t>
  </si>
  <si>
    <t>https://www.facebook.com/share/18jprhKrdd/</t>
  </si>
  <si>
    <t>Hồng Nhung</t>
  </si>
  <si>
    <t>https://www.facebook.com/share/1CJgbsWqqD/</t>
  </si>
  <si>
    <t>Giày JEEP ĐẾ RẮNG</t>
  </si>
  <si>
    <t>P651W13129</t>
  </si>
  <si>
    <t>Trang Thu</t>
  </si>
  <si>
    <t>https://www.facebook.com/share/1CGWyuX6qY/</t>
  </si>
  <si>
    <t>https://www.facebook.com/share/18zthNA9Xn/</t>
  </si>
  <si>
    <t>Hạ Hạ</t>
  </si>
  <si>
    <t>P651W13112C</t>
  </si>
  <si>
    <t>Lê Thị Hương Giang</t>
  </si>
  <si>
    <t>https://www.facebook.com/share/1CW5hzwjJq/</t>
  </si>
  <si>
    <t>Jeep da lộn quai to</t>
  </si>
  <si>
    <t>PX231WAS575</t>
  </si>
  <si>
    <t>https://www.facebook.com/share/1B3QQAqPCG/</t>
  </si>
  <si>
    <t>https://www.facebook.com/share/18xQ6EMuHr/</t>
  </si>
  <si>
    <t>Thanh Khiết</t>
  </si>
  <si>
    <t>https://www.facebook.com/share/1719RAU1sG/</t>
  </si>
  <si>
    <t>https://www.facebook.com/share/1BZnsNFFkN/</t>
  </si>
  <si>
    <t>Lan Anh Hoàng</t>
  </si>
  <si>
    <t>https://www.facebook.com/share/1BSTbxWFeY/</t>
  </si>
  <si>
    <t>Thảo Nhi</t>
  </si>
  <si>
    <t>https://www.facebook.com/share/18rbxAAeg4/</t>
  </si>
  <si>
    <t>Mai Nguyễn</t>
  </si>
  <si>
    <t>https://www.facebook.com/share/1EYCdu296a/</t>
  </si>
  <si>
    <t>https://www.facebook.com/share/18aCpT6BMF/</t>
  </si>
  <si>
    <t>Nguyễn Thị Phương</t>
  </si>
  <si>
    <t>https://www.facebook.com/share/1QWVytVgTL/</t>
  </si>
  <si>
    <t>Lê Tuyết Như</t>
  </si>
  <si>
    <t>https://www.facebook.com/share/1B9GDpb5sV/</t>
  </si>
  <si>
    <t>Phương Huyền</t>
  </si>
  <si>
    <t>https://www.facebook.com/share/1T8RbirZ9o/</t>
  </si>
  <si>
    <t>https://www.facebook.com/share/1CjwwHbuuk/</t>
  </si>
  <si>
    <t>Hoàng Trang</t>
  </si>
  <si>
    <t>https://www.facebook.com/share/17cbbwByUH/</t>
  </si>
  <si>
    <t>https://www.facebook.com/share/1CYCJgfgF8/</t>
  </si>
  <si>
    <t>https://www.facebook.com/share/1CCfdSQA5t/</t>
  </si>
  <si>
    <t>Lê Quỳnh Như</t>
  </si>
  <si>
    <t>https://www.facebook.com/share/1HAwqiv381/</t>
  </si>
  <si>
    <t>https://www.facebook.com/share/15kK2bTepJt/</t>
  </si>
  <si>
    <t>Tran Dang</t>
  </si>
  <si>
    <t>https://www.facebook.com/share/17PVHmEAc7/</t>
  </si>
  <si>
    <t>https://www.facebook.com/share/1FfjafmV87/</t>
  </si>
  <si>
    <t>https://www.facebook.com/share/17ChGzXbJ7/</t>
  </si>
  <si>
    <t>Túi vải 2 mặt</t>
  </si>
  <si>
    <t>M012</t>
  </si>
  <si>
    <t>https://www.facebook.com/share/18R5s1ZjTc/</t>
  </si>
  <si>
    <t>PhanThi Huyen</t>
  </si>
  <si>
    <t>https://www.facebook.com/share/1GGizjY78Q/</t>
  </si>
  <si>
    <t>Đặng Ngọc Lan</t>
  </si>
  <si>
    <t>https://www.facebook.com/share/1KQPtPKpH2/</t>
  </si>
  <si>
    <t>Trần Huệ</t>
  </si>
  <si>
    <t>https://www.facebook.com/share/1GpsRnttMR/</t>
  </si>
  <si>
    <t>Tiên Tiênn</t>
  </si>
  <si>
    <t>https://www.facebook.com/share/17FJbRmxet/</t>
  </si>
  <si>
    <t>https://www.facebook.com/share/1DQd6rMmWm/</t>
  </si>
  <si>
    <t>Thuỳ Linh Ốc Nhồi</t>
  </si>
  <si>
    <t>https://www.facebook.com/share/18iCGCpJZN/</t>
  </si>
  <si>
    <t>Daiichi Hà</t>
  </si>
  <si>
    <t>https://www.facebook.com/share/1Ft7HP4c4y/</t>
  </si>
  <si>
    <t>https://www.facebook.com/share/1EtuB4oGhP/</t>
  </si>
  <si>
    <t>Bún Hà</t>
  </si>
  <si>
    <t>Sữa tắm nước hoa</t>
  </si>
  <si>
    <t>M013</t>
  </si>
  <si>
    <t>https://www.facebook.com/share/1HSkscxCFT/</t>
  </si>
  <si>
    <t>https://www.facebook.com/share/14Vs68psLXN/</t>
  </si>
  <si>
    <t>https://www.facebook.com/share/1BHE2uCUTh/</t>
  </si>
  <si>
    <t>Ngoc Anh</t>
  </si>
  <si>
    <t>https://www.facebook.com/share/18Uf8afaAC/</t>
  </si>
  <si>
    <t>Ngọc Tẹt</t>
  </si>
  <si>
    <t>https://www.facebook.com/share/18fFyEXm8q/</t>
  </si>
  <si>
    <t>Thị Loan</t>
  </si>
  <si>
    <t>https://www.facebook.com/share/1DyDBbU31H/</t>
  </si>
  <si>
    <t>Lin Lin</t>
  </si>
  <si>
    <t>https://www.facebook.com/share/18nMKTMsNo/</t>
  </si>
  <si>
    <t>https://www.facebook.com/share/1GBSMovzpx/</t>
  </si>
  <si>
    <t>Tống Hiền</t>
  </si>
  <si>
    <t>https://www.facebook.com/share/1BwNYHX37X/</t>
  </si>
  <si>
    <t>https://www.facebook.com/share/1E9pUwEw9y/</t>
  </si>
  <si>
    <t>https://www.facebook.com/share/1BKnyGxqCz/</t>
  </si>
  <si>
    <t>Lan Anhh</t>
  </si>
  <si>
    <t>https://www.facebook.com/share/1CvhDjGwZ5/</t>
  </si>
  <si>
    <t>https://www.facebook.com/share/18CPjPVwxk/</t>
  </si>
  <si>
    <t>Hoàng Trang1</t>
  </si>
  <si>
    <t>https://www.facebook.com/share/1GXcYfHdTj/</t>
  </si>
  <si>
    <t>Yến Chíp</t>
  </si>
  <si>
    <t>https://www.facebook.com/share/18dEyq4PuM/</t>
  </si>
  <si>
    <t>Phương Vũ</t>
  </si>
  <si>
    <t>https://www.facebook.com/share/1DdsHbyN3t/</t>
  </si>
  <si>
    <t>An An</t>
  </si>
  <si>
    <t>https://www.facebook.com/share/1B9NLcWY2N/</t>
  </si>
  <si>
    <t>Quần wgwe xanh nhạt</t>
  </si>
  <si>
    <t>https://www.facebook.com/share/1DdgjTmMX5/</t>
  </si>
  <si>
    <t>Hoàng Thu</t>
  </si>
  <si>
    <t>https://www.facebook.com/share/18Yaaa94zG/</t>
  </si>
  <si>
    <t>Kim Duyên</t>
  </si>
  <si>
    <t>Kim Dunn</t>
  </si>
  <si>
    <t>Bộ máy làm tóc</t>
  </si>
  <si>
    <t>M014</t>
  </si>
  <si>
    <t>https://www.facebook.com/share/1C1NJSBvSV/</t>
  </si>
  <si>
    <t>Trần Thuỷ Tiên</t>
  </si>
  <si>
    <t>https://www.facebook.com/share/1FREMhWyFm/</t>
  </si>
  <si>
    <t>Thuỷ Rose</t>
  </si>
  <si>
    <t>https://www.facebook.com/share/17NafRvLwq/</t>
  </si>
  <si>
    <t>Giò Dăm Bông</t>
  </si>
  <si>
    <t>https://www.facebook.com/share/18DoqGvdUy/</t>
  </si>
  <si>
    <t>https://www.facebook.com/share/1FMAAeUXbu/</t>
  </si>
  <si>
    <t>Nguyễn Ngọc</t>
  </si>
  <si>
    <t>https://www.facebook.com/share/1E4Yiwgmrj/</t>
  </si>
  <si>
    <t>Hằng Nguyễn</t>
  </si>
  <si>
    <t>https://www.facebook.com/share/1JWpQYNj72/</t>
  </si>
  <si>
    <t>NANAPURPLE</t>
  </si>
  <si>
    <t>Hà Linh</t>
  </si>
  <si>
    <t>HALINH</t>
  </si>
  <si>
    <t>TRAMANH</t>
  </si>
  <si>
    <t>My Yu</t>
  </si>
  <si>
    <t>MY YU</t>
  </si>
  <si>
    <t>THUONGVU</t>
  </si>
  <si>
    <t>LINHEM</t>
  </si>
  <si>
    <t>Van Anh</t>
  </si>
  <si>
    <t>YT8856865344530</t>
  </si>
  <si>
    <t>Hồ Trọng Lưu</t>
  </si>
  <si>
    <t>https://www.facebook.com/share/1LCR189eVp/</t>
  </si>
  <si>
    <t>Hà V. Điệp</t>
  </si>
  <si>
    <t>https://www.facebook.com/share/1AnEs3c6Se/</t>
  </si>
  <si>
    <t>Nguyễn Nga</t>
  </si>
  <si>
    <t>https://www.facebook.com/share/1JR5zif6xW/</t>
  </si>
  <si>
    <t>Bé Tí Teo</t>
  </si>
  <si>
    <t>https://www.facebook.com/share/1GpmjwDRuR/</t>
  </si>
  <si>
    <t>Thảo Thảo</t>
  </si>
  <si>
    <t>https://www.facebook.com/share/1JNYSCmt6B/</t>
  </si>
  <si>
    <t>Như Thảo</t>
  </si>
  <si>
    <t>https://www.facebook.com/share/18T4CoLvPW/</t>
  </si>
  <si>
    <t>https://www.facebook.com/share/17SXdBthCr/</t>
  </si>
  <si>
    <t>Hậu Nguyễnn</t>
  </si>
  <si>
    <t>https://www.facebook.com/share/1MccvEjsUz/</t>
  </si>
  <si>
    <t>Thanh Thuý</t>
  </si>
  <si>
    <t>https://www.facebook.com/share/1GwJTNAxjp/</t>
  </si>
  <si>
    <t>Hoa Nắng</t>
  </si>
  <si>
    <t>https://www.facebook.com/share/1S2ipy3dc1/</t>
  </si>
  <si>
    <t>https://www.facebook.com/share/17PTi5LPB2/</t>
  </si>
  <si>
    <t>https://www.facebook.com/share/1Zq3PX8dht/</t>
  </si>
  <si>
    <t>https://www.facebook.com/share/1DgUoHeuhz/</t>
  </si>
  <si>
    <t>Nguyễn Thị Thanh Hương</t>
  </si>
  <si>
    <t>https://www.facebook.com/share/18Jsb7zdnD/</t>
  </si>
  <si>
    <t>Han Lee</t>
  </si>
  <si>
    <t>https://www.facebook.com/share/17dSm2rAPF/</t>
  </si>
  <si>
    <t>Nguyễn Thị Hà Trang</t>
  </si>
  <si>
    <t>https://www.facebook.com/share/1CUAy2ydr7/</t>
  </si>
  <si>
    <t>Mỹ Linh</t>
  </si>
  <si>
    <t>https://www.facebook.com/share/18jyGhRp4D/</t>
  </si>
  <si>
    <t>https://www.facebook.com/share/1DrdJzDBkA/</t>
  </si>
  <si>
    <t>Anh Kieu Bảo</t>
  </si>
  <si>
    <t>https://www.facebook.com/share/1FWHwd2KmK/</t>
  </si>
  <si>
    <t>Thu Hồng</t>
  </si>
  <si>
    <t>https://www.facebook.com/share/1CKTEc6hH9/</t>
  </si>
  <si>
    <t>Mili Ket</t>
  </si>
  <si>
    <t>https://www.facebook.com/share/1EuPpPB9xC/</t>
  </si>
  <si>
    <t>Thu Vui</t>
  </si>
  <si>
    <t>https://www.facebook.com/share/18cyiBJW2A/</t>
  </si>
  <si>
    <t>https://www.facebook.com/share/1GQEGpRwD5/</t>
  </si>
  <si>
    <t>Mei Mei</t>
  </si>
  <si>
    <t>https://www.facebook.com/share/18aztJehbz/</t>
  </si>
  <si>
    <t>Đặng Kiều</t>
  </si>
  <si>
    <t>https://www.facebook.com/share/1BAf2c7jHg/</t>
  </si>
  <si>
    <t>KIMDUYEN</t>
  </si>
  <si>
    <t>https://www.facebook.com/share/1D1RgEtsS5/</t>
  </si>
  <si>
    <t>Nguyễn Bích Phương</t>
  </si>
  <si>
    <t>Quan1</t>
  </si>
  <si>
    <t>https://www.facebook.com/share/1De5svUcKX/</t>
  </si>
  <si>
    <t>Hương Nguyễn</t>
  </si>
  <si>
    <t>https://www.facebook.com/share/1MaTey1btg/</t>
  </si>
  <si>
    <t>https://www.facebook.com/share/1HnmKqMEg4/</t>
  </si>
  <si>
    <t>Phuongloan Pham</t>
  </si>
  <si>
    <t>https://www.facebook.com/share/18piuwFyKm/</t>
  </si>
  <si>
    <t>Dép xỏ độn 4p</t>
  </si>
  <si>
    <t>DEP1</t>
  </si>
  <si>
    <t>Trương Thị Lan</t>
  </si>
  <si>
    <t>https://www.facebook.com/share/18YGqCS6w5/</t>
  </si>
  <si>
    <t>Huyền Thu</t>
  </si>
  <si>
    <t>https://www.facebook.com/share/1A3MQ9GWRv/</t>
  </si>
  <si>
    <t>Hồng Nhung Nguyễn</t>
  </si>
  <si>
    <t>https://www.facebook.com/share/1ERyvCU4yC/</t>
  </si>
  <si>
    <t>Áo váy wgwe</t>
  </si>
  <si>
    <t>Bùi Thị Hoài Thu</t>
  </si>
  <si>
    <t>https://www.facebook.com/share/1B1a5hUFSi/</t>
  </si>
  <si>
    <t>Vây dây wgwe chấm bi</t>
  </si>
  <si>
    <t>https://www.facebook.com/share/14gLWUz2iYs/</t>
  </si>
  <si>
    <t>https://www.facebook.com/share/1861p2Xun3/</t>
  </si>
  <si>
    <t>Ly Ly</t>
  </si>
  <si>
    <t>https://www.facebook.com/share/1bQgXnrvbx/</t>
  </si>
  <si>
    <t>https://www.facebook.com/share/19rdj16KD7/</t>
  </si>
  <si>
    <t>Nguyễn Thuý Hiền</t>
  </si>
  <si>
    <t>Áo chống nắng Jeep</t>
  </si>
  <si>
    <t>M015</t>
  </si>
  <si>
    <t>https://www.facebook.com/share/1EB3BiuKed/</t>
  </si>
  <si>
    <t>Áo polo nam Jeep</t>
  </si>
  <si>
    <t>M016</t>
  </si>
  <si>
    <t>Do Hoang Yen</t>
  </si>
  <si>
    <t>https://www.facebook.com/share/18TzX38M5Y/</t>
  </si>
  <si>
    <t xml:space="preserve">Bộ ngủ cộc </t>
  </si>
  <si>
    <t>M017</t>
  </si>
  <si>
    <t>Huong Bui</t>
  </si>
  <si>
    <t>https://www.facebook.com/share/18KWm6vekQ/</t>
  </si>
  <si>
    <t>Hanhchan Võ</t>
  </si>
  <si>
    <t>https://www.facebook.com/share/1HBwfJ6MsK/</t>
  </si>
  <si>
    <t>Trang Thiệu</t>
  </si>
  <si>
    <t>https://www.facebook.com/share/18rWtm8okg/</t>
  </si>
  <si>
    <t>TRANGTHIEU</t>
  </si>
  <si>
    <t>https://www.facebook.com/share/14kwcFTsoCJ/</t>
  </si>
  <si>
    <t>Túi vải to</t>
  </si>
  <si>
    <t>TUI1</t>
  </si>
  <si>
    <t>https://www.facebook.com/share/1DhNbBFKDj/</t>
  </si>
  <si>
    <t>Trần T.Thu</t>
  </si>
  <si>
    <t>https://www.facebook.com/share/1AtSkuTojj/</t>
  </si>
  <si>
    <t>Nguyễn Thị Kiều Oanh</t>
  </si>
  <si>
    <t>https://www.facebook.com/share/18GZ2V4aQA/</t>
  </si>
  <si>
    <t>Nguyễn Bích Ngọc</t>
  </si>
  <si>
    <t>https://www.facebook.com/share/1CiUqRLbcY/</t>
  </si>
  <si>
    <t>CHƯA ĐẶT</t>
  </si>
  <si>
    <t>https://www.facebook.com/share/1Cizt1UGqy/</t>
  </si>
  <si>
    <t>Huyền Trang2</t>
  </si>
  <si>
    <t>https://www.facebook.com/share/18QqVSU64H/</t>
  </si>
  <si>
    <t>Phạm Tân TLinh</t>
  </si>
  <si>
    <t>https://www.facebook.com/share/1LeFxRDk7j/</t>
  </si>
  <si>
    <t>Hồ Hoài Tú</t>
  </si>
  <si>
    <t>https://www.facebook.com/share/1E5vwnhTCC/</t>
  </si>
  <si>
    <t>Set áo trắng CV sọc</t>
  </si>
  <si>
    <t>https://www.facebook.com/share/1B3pwGEkrE/</t>
  </si>
  <si>
    <t>https://www.facebook.com/share/1EQQ2UZYmD/</t>
  </si>
  <si>
    <t>Cêcilia Hiền</t>
  </si>
  <si>
    <t>https://www.facebook.com/share/1EWutUbTpL/</t>
  </si>
  <si>
    <t>https://www.facebook.com/share/1FjcHeSJmq/</t>
  </si>
  <si>
    <t>TRANG</t>
  </si>
  <si>
    <t>https://www.facebook.com/share/1C6tMexfKV/</t>
  </si>
  <si>
    <t>Phạm Hương</t>
  </si>
  <si>
    <t>https://www.facebook.com/share/1AsBZb17om/</t>
  </si>
  <si>
    <t>Gia Hân</t>
  </si>
  <si>
    <t>https://www.facebook.com/share/18fA29F5Ra/</t>
  </si>
  <si>
    <t>Đinh Ngọc Anh</t>
  </si>
  <si>
    <t>https://www.facebook.com/share/18d6Nao8dA/</t>
  </si>
  <si>
    <t>https://www.facebook.com/share/14bU32JeTtQ/</t>
  </si>
  <si>
    <t>Duyen Le</t>
  </si>
  <si>
    <t>https://www.facebook.com/share/1E3sSWjZcR/</t>
  </si>
  <si>
    <t>Duyên Nguyễn</t>
  </si>
  <si>
    <t xml:space="preserve">Set 3 hộp dán ngực </t>
  </si>
  <si>
    <t>M018</t>
  </si>
  <si>
    <t>https://www.facebook.com/share/18vh5rv9xs/</t>
  </si>
  <si>
    <t>https://www.facebook.com/share/1FXxBRCRK6/</t>
  </si>
  <si>
    <t>https://www.facebook.com/share/1CMXjdAyEA/</t>
  </si>
  <si>
    <t>Quần Loe Nỉ wgwe</t>
  </si>
  <si>
    <t>https://www.facebook.com/share/1JM5WZRk1V/</t>
  </si>
  <si>
    <t>https://www.facebook.com/share/1ChiYL7AFn/</t>
  </si>
  <si>
    <t>Thanh Nga</t>
  </si>
  <si>
    <t>https://www.facebook.com/share/1D5iRV3qD2/</t>
  </si>
  <si>
    <t>https://www.facebook.com/share/1ChH3hACUY/</t>
  </si>
  <si>
    <t>https://www.facebook.com/share/1BMQswtSMK/</t>
  </si>
  <si>
    <t>https://www.facebook.com/share/1B9LLSFUzL/</t>
  </si>
  <si>
    <t>An Thuý</t>
  </si>
  <si>
    <t>https://www.facebook.com/share/1EquFGLus1/</t>
  </si>
  <si>
    <t>https://www.facebook.com/share/18eC9r5ZXa/</t>
  </si>
  <si>
    <t>NHUNG KULS</t>
  </si>
  <si>
    <t>5XL</t>
  </si>
  <si>
    <t>https://www.facebook.com/share/1CZMp2gCG8/</t>
  </si>
  <si>
    <t>Nguyễn Uyên</t>
  </si>
  <si>
    <t>https://www.facebook.com/share/185hdv4jX6/</t>
  </si>
  <si>
    <t>Dép nhựa crocs</t>
  </si>
  <si>
    <t>DEP2</t>
  </si>
  <si>
    <t>Ngô Hiền</t>
  </si>
  <si>
    <t>https://www.facebook.com/share/18jWJUMsdm/</t>
  </si>
  <si>
    <t>Thanh Nguyen</t>
  </si>
  <si>
    <t>https://www.facebook.com/share/1Ck3cKbdo9/</t>
  </si>
  <si>
    <t>https://www.facebook.com/share/1Gk4wfSDyc/</t>
  </si>
  <si>
    <t>Khánh Huyền</t>
  </si>
  <si>
    <t>https://www.facebook.com/share/1B2mqv7Rqm/</t>
  </si>
  <si>
    <t>Nguyễn Thương</t>
  </si>
  <si>
    <t>https://www.facebook.com/share/1BKCBUHLHG/</t>
  </si>
  <si>
    <t>Phương Nguyễn</t>
  </si>
  <si>
    <t>https://www.facebook.com/share/1CtciL7E8E/</t>
  </si>
  <si>
    <t>PHANTRANG</t>
  </si>
  <si>
    <t>https://www.facebook.com/share/1BE5K8xvAp/</t>
  </si>
  <si>
    <t>Thảo Nguyên</t>
  </si>
  <si>
    <t>https://www.facebook.com/share/1LUi4tsig3/</t>
  </si>
  <si>
    <t>BichChung</t>
  </si>
  <si>
    <t>LiLy</t>
  </si>
  <si>
    <t>https://www.facebook.com/share/1K5diYeExW/</t>
  </si>
  <si>
    <t>https://www.facebook.com/share/1Cffq1a9xH/</t>
  </si>
  <si>
    <t>Trần Thị Hồng Thuý</t>
  </si>
  <si>
    <t>https://www.facebook.com/share/1GbCTuNHXi/</t>
  </si>
  <si>
    <t>Nguyễn Hương Lan</t>
  </si>
  <si>
    <t>https://www.facebook.com/share/1BKyd1Tzyf/</t>
  </si>
  <si>
    <t>https://www.facebook.com/share/14ch6ob77hN/</t>
  </si>
  <si>
    <t>Chuot Chuot</t>
  </si>
  <si>
    <t>https://www.facebook.com/share/18M9veT27c/</t>
  </si>
  <si>
    <t>QuỳnhAnh Lê</t>
  </si>
  <si>
    <t>https://www.facebook.com/share/1GCoAqwy1m/</t>
  </si>
  <si>
    <t>https://www.facebook.com/share/1HESFa9Syb/</t>
  </si>
  <si>
    <t>Áo ba lỗ xoè chấm bi</t>
  </si>
  <si>
    <t>Hoang Thu</t>
  </si>
  <si>
    <t>https://www.facebook.com/share/1CtBiYGm4L/</t>
  </si>
  <si>
    <t>https://www.facebook.com/share/1AwAT1gfU8/</t>
  </si>
  <si>
    <t>https://www.facebook.com/share/18qXvbRRhm/</t>
  </si>
  <si>
    <t>Hải Yến1</t>
  </si>
  <si>
    <t>https://www.facebook.com/share/14h69PdEaoa/</t>
  </si>
  <si>
    <t>Minh Nguyệt1</t>
  </si>
  <si>
    <t>https://www.facebook.com/share/1EPXzdBrTi/</t>
  </si>
  <si>
    <t>Hoàng Bảo Ngọc</t>
  </si>
  <si>
    <t>https://www.facebook.com/share/1E549gtCY9/</t>
  </si>
  <si>
    <t>https://www.facebook.com/share/1B5iU8nArN/</t>
  </si>
  <si>
    <t>Hoa Hướng Dương</t>
  </si>
  <si>
    <t>https://www.facebook.com/share/181qdgHUbQ/</t>
  </si>
  <si>
    <t>https://www.facebook.com/share/1CdSjMZatf/</t>
  </si>
  <si>
    <t>https://www.facebook.com/share/1Avp9xcep2/</t>
  </si>
  <si>
    <t>Nguyễn Bảo Trân</t>
  </si>
  <si>
    <t>https://www.facebook.com/share/1DsV7KVC6i/</t>
  </si>
  <si>
    <t>https://www.facebook.com/share/1AeooDejYm/</t>
  </si>
  <si>
    <t>https://www.facebook.com/share/19Hu8A6rHG/</t>
  </si>
  <si>
    <t>https://www.facebook.com/share/17SyS1d3YA/</t>
  </si>
  <si>
    <t>https://www.facebook.com/share/1GrBhA7Ygk/</t>
  </si>
  <si>
    <t>https://www.facebook.com/share/1E6wZyujuc/</t>
  </si>
  <si>
    <t>https://www.facebook.com/share/186idembtz/</t>
  </si>
  <si>
    <t>Chít Tiên</t>
  </si>
  <si>
    <t>Huyền Học Xinh</t>
  </si>
  <si>
    <t>https://www.facebook.com/share/18dFv9vaZ1/</t>
  </si>
  <si>
    <t>https://www.facebook.com/share/1EY9qvjffP/</t>
  </si>
  <si>
    <t>https://www.facebook.com/share/1XfokEeZNY/</t>
  </si>
  <si>
    <t>Thảo Nheo</t>
  </si>
  <si>
    <t>https://www.facebook.com/share/1CgMV7fayL/</t>
  </si>
  <si>
    <t>https://www.facebook.com/share/1HrZ9ouia6/</t>
  </si>
  <si>
    <t>Phạm Minh Ánh</t>
  </si>
  <si>
    <t>https://www.facebook.com/share/1J1PG3QJug/</t>
  </si>
  <si>
    <t>https://www.facebook.com/share/1NJCC5ambN/</t>
  </si>
  <si>
    <t>Jolly Bùu</t>
  </si>
  <si>
    <t>https://www.facebook.com/share/1JGY9qPVVR/</t>
  </si>
  <si>
    <t>Thuỷ Đặng</t>
  </si>
  <si>
    <t>https://www.facebook.com/share/18aY4VNurM/</t>
  </si>
  <si>
    <t>Đặng Thuỳ</t>
  </si>
  <si>
    <t>https://www.facebook.com/share/1Av4dMPYic/</t>
  </si>
  <si>
    <t>Phạm Kiều Linh</t>
  </si>
  <si>
    <t>https://www.facebook.com/share/1CcDaqQMBM/</t>
  </si>
  <si>
    <t>Nguyễn Huệ Tatto</t>
  </si>
  <si>
    <t>https://www.facebook.com/share/1EDGjhYJ6g/</t>
  </si>
  <si>
    <t>https://www.facebook.com/share/1Djz3y2kCE/</t>
  </si>
  <si>
    <t>Huyền Trang3</t>
  </si>
  <si>
    <t>https://www.facebook.com/share/1CwYPTz53G/</t>
  </si>
  <si>
    <t>Giày lưới</t>
  </si>
  <si>
    <t>M019</t>
  </si>
  <si>
    <t>Đinh Ánh Tuyết</t>
  </si>
  <si>
    <t>https://www.facebook.com/share/1HkMQLQBWx/</t>
  </si>
  <si>
    <t>Nguyễn VanAnh</t>
  </si>
  <si>
    <t>https://www.facebook.com/share/1E8XH3GcXV/</t>
  </si>
  <si>
    <t>https://www.facebook.com/share/1DNy2bNk5o/</t>
  </si>
  <si>
    <t>https://www.facebook.com/share/1AwAssEDjE/</t>
  </si>
  <si>
    <t xml:space="preserve">Linh Chi </t>
  </si>
  <si>
    <t>https://www.facebook.com/share/18WM8uv7fF/</t>
  </si>
  <si>
    <t>Thái Lễ</t>
  </si>
  <si>
    <t>https://www.facebook.com/share/1B7dfzyaFE/</t>
  </si>
  <si>
    <t>https://www.facebook.com/share/1EH2DAkYNo/</t>
  </si>
  <si>
    <t>Set wgwe</t>
  </si>
  <si>
    <t>Tâm Giang</t>
  </si>
  <si>
    <t>Vũ Thị Kim Dung</t>
  </si>
  <si>
    <t>https://www.facebook.com/share/18tbV9tDdS/</t>
  </si>
  <si>
    <t>VuThiKimDung</t>
  </si>
  <si>
    <t>An Hy</t>
  </si>
  <si>
    <t>https://www.facebook.com/share/1JHCfrkoud/</t>
  </si>
  <si>
    <t>Hợi Hoàng</t>
  </si>
  <si>
    <t>https://www.facebook.com/share/1EDBPZwu8Z/</t>
  </si>
  <si>
    <t>https://www.facebook.com/share/17TmUS6LZ7/</t>
  </si>
  <si>
    <t>Linh Khiet</t>
  </si>
  <si>
    <t>https://www.facebook.com/share/1BfbctzvTW/</t>
  </si>
  <si>
    <t>https://www.facebook.com/share/1CdvwuiRZ5/</t>
  </si>
  <si>
    <t>Cicih</t>
  </si>
  <si>
    <t>https://www.facebook.com/share/1DyTUyH95n/</t>
  </si>
  <si>
    <t>Quyen Tran</t>
  </si>
  <si>
    <t>https://www.facebook.com/share/1E2DKrQMUn/</t>
  </si>
  <si>
    <t>https://www.facebook.com/share/1EPVhLHtYr/</t>
  </si>
  <si>
    <t>https://www.facebook.com/share/1Dv88XY8wC/</t>
  </si>
  <si>
    <t>Set váy nơ chấm bi</t>
  </si>
  <si>
    <t>Trần Phương Trang</t>
  </si>
  <si>
    <t>https://www.facebook.com/share/1DBne7Vek9/</t>
  </si>
  <si>
    <t>https://www.facebook.com/share/1EY4iNTsk6/</t>
  </si>
  <si>
    <t>Nguyễn T.Thu Hoài</t>
  </si>
  <si>
    <t>https://www.facebook.com/share/17kByi2p6a/</t>
  </si>
  <si>
    <t>https://www.facebook.com/share/1B9eXpfuMf/</t>
  </si>
  <si>
    <t>Ánh Xuân</t>
  </si>
  <si>
    <t>https://www.facebook.com/share/1Dfat49Bxk/</t>
  </si>
  <si>
    <t>https://www.facebook.com/share/1BZPRhH72x/</t>
  </si>
  <si>
    <t>https://www.facebook.com/share/18ovJtYzt4/</t>
  </si>
  <si>
    <t>Hoàng Thị Ngọc</t>
  </si>
  <si>
    <t>https://www.facebook.com/share/18Qm4SVkLG/</t>
  </si>
  <si>
    <t>https://www.facebook.com/share/18nSa1ZD6t/</t>
  </si>
  <si>
    <t xml:space="preserve">Nhat Ha Tran Le </t>
  </si>
  <si>
    <t>Ngà Mina</t>
  </si>
  <si>
    <t>https://www.facebook.com/share/18mpJNuFbK/</t>
  </si>
  <si>
    <t xml:space="preserve">Thu Quỳnh </t>
  </si>
  <si>
    <t xml:space="preserve">Set Áo cam quần trắng </t>
  </si>
  <si>
    <t>https://www.facebook.com/share/1DtSYuuVDQ/</t>
  </si>
  <si>
    <t>Nhung Đỗ1</t>
  </si>
  <si>
    <t>https://www.facebook.com/share/18WhPXbttX/</t>
  </si>
  <si>
    <t>Tran Lan Huong</t>
  </si>
  <si>
    <t>https://www.facebook.com/share/1Jt3nKppRt/</t>
  </si>
  <si>
    <t>Áo phông giấy wgwe</t>
  </si>
  <si>
    <t>https://www.facebook.com/share/17QkraXKxj/</t>
  </si>
  <si>
    <t xml:space="preserve">Áo phông xoăn wgwe </t>
  </si>
  <si>
    <t>Minh Khánh</t>
  </si>
  <si>
    <t>https://www.facebook.com/share/1CV4yTWCSr/</t>
  </si>
  <si>
    <t>Hoàng Hương</t>
  </si>
  <si>
    <t>https://www.facebook.com/share/1Nv44q6ZjK/</t>
  </si>
  <si>
    <t>Khánh Phínhh</t>
  </si>
  <si>
    <t>https://www.facebook.com/share/1EBoWqewsT/</t>
  </si>
  <si>
    <t>Kiều Linh</t>
  </si>
  <si>
    <t>https://www.facebook.com/share/18pfs8LSwH/</t>
  </si>
  <si>
    <t>Ng Yenn</t>
  </si>
  <si>
    <t>https://www.facebook.com/share/1UDhai31AQ/</t>
  </si>
  <si>
    <t>Phạm Ngân</t>
  </si>
  <si>
    <t>https://www.facebook.com/share/18VqhX37ow/</t>
  </si>
  <si>
    <t>SINHNGUYEN</t>
  </si>
  <si>
    <t>Angelia Tran</t>
  </si>
  <si>
    <t>https://www.facebook.com/share/18VjqWHnSi/</t>
  </si>
  <si>
    <t>Ka Xu</t>
  </si>
  <si>
    <t>https://www.facebook.com/share/18nQLAfLNh/</t>
  </si>
  <si>
    <t>NHUNGDO</t>
  </si>
  <si>
    <t>https://www.facebook.com/share/1SK46cNAwn/</t>
  </si>
  <si>
    <t>Trần Thanh Nhi Bình</t>
  </si>
  <si>
    <t>https://www.facebook.com/share/1JPAnqH3pm/</t>
  </si>
  <si>
    <t>https://www.facebook.com/share/1Cpdxp69Qs/</t>
  </si>
  <si>
    <t>Quần jean 9 tấc</t>
  </si>
  <si>
    <t xml:space="preserve">Onitsuka </t>
  </si>
  <si>
    <t>Onitsuka</t>
  </si>
  <si>
    <t>https://www.facebook.com/share/1LhsXUhLsp/</t>
  </si>
  <si>
    <t>Voi Conn</t>
  </si>
  <si>
    <t>https://www.facebook.com/share/1GaikYLsGp/</t>
  </si>
  <si>
    <t>https://www.facebook.com/share/1DytoyRrRj/</t>
  </si>
  <si>
    <t>Trần T. Thuỳ</t>
  </si>
  <si>
    <t>https://www.facebook.com/share/1ELxpAsisn/</t>
  </si>
  <si>
    <t>https://www.facebook.com/share/17a9LgYfD2/</t>
  </si>
  <si>
    <t>Lương Như Quỳnh</t>
  </si>
  <si>
    <t>https://www.facebook.com/share/1CtHPSGbQJ/</t>
  </si>
  <si>
    <t>Đỗ Thị Ngọc Liên</t>
  </si>
  <si>
    <t>https://www.facebook.com/share/14gw2HAbSJi/</t>
  </si>
  <si>
    <t>https://www.facebook.com/share/17VgA9X5Sd/</t>
  </si>
  <si>
    <t>Hoa Bich</t>
  </si>
  <si>
    <t>https://www.facebook.com/share/17D5G4DmV3/</t>
  </si>
  <si>
    <t>Dương Lê Khang Trang</t>
  </si>
  <si>
    <t>Hoahonggai thon</t>
  </si>
  <si>
    <t>Phùng Hậu</t>
  </si>
  <si>
    <t>https://www.facebook.com/share/1H1fMvfYHH/</t>
  </si>
  <si>
    <t>Bích Du Vũ Thị</t>
  </si>
  <si>
    <t>https://www.facebook.com/share/18sjQNFFDm/</t>
  </si>
  <si>
    <t>Minihon Chan</t>
  </si>
  <si>
    <t>https://www.facebook.com/share/1Ct8FRpbCg/</t>
  </si>
  <si>
    <t>San Bao</t>
  </si>
  <si>
    <t>https://www.facebook.com/share/1DGHFXec9i/</t>
  </si>
  <si>
    <t>Mu01</t>
  </si>
  <si>
    <t>https://www.facebook.com/share/1CXdfb2wT6/</t>
  </si>
  <si>
    <t>https://www.facebook.com/share/1Exz5bAqDS/</t>
  </si>
  <si>
    <t>Hương Hương</t>
  </si>
  <si>
    <t>https://www.facebook.com/share/1DA2igw8tf/</t>
  </si>
  <si>
    <t>https://www.facebook.com/share/1DpE1yvJu8/</t>
  </si>
  <si>
    <t>Bảo Ngọc</t>
  </si>
  <si>
    <t>https://www.facebook.com/share/1CivxaztoZ/</t>
  </si>
  <si>
    <t>Thuý Huỳnh</t>
  </si>
  <si>
    <t xml:space="preserve">Giày jeep </t>
  </si>
  <si>
    <t>PX241WAS932</t>
  </si>
  <si>
    <t>Kim Thư</t>
  </si>
  <si>
    <t>Luỹ Phấn</t>
  </si>
  <si>
    <t>Giày jeep</t>
  </si>
  <si>
    <t>P661W13404</t>
  </si>
  <si>
    <t>Hộp 10 quần lót cotton</t>
  </si>
  <si>
    <t>M020</t>
  </si>
  <si>
    <t>https://www.facebook.com/share/18ubYMuPTQ/</t>
  </si>
  <si>
    <t>https://www.facebook.com/share/1CwbqaNRkt/</t>
  </si>
  <si>
    <t>LAMLAM</t>
  </si>
  <si>
    <t xml:space="preserve">My Nguyễn </t>
  </si>
  <si>
    <t>https://www.facebook.com/share/14e4bUsmUHf/</t>
  </si>
  <si>
    <t>https://www.facebook.com/share/1Cnt5Gp9Tx/</t>
  </si>
  <si>
    <t>https://www.facebook.com/share/1CvPmWu9yx/</t>
  </si>
  <si>
    <t>Huyền Diệu</t>
  </si>
  <si>
    <t>https://www.facebook.com/share/1HmmrafbmK/</t>
  </si>
  <si>
    <t>Ngo Thuy Anh</t>
  </si>
  <si>
    <t>https://www.facebook.com/share/1KnkoSnzx7/</t>
  </si>
  <si>
    <t>Nguyễn Oanh1</t>
  </si>
  <si>
    <t>https://www.facebook.com/share/18cQ6kDNR7/</t>
  </si>
  <si>
    <t>https://www.facebook.com/share/15qrbHNqE9A/</t>
  </si>
  <si>
    <t>https://www.facebook.com/share/17QWUgGKBC/</t>
  </si>
  <si>
    <t>Linh Đỗ</t>
  </si>
  <si>
    <t>https://www.facebook.com/share/1H9V9CQWg9/</t>
  </si>
  <si>
    <t>Yến Chip</t>
  </si>
  <si>
    <t>https://www.facebook.com/share/1BGf5oiNj4/</t>
  </si>
  <si>
    <t>https://www.facebook.com/share/1GtTMQFhif/</t>
  </si>
  <si>
    <t>Tây Phàm</t>
  </si>
  <si>
    <t>https://www.facebook.com/share/1DdEoxy3Ui/</t>
  </si>
  <si>
    <t>Vân Cherry</t>
  </si>
  <si>
    <t>https://www.facebook.com/share/1CeLi4ZVUH/</t>
  </si>
  <si>
    <t>https://www.facebook.com/share/18u1pxRWH6/</t>
  </si>
  <si>
    <t>https://www.facebook.com/share/1BYGVd9wmx/</t>
  </si>
  <si>
    <t>https://www.facebook.com/share/1EBtQJaWrF/</t>
  </si>
  <si>
    <t>https://www.facebook.com/share/18cf9frP6i/</t>
  </si>
  <si>
    <t>Mỹ Anh Yini</t>
  </si>
  <si>
    <t>https://www.facebook.com/share/17ouevuhBY/</t>
  </si>
  <si>
    <t>https://www.facebook.com/share/1FuqfvigTk/</t>
  </si>
  <si>
    <t>https://www.facebook.com/share/1a7VcY7KV3/</t>
  </si>
  <si>
    <t>https://www.facebook.com/share/189YGJo4xd/</t>
  </si>
  <si>
    <t>BUILUONG</t>
  </si>
  <si>
    <t>Phạm Lê</t>
  </si>
  <si>
    <t>https://www.facebook.com/share/18WaWGEYfh/</t>
  </si>
  <si>
    <t>PHAMLE</t>
  </si>
  <si>
    <t>Lường Thị Hiếm</t>
  </si>
  <si>
    <t>https://www.facebook.com/share/1CuiXD5Btk/</t>
  </si>
  <si>
    <t>Jean mỏng ren</t>
  </si>
  <si>
    <t>https://www.facebook.com/share/18aXpipzGz/</t>
  </si>
  <si>
    <t>Nguyễn Huyền1</t>
  </si>
  <si>
    <t>https://www.facebook.com/share/17LYRzAwwD/</t>
  </si>
  <si>
    <t>https://www.facebook.com/share/1BH99P3xcp/</t>
  </si>
  <si>
    <t>https://www.facebook.com/share/1DiuGdTzo2/</t>
  </si>
  <si>
    <t>https://www.facebook.com/share/18ngDB8QRB/</t>
  </si>
  <si>
    <t>Điệp Thảo</t>
  </si>
  <si>
    <t>https://www.facebook.com/share/1ERZYqTMBA/</t>
  </si>
  <si>
    <t>Bùi Thị Khánh Linh</t>
  </si>
  <si>
    <t>https://www.facebook.com/share/18snt1Y3Ep/</t>
  </si>
  <si>
    <t>Linh Babie</t>
  </si>
  <si>
    <t>Triệu T.Hà</t>
  </si>
  <si>
    <t>https://www.facebook.com/share/1EnuCr8MrB/</t>
  </si>
  <si>
    <t>Nguyễn Thị Tuyết Kha</t>
  </si>
  <si>
    <t>https://www.facebook.com/share/18WhveLfWV/</t>
  </si>
  <si>
    <t>vuthikimdung</t>
  </si>
  <si>
    <t>https://www.facebook.com/share/19q1ziX2Zk/</t>
  </si>
  <si>
    <t>https://www.facebook.com/share/1ZcXFzcxEr/</t>
  </si>
  <si>
    <t>Hương AKi</t>
  </si>
  <si>
    <t>https://www.facebook.com/share/1JAsciHCqk/</t>
  </si>
  <si>
    <t xml:space="preserve"> Hảo Nguyễn</t>
  </si>
  <si>
    <t>https://www.facebook.com/share/1K3JqMyVcS/</t>
  </si>
  <si>
    <t>https://www.facebook.com/share/1Bro8pm94b/</t>
  </si>
  <si>
    <t>Cỏ</t>
  </si>
  <si>
    <t>https://www.facebook.com/share/1EJXzyNxnz/</t>
  </si>
  <si>
    <t>Nguyễn hoàng</t>
  </si>
  <si>
    <t>https://www.facebook.com/share/1Be3Heaqcq/</t>
  </si>
  <si>
    <t>https://www.facebook.com/share/1DtwkU72s2/</t>
  </si>
  <si>
    <t>https://www.facebook.com/share/1HGq4Pugi5/</t>
  </si>
  <si>
    <t>Phạm Minh</t>
  </si>
  <si>
    <t>https://www.facebook.com/share/1iwGwemRET/</t>
  </si>
  <si>
    <t>Tam Thanh Nguyen</t>
  </si>
  <si>
    <t>https://www.facebook.com/share/1GBt12etQF/</t>
  </si>
  <si>
    <t>https://www.facebook.com/share/14d15JGKikG/</t>
  </si>
  <si>
    <t>Nguyễn Thị Ánh</t>
  </si>
  <si>
    <t>https://www.facebook.com/share/1Duompw2fY/</t>
  </si>
  <si>
    <t>Sáu Dollars</t>
  </si>
  <si>
    <t>https://www.facebook.com/share/1CL9rw21Zt/</t>
  </si>
  <si>
    <t>Đoàn Khánh Chi</t>
  </si>
  <si>
    <t>https://www.facebook.com/share/1A1jQDP7CA/</t>
  </si>
  <si>
    <t>https://www.facebook.com/share/1bQnyPpLpq/</t>
  </si>
  <si>
    <t>Dương Như Mơ</t>
  </si>
  <si>
    <t>https://www.facebook.com/share/1Ba7rxpAbV/</t>
  </si>
  <si>
    <t>Đỗ Kim Nữ</t>
  </si>
  <si>
    <t>https://www.facebook.com/share/18ZnTdc7Xa/</t>
  </si>
  <si>
    <t>Linh Linh</t>
  </si>
  <si>
    <t>https://www.facebook.com/share/1BFiA2wDfP/</t>
  </si>
  <si>
    <t>Linh Anh</t>
  </si>
  <si>
    <t>https://www.facebook.com/share/1AYoqgVJ6k/</t>
  </si>
  <si>
    <t>Tú Nguyễn</t>
  </si>
  <si>
    <t>https://www.facebook.com/share/1BFLafHF6n/</t>
  </si>
  <si>
    <t>https://www.facebook.com/share/1bHiBXsrz6/</t>
  </si>
  <si>
    <t>Nhàn Nhàn</t>
  </si>
  <si>
    <t>https://www.facebook.com/share/1HkGe8hsGi/</t>
  </si>
  <si>
    <t>https://www.facebook.com/share/1CeQbdmhWA/</t>
  </si>
  <si>
    <t>Bộ đồ màu trơn kitty- chó</t>
  </si>
  <si>
    <t>M021</t>
  </si>
  <si>
    <t>VÀNG CHÓ</t>
  </si>
  <si>
    <t>https://www.facebook.com/share/19uMT26GY7/</t>
  </si>
  <si>
    <t>HỒNG KITTY</t>
  </si>
  <si>
    <t>HỒNG CHÓ</t>
  </si>
  <si>
    <t>https://www.facebook.com/share/14ayBSUXbWH/</t>
  </si>
  <si>
    <t>https://www.facebook.com/share/1Dr2ejXLkG/</t>
  </si>
  <si>
    <t>XANH CHÓ</t>
  </si>
  <si>
    <t>Dinh Thuy Dung</t>
  </si>
  <si>
    <t>https://www.facebook.com/share/14hQAQufgjK/</t>
  </si>
  <si>
    <t>https://www.facebook.com/share/1Ku8ouonzf/</t>
  </si>
  <si>
    <t>https://www.facebook.com/share/1CP8EqVSow/</t>
  </si>
  <si>
    <t>Trần T. Thu</t>
  </si>
  <si>
    <t>https://www.facebook.com/share/1E9WZ1iS5X/</t>
  </si>
  <si>
    <t>Thắm Nguyễn</t>
  </si>
  <si>
    <t>https://www.facebook.com/share/1EFX9Pucgt/</t>
  </si>
  <si>
    <t>https://www.facebook.com/share/1CRzoz2Zyb/</t>
  </si>
  <si>
    <t>Trần Ngọc</t>
  </si>
  <si>
    <t>https://www.facebook.com/share/1VpjTaHdfC/</t>
  </si>
  <si>
    <t>Nguyễn Phươnganh</t>
  </si>
  <si>
    <t>https://www.facebook.com/share/18X5S6EWPr/</t>
  </si>
  <si>
    <t>https://www.facebook.com/share/18vjJfiXyy/</t>
  </si>
  <si>
    <t>https://www.facebook.com/share/1CDG8bH4LZ/</t>
  </si>
  <si>
    <t>Dạ Thảo</t>
  </si>
  <si>
    <t>https://www.facebook.com/share/1B8b4PEFB9/</t>
  </si>
  <si>
    <t>Huỳnh Thư</t>
  </si>
  <si>
    <t>ONITSUKA</t>
  </si>
  <si>
    <t>https://www.facebook.com/share/1BLtPpTJR2/</t>
  </si>
  <si>
    <t>https://www.facebook.com/share/1M3zwW4hr4/</t>
  </si>
  <si>
    <t>phông ngựa cổ. tim</t>
  </si>
  <si>
    <t>https://www.facebook.com/share/1BFPMUNu5c/</t>
  </si>
  <si>
    <t>Nhậtt Quyên</t>
  </si>
  <si>
    <t>Bra1</t>
  </si>
  <si>
    <t>https://www.facebook.com/share/18yakgKdpu/</t>
  </si>
  <si>
    <t>https://www.facebook.com/share/1QssBcVfMb/</t>
  </si>
  <si>
    <t>m010</t>
  </si>
  <si>
    <t>https://www.facebook.com/share/18pzvT6vNq/</t>
  </si>
  <si>
    <t>Dep1</t>
  </si>
  <si>
    <t>Cao Khạn Uyen</t>
  </si>
  <si>
    <t>CAOKHANHUYEN</t>
  </si>
  <si>
    <t>https://www.facebook.com/share/1JGQMV4kVg/</t>
  </si>
  <si>
    <t>Huỳnh Thị Chúc Ly</t>
  </si>
  <si>
    <t>https://www.facebook.com/share/1KYn66tEEN/</t>
  </si>
  <si>
    <t>https://www.facebook.com/share/19DkqyybMK/</t>
  </si>
  <si>
    <t>https://www.facebook.com/share/1G6i4Q9XhT/</t>
  </si>
  <si>
    <t>Min Lê</t>
  </si>
  <si>
    <t>https://www.facebook.com/share/1HxP9a8SnX/</t>
  </si>
  <si>
    <t>Khánh Ly</t>
  </si>
  <si>
    <t>https://www.facebook.com/share/18rs1Wqocx/</t>
  </si>
  <si>
    <t>Thuỳ Bt</t>
  </si>
  <si>
    <t>https://www.facebook.com/share/1EKrPuUQEj/</t>
  </si>
  <si>
    <t>Lê Cẩm Ly</t>
  </si>
  <si>
    <t>https://www.facebook.com/share/18qDaSKcU4/</t>
  </si>
  <si>
    <t>Huyền My</t>
  </si>
  <si>
    <t>https://www.facebook.com/share/1B1Gzf3YJP/</t>
  </si>
  <si>
    <t>Ngát Suri</t>
  </si>
  <si>
    <t>NGATSURI</t>
  </si>
  <si>
    <t>https://www.facebook.com/share/18tQqDrdNo/</t>
  </si>
  <si>
    <t>https://www.facebook.com/share/18oJ4amkW5/</t>
  </si>
  <si>
    <t>https://www.facebook.com/share/17nxg2gHPp/</t>
  </si>
  <si>
    <t>Bảo Bảo</t>
  </si>
  <si>
    <t>https://www.facebook.com/share/1GDyhKBuzU/</t>
  </si>
  <si>
    <t xml:space="preserve">Huế </t>
  </si>
  <si>
    <t>https://www.facebook.com/share/1CHBc7RtBH/</t>
  </si>
  <si>
    <t>https://www.facebook.com/share/1BS9Jsv2XJ/</t>
  </si>
  <si>
    <t>https://www.facebook.com/share/1PeamR1rtx/</t>
  </si>
  <si>
    <t>Cốc STARBUCKS</t>
  </si>
  <si>
    <t>M022</t>
  </si>
  <si>
    <t>Nhã Trang</t>
  </si>
  <si>
    <t>https://www.facebook.com/share/1FvVFVUZvA/</t>
  </si>
  <si>
    <t>https://www.facebook.com/share/18jPhf6nix/</t>
  </si>
  <si>
    <t>https://www.facebook.com/share/1AsNAxsP9V/</t>
  </si>
  <si>
    <t>Trang Tũnn</t>
  </si>
  <si>
    <t>https://www.facebook.com/share/14dTCwwUt3J/</t>
  </si>
  <si>
    <t>https://www.facebook.com/share/1DmGHVjEx7/</t>
  </si>
  <si>
    <t>Phạm Thị Thuỳ Linh</t>
  </si>
  <si>
    <t>https://www.facebook.com/share/1Li3dvTmn1/</t>
  </si>
  <si>
    <t>https://www.facebook.com/share/1NGyoceqER/</t>
  </si>
  <si>
    <t>https://www.facebook.com/share/18hqpSHbBk/</t>
  </si>
  <si>
    <t>Võ Thị Kiều Oanh</t>
  </si>
  <si>
    <t>https://www.facebook.com/share/17TTqnQAHa/</t>
  </si>
  <si>
    <t>Bùi Thị Nhung</t>
  </si>
  <si>
    <t>https://www.facebook.com/share/1HarZiaQJZ/</t>
  </si>
  <si>
    <t>Mỹ Duyên</t>
  </si>
  <si>
    <t>https://www.facebook.com/share/1H7j9fY8f4/</t>
  </si>
  <si>
    <t>Yến Peach</t>
  </si>
  <si>
    <t>https://www.facebook.com/share/17g5WZs5Km/</t>
  </si>
  <si>
    <t>Hiền Lương</t>
  </si>
  <si>
    <t>https://www.facebook.com/share/18TogCihim/</t>
  </si>
  <si>
    <t>Quynh kani</t>
  </si>
  <si>
    <t>https://www.facebook.com/share/1AG4dJSmzw/</t>
  </si>
  <si>
    <t>Vương Minh</t>
  </si>
  <si>
    <t>https://www.facebook.com/share/1CnRx5PLxr/</t>
  </si>
  <si>
    <t>Đinh Thị Mai Lan</t>
  </si>
  <si>
    <t>https://www.facebook.com/share/1Gc2owLweh/</t>
  </si>
  <si>
    <t>Phạm Trang</t>
  </si>
  <si>
    <t>https://www.facebook.com/share/1Ni2aEaSjh/</t>
  </si>
  <si>
    <t>Mai Thương</t>
  </si>
  <si>
    <t>https://www.facebook.com/share/18vLX7S3KY/</t>
  </si>
  <si>
    <t>Nguyễn Thị Tuyết</t>
  </si>
  <si>
    <t>https://www.facebook.com/share/1YTwH1QiJ9/</t>
  </si>
  <si>
    <t>Hoàii Thươngg</t>
  </si>
  <si>
    <t>https://www.facebook.com/share/1BGfGySqEX/</t>
  </si>
  <si>
    <t>Phượng Phạm</t>
  </si>
  <si>
    <t>https://www.facebook.com/share/17r9WGwYPX/</t>
  </si>
  <si>
    <t>Bông Thành Trần</t>
  </si>
  <si>
    <t>https://www.facebook.com/share/1GrvNWAAjX/</t>
  </si>
  <si>
    <t>https://www.facebook.com/share/1BYYzQkYKV/</t>
  </si>
  <si>
    <t>Nguyễn Thị Thuý</t>
  </si>
  <si>
    <t>https://www.facebook.com/share/1Dyw9QvAcA/</t>
  </si>
  <si>
    <t>Mỹ Chi</t>
  </si>
  <si>
    <t>https://www.facebook.com/share/14cYcjQZury/</t>
  </si>
  <si>
    <t>Mei Chan</t>
  </si>
  <si>
    <t>https://www.facebook.com/share/1BKFXk8wce/</t>
  </si>
  <si>
    <t>Nguyễn Trang</t>
  </si>
  <si>
    <t>https://www.facebook.com/share/1EYPuzZ3Uo/</t>
  </si>
  <si>
    <t>Cải Thảo</t>
  </si>
  <si>
    <t>https://www.facebook.com/share/1CxxoiXgpG/</t>
  </si>
  <si>
    <t>Nguyễn T. Hồng</t>
  </si>
  <si>
    <t>https://www.facebook.com/share/17rKZcfghn/</t>
  </si>
  <si>
    <t>https://www.facebook.com/share/1D2sNMS3YZ/</t>
  </si>
  <si>
    <t>https://www.facebook.com/share/1D9n8Ri5ik/</t>
  </si>
  <si>
    <t>https://www.facebook.com/share/17c6hUmXXK/</t>
  </si>
  <si>
    <t>https://www.facebook.com/share/17eeeBGbLa/</t>
  </si>
  <si>
    <t>Diệu Thuỳ Linh</t>
  </si>
  <si>
    <t>https://www.facebook.com/share/1E8eyavQQr/</t>
  </si>
  <si>
    <t>Hà Đoàn</t>
  </si>
  <si>
    <t>https://www.facebook.com/share/1CvPAKcuti/</t>
  </si>
  <si>
    <t>https://www.facebook.com/share/17d6ewjTp1/</t>
  </si>
  <si>
    <t>LinLa Sa</t>
  </si>
  <si>
    <t>https://www.facebook.com/share/14c9jFCcdyr/</t>
  </si>
  <si>
    <t>Ngoc LH</t>
  </si>
  <si>
    <t>https://www.facebook.com/share/1aXRoT4BUT/</t>
  </si>
  <si>
    <t>Trang Karry</t>
  </si>
  <si>
    <t>https://www.facebook.com/share/1EBjFE2gfz/</t>
  </si>
  <si>
    <t>Nguyễn Linhh</t>
  </si>
  <si>
    <t>https://www.facebook.com/share/17ZAza6sH5/</t>
  </si>
  <si>
    <t>TRANNHATLE</t>
  </si>
  <si>
    <t>Nguyễn Kim Anh</t>
  </si>
  <si>
    <t>https://www.facebook.com/share/1DtQ3BdYgT/</t>
  </si>
  <si>
    <t>Hoàng Thu Diễm</t>
  </si>
  <si>
    <t>Thuý Thuý</t>
  </si>
  <si>
    <t>https://www.facebook.com/share/18jxRTkCjN/</t>
  </si>
  <si>
    <t>Yến Phi</t>
  </si>
  <si>
    <t>https://www.facebook.com/share/1LQbv6gYi3/</t>
  </si>
  <si>
    <t>Đinh Phương</t>
  </si>
  <si>
    <t>https://www.facebook.com/share/1Bn6kEmGzn/</t>
  </si>
  <si>
    <t>Trang Bống</t>
  </si>
  <si>
    <t>https://www.facebook.com/share/1EYwJVmj5G/</t>
  </si>
  <si>
    <t>Triệu Thị Hậu</t>
  </si>
  <si>
    <t>https://www.facebook.com/share/18hw61wuyN/</t>
  </si>
  <si>
    <t>Linh Hoàng</t>
  </si>
  <si>
    <t>https://www.facebook.com/share/1EfqpZ58xH/</t>
  </si>
  <si>
    <t>Công Dăng</t>
  </si>
  <si>
    <t>https://www.facebook.com/share/1Cmr1b7F6u/</t>
  </si>
  <si>
    <t>Ngô Thu Uyên</t>
  </si>
  <si>
    <t>https://www.facebook.com/share/192jiJNAtr/</t>
  </si>
  <si>
    <t>Nt Hoa</t>
  </si>
  <si>
    <t>https://www.facebook.com/share/1GtoG5k5a3/</t>
  </si>
  <si>
    <t>Vũ Quỳnh Nhung</t>
  </si>
  <si>
    <t>https://www.facebook.com/share/1APx1dXA5D/</t>
  </si>
  <si>
    <t>Linh Chi</t>
  </si>
  <si>
    <t>https://www.facebook.com/share/1B3qQRrtLJ/</t>
  </si>
  <si>
    <t>Ng Ngọc Hân</t>
  </si>
  <si>
    <t>https://www.facebook.com/share/18ob3fdYZv/</t>
  </si>
  <si>
    <t>Trịnh Tân</t>
  </si>
  <si>
    <t>https://www.facebook.com/share/18VehSphBZ/</t>
  </si>
  <si>
    <t>Bé Nhỏ</t>
  </si>
  <si>
    <t>https://www.facebook.com/share/18is9DZfAh/</t>
  </si>
  <si>
    <t>Bích Hiệp</t>
  </si>
  <si>
    <t>https://www.facebook.com/share/1BKRfxR6Em/</t>
  </si>
  <si>
    <t>Trần Khánh An</t>
  </si>
  <si>
    <t>https://www.facebook.com/share/1CUhtF1VK9/</t>
  </si>
  <si>
    <t>Cẩm Nguyên</t>
  </si>
  <si>
    <t>https://www.facebook.com/share/18eXA65uty/</t>
  </si>
  <si>
    <t>Xuân Thảo</t>
  </si>
  <si>
    <t>https://www.facebook.com/share/18ioDGm9f5/</t>
  </si>
  <si>
    <t>https://www.facebook.com/share/1DzHHBENYf/</t>
  </si>
  <si>
    <t>Huyenn Trangg</t>
  </si>
  <si>
    <t>https://www.facebook.com/share/18mFxooRi9/</t>
  </si>
  <si>
    <t>Xù</t>
  </si>
  <si>
    <t>https://www.facebook.com/share/1bLivkrYsM/</t>
  </si>
  <si>
    <t>Phương Trà</t>
  </si>
  <si>
    <t>https://www.facebook.com/share/1BgQ6bXGzT/</t>
  </si>
  <si>
    <t>Ki Mi</t>
  </si>
  <si>
    <t>https://www.facebook.com/share/1NXEBS5NQ2/</t>
  </si>
  <si>
    <t>Hônq Loan</t>
  </si>
  <si>
    <t>https://www.facebook.com/share/1BV6oXAWfM/</t>
  </si>
  <si>
    <t>Hoàgg Ank</t>
  </si>
  <si>
    <t>https://www.facebook.com/share/1Mbh6VNtp6/</t>
  </si>
  <si>
    <t>https://www.facebook.com/share/1FuUeGXx1B/</t>
  </si>
  <si>
    <t>Hang Nguyen</t>
  </si>
  <si>
    <t>https://www.facebook.com/share/17iVc8Kvdt/</t>
  </si>
  <si>
    <t>https://www.facebook.com/share/14gvcwKmSGh/</t>
  </si>
  <si>
    <t>https://www.facebook.com/share/18Ar8baMR4/</t>
  </si>
  <si>
    <t>Vũ Thu Hường</t>
  </si>
  <si>
    <t>https://www.facebook.com/share/19CzbuNt4w/</t>
  </si>
  <si>
    <t>https://www.facebook.com/share/17j8ipjfge/</t>
  </si>
  <si>
    <t>https://www.facebook.com/share/1DK97TrWwb/</t>
  </si>
  <si>
    <t>https://www.facebook.com/share/18Xo3oFZ1C/</t>
  </si>
  <si>
    <t>https://www.facebook.com/share/1EYA8tb5jr/</t>
  </si>
  <si>
    <t>Nhat Anh</t>
  </si>
  <si>
    <t>https://www.facebook.com/share/1BYd1kycxK/</t>
  </si>
  <si>
    <t>Quỳnh Lương</t>
  </si>
  <si>
    <t>https://www.facebook.com/share/1EVKVF19cG/</t>
  </si>
  <si>
    <t>Song Tử Hướng Nội</t>
  </si>
  <si>
    <t>https://www.facebook.com/share/1EpyXJFpee/</t>
  </si>
  <si>
    <t>https://www.facebook.com/share/1EK8BCgxi6/</t>
  </si>
  <si>
    <t>https://www.facebook.com/share/19DszUxM2w/</t>
  </si>
  <si>
    <t>Quỳnh Hương</t>
  </si>
  <si>
    <t>https://www.facebook.com/share/1F2omrD2wr/</t>
  </si>
  <si>
    <t>https://www.facebook.com/share/1aGqSBnugf/</t>
  </si>
  <si>
    <t>Trinh Ngyn</t>
  </si>
  <si>
    <t>https://www.facebook.com/share/1DAnme8RRe/</t>
  </si>
  <si>
    <t>Thu ichi</t>
  </si>
  <si>
    <t>Thuỳ Đỗ</t>
  </si>
  <si>
    <t>https://www.facebook.com/share/1GT1SSNqfD/</t>
  </si>
  <si>
    <t>Đỗ AnhThu</t>
  </si>
  <si>
    <t>Trang Hoàng</t>
  </si>
  <si>
    <t>https://www.facebook.com/share/1ChwtaAJYx/</t>
  </si>
  <si>
    <t>Huỳnh Mỹ Linh</t>
  </si>
  <si>
    <t>https://www.facebook.com/share/1BGLTVHBYi/</t>
  </si>
  <si>
    <t>Phươngg Hoa</t>
  </si>
  <si>
    <t>Trần Phương Dung</t>
  </si>
  <si>
    <t>https://www.facebook.com/share/1RNMQtnJmX/</t>
  </si>
  <si>
    <t>TranToaiMy</t>
  </si>
  <si>
    <t>https://www.facebook.com/share/1Ci6yWNmh3/</t>
  </si>
  <si>
    <t>VuThuHuong</t>
  </si>
  <si>
    <t>https://www.facebook.com/share/1EAabKEaAh/</t>
  </si>
  <si>
    <t>Phạm Hà Thanh</t>
  </si>
  <si>
    <t>https://www.facebook.com/share/1BEJTxw9Ny/</t>
  </si>
  <si>
    <t>Diễm Trinh</t>
  </si>
  <si>
    <t>https://www.facebook.com/share/14egnfEw3Fk/</t>
  </si>
  <si>
    <t>Nguyễn Mây</t>
  </si>
  <si>
    <t>https://www.facebook.com/share/1EgvJH8MDi/</t>
  </si>
  <si>
    <t>リキン　メイ</t>
  </si>
  <si>
    <t>https://www.facebook.com/profile.php?id=100081865760635</t>
  </si>
  <si>
    <t>https://www.facebook.com/share/1Bupo4tj4N/</t>
  </si>
  <si>
    <t>Hoàng Lan</t>
  </si>
  <si>
    <t>https://www.facebook.com/share/1EVYEGfpMu/</t>
  </si>
  <si>
    <t>Nguyen Hoai Ngoc</t>
  </si>
  <si>
    <t>https://www.facebook.com/share/1HPxVfCgJn/</t>
  </si>
  <si>
    <t>https://www.facebook.com/share/1DVCjutg9J/</t>
  </si>
  <si>
    <t>Trịnh Đình Hiếu</t>
  </si>
  <si>
    <t>https://www.facebook.com/share/1JDPwaaahP/</t>
  </si>
  <si>
    <t>https://www.facebook.com/share/17tf3MEewe/</t>
  </si>
  <si>
    <t>Hằng Hoon</t>
  </si>
  <si>
    <t>https://www.facebook.com/share/1XUeMcy5x8/</t>
  </si>
  <si>
    <t>Thanh Phạm</t>
  </si>
  <si>
    <t>https://www.facebook.com/share/1aUMYwKs3V/</t>
  </si>
  <si>
    <t>Quần jean WGWE mỏng mát</t>
  </si>
  <si>
    <t>J001</t>
  </si>
  <si>
    <t>Dưa Hấu</t>
  </si>
  <si>
    <t>https://www.facebook.com/share/18oALGtkBb/</t>
  </si>
  <si>
    <t>https://www.facebook.com/share/18vUsW57D6/</t>
  </si>
  <si>
    <t>https://www.facebook.com/share/18bhhzjC4Q/</t>
  </si>
  <si>
    <t>Hoa Anh Đào</t>
  </si>
  <si>
    <t>https://www.facebook.com/share/1AuKuRPDJH/</t>
  </si>
  <si>
    <t>ÁO NGỦ DÂY HỒNG CHẤM BI</t>
  </si>
  <si>
    <t>AN01</t>
  </si>
  <si>
    <t>NLê Phương</t>
  </si>
  <si>
    <t>https://www.facebook.com/share/17q79oyyMJ/</t>
  </si>
  <si>
    <t>Yu Kari</t>
  </si>
  <si>
    <t>https://www.facebook.com/share/1Be4yYjJQ1/</t>
  </si>
  <si>
    <t>Nguyễn Thị Duyên</t>
  </si>
  <si>
    <t>https://www.facebook.com/share/18zmK7DjdZ/</t>
  </si>
  <si>
    <t>https://www.facebook.com/share/1DpsLXUmdX/</t>
  </si>
  <si>
    <t>https://www.facebook.com/share/1D9hyxqFiT/</t>
  </si>
  <si>
    <t>Tiểuu Dii</t>
  </si>
  <si>
    <t>MÁY XAY HẠT</t>
  </si>
  <si>
    <t>MX01</t>
  </si>
  <si>
    <t>https://www.facebook.com/share/19E4BJxBfx/</t>
  </si>
  <si>
    <t>https://www.facebook.com/share/1NbkrpVNVL/</t>
  </si>
  <si>
    <t>Yến Như</t>
  </si>
  <si>
    <t>https://www.facebook.com/share/199AeVNojz/</t>
  </si>
  <si>
    <t>Kiều Lan Hương</t>
  </si>
  <si>
    <t>https://www.facebook.com/share/1BBVDSvdA5/</t>
  </si>
  <si>
    <t>Nguyễn Chung</t>
  </si>
  <si>
    <t>https://www.facebook.com/share/18q4BFUWUX/</t>
  </si>
  <si>
    <t>Thư Lê</t>
  </si>
  <si>
    <t>https://www.facebook.com/share/1GrQ4rgxWS/</t>
  </si>
  <si>
    <t>Quỳnh Trang</t>
  </si>
  <si>
    <t>https://www.facebook.com/share/1H1M7SuDff/</t>
  </si>
  <si>
    <t>Vu Huong Giang</t>
  </si>
  <si>
    <t>https://www.facebook.com/share/1Hymgvo4EL/</t>
  </si>
  <si>
    <t>SET 3 MÓN</t>
  </si>
  <si>
    <t>https://www.facebook.com/share/1EHUyagiWJ/</t>
  </si>
  <si>
    <t>Vũ Thị Thuỳ Trang</t>
  </si>
  <si>
    <t>https://www.facebook.com/share/1DzfUeY8NM/</t>
  </si>
  <si>
    <t>Thuý Thuý1</t>
  </si>
  <si>
    <t>Váy wgwe</t>
  </si>
  <si>
    <t>https://www.facebook.com/haleedung.2403</t>
  </si>
  <si>
    <t>Ba lỗ cổ vuông có mút</t>
  </si>
  <si>
    <t>https://www.facebook.com/share/19iZpjiPMK/</t>
  </si>
  <si>
    <t>https://www.facebook.com/share/1KxoNShmDC/</t>
  </si>
  <si>
    <t>VanCherr</t>
  </si>
  <si>
    <t>NhatGiang</t>
  </si>
  <si>
    <t>https://www.facebook.com/share/17yCtVK244/</t>
  </si>
  <si>
    <t>DaoThiTring</t>
  </si>
  <si>
    <t>NuaDo</t>
  </si>
  <si>
    <t>https://www.facebook.com/share/1CH8C6iiYG/</t>
  </si>
  <si>
    <t>Hoàn Trần</t>
  </si>
  <si>
    <t>HoanTran</t>
  </si>
  <si>
    <t>https://www.facebook.com/share/17wUrLgWJm/</t>
  </si>
  <si>
    <t>Quần voan wgwe</t>
  </si>
  <si>
    <t>Kaoru</t>
  </si>
  <si>
    <t>https://www.facebook.com/share/1dGHMmMx6i/</t>
  </si>
  <si>
    <t>Ngô Ngọc Duyên</t>
  </si>
  <si>
    <t>https://www.facebook.com/share/183hVCoAZV/</t>
  </si>
  <si>
    <t xml:space="preserve">Bộ 2 dây và quần </t>
  </si>
  <si>
    <t>Hà Thu Thuỷ</t>
  </si>
  <si>
    <t>https://www.facebook.com/share/1HQ6u1u7Sh/</t>
  </si>
  <si>
    <t>Xuyến Chi</t>
  </si>
  <si>
    <t>https://www.facebook.com/share/1HhCWaWz4h/</t>
  </si>
  <si>
    <t>Áo sát nách ren</t>
  </si>
  <si>
    <t xml:space="preserve">Áo ba lỗ sọc xanh </t>
  </si>
  <si>
    <t>https://www.facebook.com/share/18rVvGWVUY/</t>
  </si>
  <si>
    <t>https://www.facebook.com/share/1BSVsj3CiX/</t>
  </si>
  <si>
    <t>https://www.facebook.com/share/1Dwv3ccixN/</t>
  </si>
  <si>
    <t xml:space="preserve">Quần kaki wgwe </t>
  </si>
  <si>
    <t>Vân Trang</t>
  </si>
  <si>
    <t>https://www.facebook.com/share/18x4TEP2Gv/</t>
  </si>
  <si>
    <t>Ly Thị Nguyễn</t>
  </si>
  <si>
    <t>https://www.facebook.com/share/18jhQZLMHV/</t>
  </si>
  <si>
    <t>Nguyen T Huyen</t>
  </si>
  <si>
    <t>https://www.facebook.com/share/1HQpkKAV8a/</t>
  </si>
  <si>
    <t>https://www.facebook.com/share/17apjAt4Sm/</t>
  </si>
  <si>
    <t>https://www.facebook.com/share/1HBWcDfVXs/</t>
  </si>
  <si>
    <t>Thảo Nguyễn</t>
  </si>
  <si>
    <t>https://www.facebook.com/share/14fnvGxyPYp/</t>
  </si>
  <si>
    <t>Hiền Nguyễn</t>
  </si>
  <si>
    <t>https://www.facebook.com/share/1BMNdDB3cJ/</t>
  </si>
  <si>
    <t>https://www.facebook.com/share/1QAmwa4Eom/</t>
  </si>
  <si>
    <t>https://www.facebook.com/share/1Bo87w89QK/</t>
  </si>
  <si>
    <t>https://www.facebook.com/share/18jqP4nWX3/</t>
  </si>
  <si>
    <t>https://www.facebook.com/share/17ra2wX2VA/</t>
  </si>
  <si>
    <t>Hảii Yến</t>
  </si>
  <si>
    <t>https://www.facebook.com/share/1G6BZZSfvq/</t>
  </si>
  <si>
    <t>https://www.facebook.com/share/1JUgkCkHWc/</t>
  </si>
  <si>
    <t>Thu Nhi</t>
  </si>
  <si>
    <t>https://www.facebook.com/share/18YxcpWmuc/</t>
  </si>
  <si>
    <t>Áo wgwe ren be</t>
  </si>
  <si>
    <t>https://www.facebook.com/share/14kAzCTTRW5/</t>
  </si>
  <si>
    <t>Phương Trà-VN</t>
  </si>
  <si>
    <t>Hoahong gai thon</t>
  </si>
  <si>
    <t>Phương Phương</t>
  </si>
  <si>
    <t>Hoàng Ngọc Tú</t>
  </si>
  <si>
    <t>Hà Nguyen</t>
  </si>
  <si>
    <t>Nguyễn Diệu Ánh</t>
  </si>
  <si>
    <t>Dép jeep da lộn</t>
  </si>
  <si>
    <t>P654W14261</t>
  </si>
  <si>
    <t>Mi Tienn</t>
  </si>
  <si>
    <t>Thanh Trang</t>
  </si>
  <si>
    <t>Size</t>
  </si>
  <si>
    <t>Color</t>
  </si>
  <si>
    <t>SL dư</t>
  </si>
  <si>
    <t>Trạng thái</t>
  </si>
  <si>
    <t>Ngày tạo</t>
  </si>
  <si>
    <t>Số lượng nhập</t>
  </si>
  <si>
    <t>Ngày nhập</t>
  </si>
  <si>
    <t>Ghi chú</t>
  </si>
  <si>
    <t>37.5</t>
  </si>
  <si>
    <t>LAM LAM</t>
  </si>
  <si>
    <t>LILY</t>
  </si>
  <si>
    <t>BICHCHUNG</t>
  </si>
  <si>
    <t>PX230MTX362</t>
  </si>
  <si>
    <t>VUTHIKIMDUNG</t>
  </si>
  <si>
    <t>ANGELIA TRAN</t>
  </si>
  <si>
    <t>Tổng hàng order</t>
  </si>
  <si>
    <t>Trạng thái hàng</t>
  </si>
  <si>
    <t>Ngày gửi</t>
  </si>
  <si>
    <t>Da gui</t>
  </si>
  <si>
    <t>19:24:41 18/3/2026</t>
  </si>
  <si>
    <t>16:06:00 21/3/2026</t>
  </si>
  <si>
    <t>19:24:44 18/3/2026</t>
  </si>
  <si>
    <t>16:06:02 21/3/2026</t>
  </si>
  <si>
    <t>19:24:45 18/3/2026</t>
  </si>
  <si>
    <t>19:24:48 18/3/2026</t>
  </si>
  <si>
    <t>19:24:54 18/3/2026</t>
  </si>
  <si>
    <t>19:24:56 18/3/2026</t>
  </si>
  <si>
    <t>19:27:39 18/3/2026</t>
  </si>
  <si>
    <t>19:27:43 18/3/2026</t>
  </si>
  <si>
    <t>19:27:45 18/3/2026</t>
  </si>
  <si>
    <t>16:06:07 21/3/2026</t>
  </si>
  <si>
    <t>16:06:09 21/3/2026</t>
  </si>
  <si>
    <t>19:27:46 18/3/2026</t>
  </si>
  <si>
    <t>19:27:48 18/3/2026</t>
  </si>
  <si>
    <t>19:27:50 18/3/2026</t>
  </si>
  <si>
    <t>Tên SP</t>
  </si>
  <si>
    <t>Giá bán</t>
  </si>
  <si>
    <t>Giá nhập</t>
  </si>
  <si>
    <t>Lợi nhuận/SP</t>
  </si>
  <si>
    <t>Margin %</t>
  </si>
  <si>
    <t>Màu</t>
  </si>
  <si>
    <t>Đã bán</t>
  </si>
  <si>
    <t>Loại</t>
  </si>
  <si>
    <t>Cột 1</t>
  </si>
  <si>
    <t>BE,TRẮNG,XÁM,ĐEN</t>
  </si>
  <si>
    <t>Áo</t>
  </si>
  <si>
    <t>M006.jpg</t>
  </si>
  <si>
    <t>M,S</t>
  </si>
  <si>
    <t>HỒNG,NÂU,TRẮNG,TÍM,ĐEN,ĐỎ</t>
  </si>
  <si>
    <t>35,36,37,38,39,40</t>
  </si>
  <si>
    <t>BE,ĐEN</t>
  </si>
  <si>
    <t>Giày</t>
  </si>
  <si>
    <t>L,M,S</t>
  </si>
  <si>
    <t>Quần</t>
  </si>
  <si>
    <t>BE,TRẮNG</t>
  </si>
  <si>
    <t>Khác</t>
  </si>
  <si>
    <t>HỒNG,NÂU,TRẮNG,XÁM,XÁM ĐẬM,ĐEN,ĐỎ</t>
  </si>
  <si>
    <t>HỒNG,TRẮNG,VÀNG,XANH NHẠT,XÁM,ĐEN,ĐỎ</t>
  </si>
  <si>
    <t>HỒNG,TRẮNG,XANH THAN,XÁM,ĐEN</t>
  </si>
  <si>
    <t>TRẮNG,XÁM,ĐEN</t>
  </si>
  <si>
    <t>HỒNG,XANH THAN,XÁM</t>
  </si>
  <si>
    <t>Set/Bộ</t>
  </si>
  <si>
    <t>NÂU,ĐEN</t>
  </si>
  <si>
    <t>HỒNG,TRẮNG,XÁM,ĐEN</t>
  </si>
  <si>
    <t>ĐEN,ĐỎ</t>
  </si>
  <si>
    <t>BE,NÂU,ĐEN</t>
  </si>
  <si>
    <t>BE,NÂU</t>
  </si>
  <si>
    <t>NÂU NHẠT,BE,NÂU,HỒNG</t>
  </si>
  <si>
    <t>S,M</t>
  </si>
  <si>
    <t>S,M,L</t>
  </si>
  <si>
    <t>XANH THAN, TRẮNG</t>
  </si>
  <si>
    <t>ĐEN, TRẮNG</t>
  </si>
  <si>
    <t>https://drive.google.com/uc?export=view&amp;id=1gRZGgsaAlixTqG-fw_CaTSxsDz7UJNYp</t>
  </si>
  <si>
    <t>https://drive.google.com/uc?export=view&amp;id=1qFN_ZPeHCdAPmzweF-E1DPzUDXD4-E0V</t>
  </si>
  <si>
    <t>https://drive.google.com/uc?export=view&amp;id=1haFrYlClnn_4SD0mDZyE7Hh2u-Z7ck-m</t>
  </si>
  <si>
    <t>https://drive.google.com/uc?export=view&amp;id=1TC0p5pIKaLn2YKGMcG7p1Qz8t23d-Wpi</t>
  </si>
  <si>
    <t>https://drive.google.com/uc?export=view&amp;id=1xYIx5Ce1_Q0-qJs8j00BOsARTmvE8Cnj</t>
  </si>
  <si>
    <t>https://drive.google.com/uc?export=view&amp;id=1iS2bq0Dpu0U_0XdwnAvNunOiNTedNO7n</t>
  </si>
  <si>
    <t>https://drive.google.com/uc?export=view&amp;id=1WXriGQa1X6gRDHOPk2BM9dkamEwYh9Ro</t>
  </si>
  <si>
    <t>https://drive.google.com/uc?export=view&amp;id=1F-sa9s7-E_d_ZvUuuQ6OagclmipjD3ft</t>
  </si>
  <si>
    <t>https://drive.google.com/uc?export=view&amp;id=1mlS03U1_3WXR4q6ElJiW72FpvKBnRDG5</t>
  </si>
  <si>
    <t>https://drive.google.com/uc?export=view&amp;id=1iBcuXcyXFWfXE08ous3zNvzLLe1LVYCa</t>
  </si>
  <si>
    <t>Áo wgwe ren</t>
  </si>
  <si>
    <t>https://drive.google.com/uc?export=view&amp;id=1Cbq3Jpfow-D66QnxD2coy6f04UebXTbG</t>
  </si>
  <si>
    <t>📊 THỐNG KÊ</t>
  </si>
  <si>
    <t>CHỈ SỐ</t>
  </si>
  <si>
    <t>GIÁ TRỊ</t>
  </si>
  <si>
    <t>📋</t>
  </si>
  <si>
    <t>Tổng đơn</t>
  </si>
  <si>
    <t>💰</t>
  </si>
  <si>
    <t>Doanh thu (¥)</t>
  </si>
  <si>
    <t>📈</t>
  </si>
  <si>
    <t>Lợi nhuận (¥)</t>
  </si>
  <si>
    <t>🚚</t>
  </si>
  <si>
    <t>✅</t>
  </si>
  <si>
    <t>SỐ</t>
  </si>
  <si>
    <t>⚪</t>
  </si>
  <si>
    <t>Chưa đặt</t>
  </si>
  <si>
    <t>🟡</t>
  </si>
  <si>
    <t>🟣</t>
  </si>
  <si>
    <t>Đang ship</t>
  </si>
  <si>
    <t>🔵</t>
  </si>
  <si>
    <t>🟢</t>
  </si>
  <si>
    <t>Số đơn</t>
  </si>
  <si>
    <t>Tổng SL</t>
  </si>
  <si>
    <t>Giá TB</t>
  </si>
  <si>
    <t>Link FB</t>
  </si>
  <si>
    <t>Hạng</t>
  </si>
  <si>
    <t>〒</t>
  </si>
  <si>
    <t>都道府県</t>
  </si>
  <si>
    <t>市区町村</t>
  </si>
  <si>
    <t>番地</t>
  </si>
  <si>
    <t>電話</t>
  </si>
  <si>
    <t>660-0085</t>
  </si>
  <si>
    <t>兵庫県</t>
  </si>
  <si>
    <t>尼崎市</t>
  </si>
  <si>
    <t>元浜町5-46-5 ( Kurahashi)</t>
  </si>
  <si>
    <t>486-0932</t>
  </si>
  <si>
    <t>愛知県</t>
  </si>
  <si>
    <t>春日井市</t>
  </si>
  <si>
    <t>松河戸町4-6-5 サンシャイン松河202</t>
  </si>
  <si>
    <t>289-2102</t>
  </si>
  <si>
    <t>千葉県</t>
  </si>
  <si>
    <t>匝瑳市</t>
  </si>
  <si>
    <t>椿1473-1 カンプ.ノウA102号</t>
  </si>
  <si>
    <t>270-0032</t>
  </si>
  <si>
    <t>松戸市</t>
  </si>
  <si>
    <t>北2丁目11-1 ファミールハイツ3号棟 802</t>
  </si>
  <si>
    <t>545-0001</t>
  </si>
  <si>
    <t>大阪府</t>
  </si>
  <si>
    <t>大阪市阿倍野区</t>
  </si>
  <si>
    <t>天王寺町北２丁目12-2キッポ天王寺北202号</t>
  </si>
  <si>
    <t>134-0081</t>
  </si>
  <si>
    <t>東京都</t>
  </si>
  <si>
    <t>江戸川区</t>
  </si>
  <si>
    <t>2-11-21 ジャパンエクステージ203</t>
  </si>
  <si>
    <t>214-0039</t>
  </si>
  <si>
    <t>神奈川県</t>
  </si>
  <si>
    <t>川崎市多摩区</t>
  </si>
  <si>
    <t>栗谷3丁目2番11リズ生田505号</t>
  </si>
  <si>
    <t>574-0025</t>
  </si>
  <si>
    <t>大東市</t>
  </si>
  <si>
    <t>4-4-42</t>
  </si>
  <si>
    <t>193-0931</t>
  </si>
  <si>
    <t>八王子市</t>
  </si>
  <si>
    <t>台町1-22-20コーポセイウン102号</t>
  </si>
  <si>
    <t>168-0071</t>
  </si>
  <si>
    <t>杉並区</t>
  </si>
  <si>
    <t>西3-8-9パレス高井戸 201号室</t>
  </si>
  <si>
    <t>220-0074</t>
  </si>
  <si>
    <t>横浜市西区</t>
  </si>
  <si>
    <t>南浅間町4番地10 TS横浜第一101号</t>
  </si>
  <si>
    <t>738-0203</t>
  </si>
  <si>
    <t>広島県</t>
  </si>
  <si>
    <t>廿日市</t>
  </si>
  <si>
    <t>市友田131</t>
  </si>
  <si>
    <t>401-0337</t>
  </si>
  <si>
    <t>山梨県</t>
  </si>
  <si>
    <t>南都留郡富士河口湖町</t>
  </si>
  <si>
    <t>本栖218-4</t>
  </si>
  <si>
    <t>547-0012</t>
  </si>
  <si>
    <t>大阪市平野区</t>
  </si>
  <si>
    <t>長吉六反5丁目9−31ロイヤル長吉 202号室</t>
  </si>
  <si>
    <t>300-0011</t>
  </si>
  <si>
    <t>茨城県</t>
  </si>
  <si>
    <t>土浦市</t>
  </si>
  <si>
    <t>央3-19-10 シティハイムサンフィールド202号</t>
  </si>
  <si>
    <t>070 8394 9980</t>
  </si>
  <si>
    <t>北葛西５－２６－７ワイツハイム　４０４</t>
  </si>
  <si>
    <t>555-0032</t>
  </si>
  <si>
    <t>大阪市西淀川区</t>
  </si>
  <si>
    <t>大和田</t>
  </si>
  <si>
    <t>520-2434</t>
  </si>
  <si>
    <t>滋賀県</t>
  </si>
  <si>
    <t>野洲市</t>
  </si>
  <si>
    <t>比江916-4</t>
  </si>
  <si>
    <t>270-0034</t>
  </si>
  <si>
    <t>新松戸7丁目183-1セジュールビューラー203</t>
  </si>
  <si>
    <t>251-0057</t>
  </si>
  <si>
    <t>藤沢市</t>
  </si>
  <si>
    <t>-10-33エストレージャ湘南216</t>
  </si>
  <si>
    <t>733-0012</t>
  </si>
  <si>
    <t>広島市西区</t>
  </si>
  <si>
    <t>中広町3丁目2-1-704</t>
  </si>
  <si>
    <t>270-0006</t>
  </si>
  <si>
    <t>大金4-250-1市川マンション102号</t>
  </si>
  <si>
    <t>370-2454</t>
  </si>
  <si>
    <t>群馬県</t>
  </si>
  <si>
    <t>富岡市</t>
  </si>
  <si>
    <t>田島300番地スクエア浅川A-3</t>
  </si>
  <si>
    <t>436-0027</t>
  </si>
  <si>
    <t>静岡県</t>
  </si>
  <si>
    <t>掛川市</t>
  </si>
  <si>
    <t>2-21-13ティアラ103号</t>
  </si>
  <si>
    <t>070 9186 1846</t>
  </si>
  <si>
    <t>-21-13 ティアラ103号</t>
  </si>
  <si>
    <t xml:space="preserve"> 070 9186 1846</t>
  </si>
  <si>
    <t>511-0818</t>
  </si>
  <si>
    <t>三重県</t>
  </si>
  <si>
    <t>桑名市</t>
  </si>
  <si>
    <t>高塚町１丁目52 ビゥーテラス202号室</t>
  </si>
  <si>
    <t>507-0053</t>
  </si>
  <si>
    <t>岐阜県</t>
  </si>
  <si>
    <t>多治見市</t>
  </si>
  <si>
    <t>若松町1-18-1 ( MIKA )</t>
  </si>
  <si>
    <t>098-1703</t>
  </si>
  <si>
    <t>北海道</t>
  </si>
  <si>
    <t>紋別郡雄武町</t>
  </si>
  <si>
    <t>沢木59番地の1</t>
  </si>
  <si>
    <t>581-0823</t>
  </si>
  <si>
    <t>八尾市</t>
  </si>
  <si>
    <t>桂町6丁目11番地シャン・ド・フルール306号</t>
  </si>
  <si>
    <t>367-0000</t>
  </si>
  <si>
    <t>埼玉県</t>
  </si>
  <si>
    <t>本庄市</t>
  </si>
  <si>
    <t>1-6</t>
  </si>
  <si>
    <t>6-6</t>
  </si>
  <si>
    <t>537-0003</t>
  </si>
  <si>
    <t>大阪市東成区</t>
  </si>
  <si>
    <t>神路４丁目12-2新深江池田マンション　911号</t>
  </si>
  <si>
    <t>343-0804</t>
  </si>
  <si>
    <t>越谷市</t>
  </si>
  <si>
    <t>南荻島4375-3</t>
  </si>
  <si>
    <t>532-0002</t>
  </si>
  <si>
    <t>大阪市淀川区</t>
  </si>
  <si>
    <t>東三国１－３３－８　　にんにくラーメン幸ちゃん</t>
  </si>
  <si>
    <t>123-0845</t>
  </si>
  <si>
    <t>足立区</t>
  </si>
  <si>
    <t>Tokyo Adachiku Nishiaraihoncho 1-16-1-209</t>
  </si>
  <si>
    <t>364-0023</t>
  </si>
  <si>
    <t>北本市</t>
  </si>
  <si>
    <t>戸下561レオネクスト下久保，113号</t>
  </si>
  <si>
    <t>080-6676-5077</t>
  </si>
  <si>
    <t>409-3841</t>
  </si>
  <si>
    <t>中央市</t>
  </si>
  <si>
    <t>布施 2361 ピアチェーレ II 101</t>
  </si>
  <si>
    <t>340-0056</t>
  </si>
  <si>
    <t>草加市</t>
  </si>
  <si>
    <t>新栄2丁目15-3。</t>
  </si>
  <si>
    <t>400-0043</t>
  </si>
  <si>
    <t>甲府市</t>
  </si>
  <si>
    <t>丁目3番40号ロイヤルヒル小林108</t>
  </si>
  <si>
    <t>308-0112</t>
  </si>
  <si>
    <t>筑西市</t>
  </si>
  <si>
    <t>藤ケ谷1615-7 ビレッジハウス関城1-107</t>
  </si>
  <si>
    <t>498-0014</t>
  </si>
  <si>
    <t>弥富市</t>
  </si>
  <si>
    <t>五明町築留1793-119</t>
  </si>
  <si>
    <t>421-0421</t>
  </si>
  <si>
    <t xml:space="preserve"> 牧之原市</t>
  </si>
  <si>
    <t>細江3203-1  アーク102</t>
  </si>
  <si>
    <t>612-8112</t>
  </si>
  <si>
    <t>京都府</t>
  </si>
  <si>
    <t>京都市伏見区</t>
  </si>
  <si>
    <t>向島本丸町16番地カストルム本丸301</t>
  </si>
  <si>
    <t>牧之原市</t>
  </si>
  <si>
    <t>332-0005</t>
  </si>
  <si>
    <t>川口市</t>
  </si>
  <si>
    <t>新井町18-8アネックス3501</t>
  </si>
  <si>
    <t>140-0013</t>
  </si>
  <si>
    <t>品川区</t>
  </si>
  <si>
    <t>南大井3-9-7メイツ品川南804号室</t>
  </si>
  <si>
    <t>080-9575-5210</t>
  </si>
  <si>
    <t>905-0422</t>
  </si>
  <si>
    <t>沖縄県</t>
  </si>
  <si>
    <t>国頭郡今帰仁村</t>
  </si>
  <si>
    <t>今帰仁村字崎山 1330-1 メゾンヒーロー　3-3号室</t>
  </si>
  <si>
    <t>652-0805</t>
  </si>
  <si>
    <t>神戸市兵庫区</t>
  </si>
  <si>
    <t>羽坂通3丁目7-4 リアライズ羽坂通303</t>
  </si>
  <si>
    <t>320-0826</t>
  </si>
  <si>
    <t>栃木県</t>
  </si>
  <si>
    <t>宇都宮市</t>
  </si>
  <si>
    <t>西原町3464-11</t>
  </si>
  <si>
    <t>658-0015</t>
  </si>
  <si>
    <t>神戸市東灘区</t>
  </si>
  <si>
    <t>神戸東灘区本山南町7-3市営本山第四住宅１-9０７号</t>
  </si>
  <si>
    <t>700-0063</t>
  </si>
  <si>
    <t>岡山県</t>
  </si>
  <si>
    <t>岡山市北区</t>
  </si>
  <si>
    <t>大安寺東町12-23-103 バイブリー・ヒル</t>
  </si>
  <si>
    <t>444-0423</t>
  </si>
  <si>
    <t xml:space="preserve"> 西尾市</t>
  </si>
  <si>
    <t>一色町一色間浜畑36番地2</t>
  </si>
  <si>
    <t>080-9094-5389</t>
  </si>
  <si>
    <t>833-0005</t>
  </si>
  <si>
    <t>福岡県</t>
  </si>
  <si>
    <t>筑後市</t>
  </si>
  <si>
    <t>大字長浜907番地1ジェネシスⅡ204号</t>
  </si>
  <si>
    <t>484-0868</t>
  </si>
  <si>
    <t>犬山市</t>
  </si>
  <si>
    <t>野94番地1   1棟209</t>
  </si>
  <si>
    <t>東北野94番地1   1棟209</t>
  </si>
  <si>
    <t>584-0024</t>
  </si>
  <si>
    <t>富田林市</t>
  </si>
  <si>
    <t>-富田林市-若松町1-9-５-１０１２</t>
  </si>
  <si>
    <t>341-0003</t>
  </si>
  <si>
    <t>三郷市</t>
  </si>
  <si>
    <t>彦成4-4-5-408</t>
  </si>
  <si>
    <t>208-0032</t>
  </si>
  <si>
    <t>武蔵村</t>
  </si>
  <si>
    <t>山市三ツ木1-18-１ホワイトヴィラB202</t>
  </si>
  <si>
    <t>421-0305</t>
  </si>
  <si>
    <t>榛原郡吉田町</t>
  </si>
  <si>
    <t>大幡1195-1グリーンハイツ306</t>
  </si>
  <si>
    <t>483-8044</t>
  </si>
  <si>
    <t>江南市</t>
  </si>
  <si>
    <t>〒 愛知県江南市宮後町砂場東301番地メゾン深山4A</t>
  </si>
  <si>
    <t>753-0861</t>
  </si>
  <si>
    <t>山口県</t>
  </si>
  <si>
    <t>山口市</t>
  </si>
  <si>
    <t>矢原1013-1 レオパレスミラクⅡ 209号室</t>
  </si>
  <si>
    <t>531-0071</t>
  </si>
  <si>
    <t>大阪市北区</t>
  </si>
  <si>
    <t>中津3丁目33-12三恵ガーデンハイツ 6A</t>
  </si>
  <si>
    <t>新松戸6-69 サンライトパストラル二番街A201</t>
  </si>
  <si>
    <t>985-0833</t>
  </si>
  <si>
    <t>宮城県</t>
  </si>
  <si>
    <t>多賀城市</t>
  </si>
  <si>
    <t>5番11号 シャンテ多賀城 201</t>
  </si>
  <si>
    <t>175-0082</t>
  </si>
  <si>
    <t xml:space="preserve"> 板橋区</t>
  </si>
  <si>
    <t>高島平7-12-1シャルム新高島平103(Mika バインミー Linh)</t>
  </si>
  <si>
    <t>板橋区</t>
  </si>
  <si>
    <t>高島7-12-1シャルム新高島平103</t>
  </si>
  <si>
    <t>496-0902</t>
  </si>
  <si>
    <t>愛西市</t>
  </si>
  <si>
    <t>須依町大正１５番地１コーポワルツＡ棟１０５号室</t>
  </si>
  <si>
    <t>990-0032</t>
  </si>
  <si>
    <t>山形県</t>
  </si>
  <si>
    <t>山形市</t>
  </si>
  <si>
    <t>小姓町3-8−506号ビルドサカイ</t>
  </si>
  <si>
    <t>464-0858</t>
  </si>
  <si>
    <t>名古屋市千種区</t>
  </si>
  <si>
    <t>千種</t>
  </si>
  <si>
    <t>470-0531</t>
  </si>
  <si>
    <t>豊田市</t>
  </si>
  <si>
    <t>小原町上平449-1</t>
  </si>
  <si>
    <t>387-0012</t>
  </si>
  <si>
    <t>長野県</t>
  </si>
  <si>
    <t>千曲市</t>
  </si>
  <si>
    <t>桜堂565-1パークタウン桜堂B棟107</t>
  </si>
  <si>
    <t>565-0853</t>
  </si>
  <si>
    <t>吹田市</t>
  </si>
  <si>
    <t>春日4-11-1 千里春日台UR団地1号棟101</t>
  </si>
  <si>
    <t>689-3424</t>
  </si>
  <si>
    <t>鳥取県</t>
  </si>
  <si>
    <t>米子市</t>
  </si>
  <si>
    <t>淀江町中間554番地1大山どり社宅A-4</t>
  </si>
  <si>
    <t>444-1331</t>
  </si>
  <si>
    <t>高浜市</t>
  </si>
  <si>
    <t>屋敷町2-1-31</t>
  </si>
  <si>
    <t>873-0512</t>
  </si>
  <si>
    <t>大分県</t>
  </si>
  <si>
    <t xml:space="preserve"> 国東市</t>
  </si>
  <si>
    <t>国東町治郎丸 248番地1 株式会社サンクローバ</t>
  </si>
  <si>
    <t>590-0063</t>
  </si>
  <si>
    <t>堺市堺区</t>
  </si>
  <si>
    <t>中安井町 1-4-1-605</t>
  </si>
  <si>
    <t>730-0853</t>
  </si>
  <si>
    <t>広島市中区</t>
  </si>
  <si>
    <t>堺町２丁目3-16沖ビル402</t>
  </si>
  <si>
    <t>536-0007</t>
  </si>
  <si>
    <t>大阪市城東区</t>
  </si>
  <si>
    <t>成育4丁目26番19ー503号</t>
  </si>
  <si>
    <t>070-9066-6886</t>
  </si>
  <si>
    <t>444-1313</t>
  </si>
  <si>
    <t>向山町5-5-140</t>
  </si>
  <si>
    <t>300-1514</t>
  </si>
  <si>
    <t>取手市</t>
  </si>
  <si>
    <t>宮和田445</t>
  </si>
  <si>
    <t>070-3999-6469</t>
  </si>
  <si>
    <t>444-1332</t>
  </si>
  <si>
    <t>湯山4-9-6ビレッジハウス高取2-104</t>
  </si>
  <si>
    <t>866-0885</t>
  </si>
  <si>
    <t>熊本県</t>
  </si>
  <si>
    <t>八代市</t>
  </si>
  <si>
    <t>永碇町854-1 宮本ハイツ 202号</t>
  </si>
  <si>
    <t>070 9229 4895</t>
  </si>
  <si>
    <t>468-0030</t>
  </si>
  <si>
    <t>名古屋市</t>
  </si>
  <si>
    <t>天白区平針台2-207</t>
  </si>
  <si>
    <t>277-0014</t>
  </si>
  <si>
    <t>柏市</t>
  </si>
  <si>
    <t>3丁目5番1号柏東ハイツ104号</t>
  </si>
  <si>
    <t>621-0011</t>
  </si>
  <si>
    <t>亀岡市</t>
  </si>
  <si>
    <t>大井町土田1丁目14番31号ダイヤモンドビスタ102</t>
  </si>
  <si>
    <t>108-0072</t>
  </si>
  <si>
    <t>港区</t>
  </si>
  <si>
    <t>白金3-17-17 IMPROVE 白金201</t>
  </si>
  <si>
    <t>252-0239</t>
  </si>
  <si>
    <t>相模原市中央区</t>
  </si>
  <si>
    <t>中央３丁目11番14号  ハグロビル 501</t>
  </si>
  <si>
    <t>194-0014</t>
  </si>
  <si>
    <t>町田市</t>
  </si>
  <si>
    <t>高ヶ坂3-37-C5-41</t>
  </si>
  <si>
    <t>398-0002</t>
  </si>
  <si>
    <t>大町市</t>
  </si>
  <si>
    <t>大町8044-1</t>
  </si>
  <si>
    <t>234-0056</t>
  </si>
  <si>
    <t>横浜市港南区</t>
  </si>
  <si>
    <t>野庭町777-1マイトリー204</t>
  </si>
  <si>
    <t>358-0031</t>
  </si>
  <si>
    <t>入間市</t>
  </si>
  <si>
    <t>61-4 リバーサイド B102号室</t>
  </si>
  <si>
    <t>527-0034</t>
  </si>
  <si>
    <t>東近江市</t>
  </si>
  <si>
    <t>目4番13号ハイツレタス弐番館１Ｃ号室</t>
  </si>
  <si>
    <t>370-0321</t>
  </si>
  <si>
    <t>太田市</t>
  </si>
  <si>
    <t>新田木崎町110ー1コーポ木崎201</t>
  </si>
  <si>
    <t>849-0921</t>
  </si>
  <si>
    <t>佐賀県</t>
  </si>
  <si>
    <t>佐賀市</t>
  </si>
  <si>
    <t>西3-6-25ラシエロA101</t>
  </si>
  <si>
    <t>174-0053</t>
  </si>
  <si>
    <t>清水町14-6シュガーハイム102</t>
  </si>
  <si>
    <t>411-0917</t>
  </si>
  <si>
    <t>駿東郡清水町</t>
  </si>
  <si>
    <t>徳倉995-3 メゾンリヴェール211</t>
  </si>
  <si>
    <t>511-0903</t>
  </si>
  <si>
    <t>8-7-131 大山田団地3棟408号</t>
  </si>
  <si>
    <t>950-0073</t>
  </si>
  <si>
    <t>新潟県</t>
  </si>
  <si>
    <t>新潟市中央区</t>
  </si>
  <si>
    <t>日の出３－５－３レオパレスＣｏｓｍｏｓ202</t>
  </si>
  <si>
    <t>275-0002</t>
  </si>
  <si>
    <t>習志野市</t>
  </si>
  <si>
    <t>実籾2町14番6-105</t>
  </si>
  <si>
    <t>510-0106</t>
  </si>
  <si>
    <t>四日市市</t>
  </si>
  <si>
    <t>楠町本郷1360-12</t>
  </si>
  <si>
    <t>080-2545-5271</t>
  </si>
  <si>
    <t>252-0804</t>
  </si>
  <si>
    <t>蕨沢市6丁目26-11ラベンダー湘南Ⅲ 206</t>
  </si>
  <si>
    <t>277-0015</t>
  </si>
  <si>
    <t>弥生町3-17エクセランスビレッジA101</t>
  </si>
  <si>
    <t>154-0003</t>
  </si>
  <si>
    <t>世田谷区</t>
  </si>
  <si>
    <t>14-8ストークハウス三軒茶屋 206号室</t>
  </si>
  <si>
    <t>485-0041</t>
  </si>
  <si>
    <t>小牧市</t>
  </si>
  <si>
    <t>牧3522 ビレッジハウス山北宿舎 4棟206号</t>
  </si>
  <si>
    <t>230-0034</t>
  </si>
  <si>
    <t>横浜市鶴見区</t>
  </si>
  <si>
    <t>寛政町27番13号ユナイトステージ KANSEI サフサイド201</t>
  </si>
  <si>
    <t>276-0046</t>
  </si>
  <si>
    <t>八千代市</t>
  </si>
  <si>
    <t>田15高津団地7-1-501</t>
  </si>
  <si>
    <t>070 9197 5868</t>
  </si>
  <si>
    <t>340-0032</t>
  </si>
  <si>
    <t>遊馬町532－1第三ヒカリコーポ203号</t>
  </si>
  <si>
    <t>335-0004</t>
  </si>
  <si>
    <t>蕨市</t>
  </si>
  <si>
    <t>2-8-33ワラビスカイハイツ208号</t>
  </si>
  <si>
    <t>444-0827</t>
  </si>
  <si>
    <t>岡崎市</t>
  </si>
  <si>
    <t>針崎町字東カンジ30-1オーキッドマンション 703</t>
  </si>
  <si>
    <t>274-0814</t>
  </si>
  <si>
    <t>船橋市</t>
  </si>
  <si>
    <t>3-15-5MK ハイム1-102</t>
  </si>
  <si>
    <t>920-0353</t>
  </si>
  <si>
    <t>石川県</t>
  </si>
  <si>
    <t>金沢市</t>
  </si>
  <si>
    <t>赤土町ワ65-4</t>
  </si>
  <si>
    <t>679-2203</t>
  </si>
  <si>
    <t>神崎郡福崎町</t>
  </si>
  <si>
    <t>南田原2716-2ノールノーヴァ　202</t>
  </si>
  <si>
    <t>657-0833</t>
  </si>
  <si>
    <t>神戸市灘区</t>
  </si>
  <si>
    <t>大内通3-2-12-202号</t>
  </si>
  <si>
    <t>417-0809</t>
  </si>
  <si>
    <t>富士市</t>
  </si>
  <si>
    <t>84-１富士ガーデンヒルズ 203 号室</t>
  </si>
  <si>
    <t>343-0838</t>
  </si>
  <si>
    <t>📮 埼玉県越谷市蒲生3-7-33コーポウエタケⅡ202 お名前　TRỊNH TÌNH</t>
  </si>
  <si>
    <t>992-1127</t>
  </si>
  <si>
    <t>米沢市</t>
  </si>
  <si>
    <t>万世町牛森4178-4　ビレッジハウス八幡原2- 205</t>
  </si>
  <si>
    <t>485-0012</t>
  </si>
  <si>
    <t>新田鷹の橋687番地クレストサンライズ302号</t>
  </si>
  <si>
    <t>195-0054</t>
  </si>
  <si>
    <t>三輪町245-1-301</t>
  </si>
  <si>
    <t>300-0873</t>
  </si>
  <si>
    <t>荒川沖224−80</t>
  </si>
  <si>
    <t>556-0022</t>
  </si>
  <si>
    <t>大阪市浪速区</t>
  </si>
  <si>
    <t>桜川3-1-5-  903</t>
  </si>
  <si>
    <t>544-0001</t>
  </si>
  <si>
    <t>大阪市生野区</t>
  </si>
  <si>
    <t>新今里4-11-23ハイツコスモス203号</t>
  </si>
  <si>
    <t>653-0041</t>
  </si>
  <si>
    <t>神戸市長田区</t>
  </si>
  <si>
    <t>久保町２－３－１３－３</t>
  </si>
  <si>
    <t>359-1167</t>
  </si>
  <si>
    <t>所沢市</t>
  </si>
  <si>
    <t>林3丁目522. 番地の1 グリーンハイツ B-102</t>
  </si>
  <si>
    <t>752-0928</t>
  </si>
  <si>
    <t>下関市</t>
  </si>
  <si>
    <t>長府才川1-25-17</t>
  </si>
  <si>
    <t>812-0053</t>
  </si>
  <si>
    <t>福岡市東区</t>
  </si>
  <si>
    <t>箱崎3丁目11-20 ダイナコート箱崎Ⅱ 602号</t>
  </si>
  <si>
    <t>288-0063</t>
  </si>
  <si>
    <t>銚子市</t>
  </si>
  <si>
    <t>清水町3178の6</t>
  </si>
  <si>
    <t>433-8121</t>
  </si>
  <si>
    <t>浜松市中央区</t>
  </si>
  <si>
    <t>萩丘2ー27ー10ビバリーハウス萩丘D113</t>
  </si>
  <si>
    <t>866-0092</t>
  </si>
  <si>
    <t>八代市郡築十一番町</t>
  </si>
  <si>
    <t>115-2</t>
  </si>
  <si>
    <t>144-0034</t>
  </si>
  <si>
    <t>大田区</t>
  </si>
  <si>
    <t>西糀谷4-22-6いよやハイム205</t>
  </si>
  <si>
    <t>341-0044</t>
  </si>
  <si>
    <t>〒  埼玉県三郷市戸ヶ崎2丁目57-1 NTハイム三郷601号</t>
  </si>
  <si>
    <t>355-0025</t>
  </si>
  <si>
    <t>東松山市</t>
  </si>
  <si>
    <t>幸町15-5レオパレスフェリチタ208号室</t>
  </si>
  <si>
    <t>496-0044</t>
  </si>
  <si>
    <t>津島市</t>
  </si>
  <si>
    <t>立込町2-1-2</t>
  </si>
  <si>
    <t>441-8019</t>
  </si>
  <si>
    <t>豊橋市</t>
  </si>
  <si>
    <t>花田町字中ノ坪127ベラビスタ花田B202号</t>
  </si>
  <si>
    <t>万世町牛森4178-4ビレッジハウス八幡原1-201</t>
  </si>
  <si>
    <t>899-6507</t>
  </si>
  <si>
    <t>鹿児島県</t>
  </si>
  <si>
    <t>霧島市</t>
  </si>
  <si>
    <t>牧園町宿窪田2647株式会社高山産業まきぞの社員寮</t>
  </si>
  <si>
    <t>621-0016</t>
  </si>
  <si>
    <t>大井町南金岐清水16-3</t>
  </si>
  <si>
    <t>792-0842</t>
  </si>
  <si>
    <t>愛媛県</t>
  </si>
  <si>
    <t>新居浜市</t>
  </si>
  <si>
    <t>北内町1丁目1番41号マルサンスカイA201号</t>
  </si>
  <si>
    <t>885-0034</t>
  </si>
  <si>
    <t>宮崎県</t>
  </si>
  <si>
    <t>都城市</t>
  </si>
  <si>
    <t>菖蒲原15番地5サンライズマツダl202号</t>
  </si>
  <si>
    <t>558-0022</t>
  </si>
  <si>
    <t>大阪市住吉区</t>
  </si>
  <si>
    <t>杉本2-26-32 メゾン杉本 208</t>
  </si>
  <si>
    <t>270-0035</t>
  </si>
  <si>
    <t>新松戸南1丁目13シャトリエ新松戸206号</t>
  </si>
  <si>
    <t>120-0005</t>
  </si>
  <si>
    <t>綾瀬３－２１－１０ロイヤルハイツ　１０２</t>
  </si>
  <si>
    <t>383-0021</t>
  </si>
  <si>
    <t>中野市</t>
  </si>
  <si>
    <t>西1-2-10</t>
  </si>
  <si>
    <t>526-0845</t>
  </si>
  <si>
    <t>長浜市</t>
  </si>
  <si>
    <t>小堀町66ビレッジハウス小堀1号棟-305</t>
  </si>
  <si>
    <t>557-0014</t>
  </si>
  <si>
    <t>大阪市西成区</t>
  </si>
  <si>
    <t>〒 大阪府大阪市西成区天下茶屋１丁目24-4 FDS ARTE 202号</t>
  </si>
  <si>
    <t>490-1105</t>
  </si>
  <si>
    <t>あま市</t>
  </si>
  <si>
    <t>新居屋八島107レ。ウィッテルB202号</t>
  </si>
  <si>
    <t>933-0953</t>
  </si>
  <si>
    <t>富山県</t>
  </si>
  <si>
    <t>高岡市</t>
  </si>
  <si>
    <t>〒 富山県高岡市横田419番地1レオパレヴィル下窪112号</t>
  </si>
  <si>
    <t>671-2522</t>
  </si>
  <si>
    <t>宍粟市</t>
  </si>
  <si>
    <t>山崎町杉ケ瀬229-5</t>
  </si>
  <si>
    <t>716-1321</t>
  </si>
  <si>
    <t>高梁市</t>
  </si>
  <si>
    <t>有漢町有漢2555</t>
  </si>
  <si>
    <t>432-8021</t>
  </si>
  <si>
    <t>佐鳴台3丁目61番 佐鳴湖団地B2-118号</t>
  </si>
  <si>
    <t>070 9132 2598</t>
  </si>
  <si>
    <t>252-0003</t>
  </si>
  <si>
    <t>座間市</t>
  </si>
  <si>
    <t>ひばりが丘3丁目34-23 サンヒルズ101</t>
  </si>
  <si>
    <t>123-0865</t>
  </si>
  <si>
    <t>新田1-11-３</t>
  </si>
  <si>
    <t>天下茶屋2-7-1</t>
  </si>
  <si>
    <t>582-0025</t>
  </si>
  <si>
    <t>柏原市</t>
  </si>
  <si>
    <t>国分西2-5-41, 205号室</t>
  </si>
  <si>
    <t>556-0011</t>
  </si>
  <si>
    <t>難波中一丁目16-11-201</t>
  </si>
  <si>
    <t>高島平2-33-5-101</t>
  </si>
  <si>
    <t>323-0811</t>
  </si>
  <si>
    <t>小山市</t>
  </si>
  <si>
    <t>犬塚8-7-8パセオハピネス ２２3号室</t>
  </si>
  <si>
    <t>340-0023</t>
  </si>
  <si>
    <t>谷塚町1080-1リファンレンス谷塚105号</t>
  </si>
  <si>
    <t>231-0843</t>
  </si>
  <si>
    <t>横浜市中区</t>
  </si>
  <si>
    <t>本郷町3丁目209グリンヒル山手203号</t>
  </si>
  <si>
    <t>459-8001</t>
  </si>
  <si>
    <t>名古屋市緑区</t>
  </si>
  <si>
    <t>大高町字追風46番地の3</t>
  </si>
  <si>
    <t>370-1201</t>
  </si>
  <si>
    <t>高崎市</t>
  </si>
  <si>
    <t>倉賀野町101番地ローズパレス201号</t>
  </si>
  <si>
    <t>555-0024</t>
  </si>
  <si>
    <t>野里2-9-9スタンドアップ野里704号室</t>
  </si>
  <si>
    <t>557-0063</t>
  </si>
  <si>
    <t>南津守3ー1ー76ー208</t>
  </si>
  <si>
    <t>739-1754</t>
  </si>
  <si>
    <t>広島市安佐北区</t>
  </si>
  <si>
    <t>小河原町133-2セレーノd201</t>
  </si>
  <si>
    <t>290-0003</t>
  </si>
  <si>
    <t>市原市</t>
  </si>
  <si>
    <t>辰巳台東4-10 ビレッジハウス市原 4号棟202</t>
  </si>
  <si>
    <t>347-0016</t>
  </si>
  <si>
    <t>加須市</t>
  </si>
  <si>
    <t>花崎北1-9-6</t>
  </si>
  <si>
    <t>443-0046</t>
  </si>
  <si>
    <t>蒲郡市</t>
  </si>
  <si>
    <t>、蒲郡市、竹谷町前 浜9番地1レオパレス前浜 204</t>
  </si>
  <si>
    <t>684-0046</t>
  </si>
  <si>
    <t>境港市</t>
  </si>
  <si>
    <t>竹内町62番地</t>
  </si>
  <si>
    <t>471-0838</t>
  </si>
  <si>
    <t>緑ヶ丘２－２９－１ハイツグリーンヒルズ205</t>
  </si>
  <si>
    <t>532-0003</t>
  </si>
  <si>
    <t>〒 大阪府 大阪市淀川区宮原 ２丁目１２－２３ シティライフ新大阪　７０７</t>
  </si>
  <si>
    <t>263-0003</t>
  </si>
  <si>
    <t>千葉市稲毛区</t>
  </si>
  <si>
    <t>小深町256-7レオパレスサン ライズIII107号室</t>
  </si>
  <si>
    <t>024-0062</t>
  </si>
  <si>
    <t>岩手県</t>
  </si>
  <si>
    <t>北上市</t>
  </si>
  <si>
    <t>鍛冶町1-5-36</t>
  </si>
  <si>
    <t>531-0062</t>
  </si>
  <si>
    <t>長柄中1丁目5番7-504号(Maison de Semailles)</t>
  </si>
  <si>
    <t>070 9185 2952</t>
  </si>
  <si>
    <t>329-1233</t>
  </si>
  <si>
    <t>塩谷郡高根沢町</t>
  </si>
  <si>
    <t>宝積寺1375-13 サンライフタウン E105</t>
  </si>
  <si>
    <t>御供田5-2-1 サンライズ23 307号室</t>
  </si>
  <si>
    <t>340-0806</t>
  </si>
  <si>
    <t>八潮市</t>
  </si>
  <si>
    <t>伊草377伊草団地2-306</t>
  </si>
  <si>
    <t>080 7343 5312</t>
  </si>
  <si>
    <t>300-2334</t>
  </si>
  <si>
    <t>つくばみらい市</t>
  </si>
  <si>
    <t>中平柳1093ルネッサンス伊奈102号室</t>
  </si>
  <si>
    <t>584-0071</t>
  </si>
  <si>
    <t>藤沢台4丁目8番5号　シャト-ドイワネ19号(205)</t>
  </si>
  <si>
    <t>080-5995-9627</t>
  </si>
  <si>
    <t>599-8241</t>
  </si>
  <si>
    <t>堺市中区</t>
  </si>
  <si>
    <t>福田925-1</t>
  </si>
  <si>
    <t>243-0023</t>
  </si>
  <si>
    <t>厚木市</t>
  </si>
  <si>
    <t>戸田501-1クレスト大貫201</t>
  </si>
  <si>
    <t>252-0137</t>
  </si>
  <si>
    <t>相模原市緑区</t>
  </si>
  <si>
    <t>二本松1丁目7-7コスモパルⅡ 201号</t>
  </si>
  <si>
    <t>080-8867-0261</t>
  </si>
  <si>
    <t>252-0253</t>
  </si>
  <si>
    <t>南橋本2丁目6-16</t>
  </si>
  <si>
    <t>070-8515-6886</t>
  </si>
  <si>
    <t>252-0318</t>
  </si>
  <si>
    <t>相模原市南区</t>
  </si>
  <si>
    <t>上鶴間本町3-18-27  グローリア初穂町田606</t>
  </si>
  <si>
    <t>675-2312</t>
  </si>
  <si>
    <t>加西市</t>
  </si>
  <si>
    <t>北条町北条273-3ビレッジハウス北条第三２ー１０３</t>
  </si>
  <si>
    <t>494-0011</t>
  </si>
  <si>
    <t>一宮市</t>
  </si>
  <si>
    <t>西萩原字神明前2ビレッジハウス西萩原1号 206</t>
  </si>
  <si>
    <t>321-4537</t>
  </si>
  <si>
    <t>真岡市</t>
  </si>
  <si>
    <t>西大島208番地</t>
  </si>
  <si>
    <t>270-1405</t>
  </si>
  <si>
    <t>白井市</t>
  </si>
  <si>
    <t>富塚７３１−１ ブロードシティB202</t>
  </si>
  <si>
    <t>367-0245</t>
  </si>
  <si>
    <t>児玉郡神川町</t>
  </si>
  <si>
    <t>植竹649-3</t>
  </si>
  <si>
    <t>高島平1ー33ー13マンションマコー201</t>
  </si>
  <si>
    <t>830-0403</t>
  </si>
  <si>
    <t>三潴郡大木町</t>
  </si>
  <si>
    <t>大字大角616-1大角グリーンコーポ22号</t>
  </si>
  <si>
    <t>012-0033</t>
  </si>
  <si>
    <t>秋田県</t>
  </si>
  <si>
    <t>湯沢市</t>
  </si>
  <si>
    <t>清水町5丁目9-1ビレッジハウス清水1-503</t>
  </si>
  <si>
    <t>273-0044</t>
  </si>
  <si>
    <t>行田3丁目1番14棟808号</t>
  </si>
  <si>
    <t>262-0046</t>
  </si>
  <si>
    <t>千葉市花見川区</t>
  </si>
  <si>
    <t>花見川9-6-309号室</t>
  </si>
  <si>
    <t>070 8431 1369</t>
  </si>
  <si>
    <t>670-0811</t>
  </si>
  <si>
    <t>姫路市</t>
  </si>
  <si>
    <t>野里147 姫路野里鉄筋2号棟302号室</t>
  </si>
  <si>
    <t>彦成3丁目12番9-40-5号</t>
  </si>
  <si>
    <t>新松戸南１丁目４３7−３</t>
  </si>
  <si>
    <t>308-0838</t>
  </si>
  <si>
    <t>榎生1-19-9メゾンジョリスB102号室</t>
  </si>
  <si>
    <t>332-0021</t>
  </si>
  <si>
    <t>西川口1-9-14ベルタウン4f</t>
  </si>
  <si>
    <t>125-0061</t>
  </si>
  <si>
    <t>葛飾区</t>
  </si>
  <si>
    <t>亀有3ー42ー7桜コート105</t>
  </si>
  <si>
    <t>273-0023</t>
  </si>
  <si>
    <t>南海神1丁目2-10ハイツかどや202号</t>
  </si>
  <si>
    <t>039-4142</t>
  </si>
  <si>
    <t>青森県</t>
  </si>
  <si>
    <t>上北郡横浜町</t>
  </si>
  <si>
    <t>上北郡橫浜町字上イタヤノ木433番地3日本ホワイトファーム㈱第3実習生寮.</t>
  </si>
  <si>
    <t>572-0011</t>
  </si>
  <si>
    <t>寝屋川市</t>
  </si>
  <si>
    <t>明徳2丁目 9 第C14号棟 402</t>
  </si>
  <si>
    <t>176-0002</t>
  </si>
  <si>
    <t>練馬区</t>
  </si>
  <si>
    <t>桜台2-11-7 コウベルエール102</t>
  </si>
  <si>
    <t>174-0074</t>
  </si>
  <si>
    <t>東新町２丁目３４−２アドレッセンス51 - 102</t>
  </si>
  <si>
    <t>250-0407</t>
  </si>
  <si>
    <t>足柄下郡箱根町</t>
  </si>
  <si>
    <t>二ノ平 １２９７B&amp;Bパンシオン箱根5108 号室(フロント置き場)</t>
  </si>
  <si>
    <t>362-0001</t>
  </si>
  <si>
    <t>上尾市</t>
  </si>
  <si>
    <t>上1757-8</t>
  </si>
  <si>
    <t>289-2306</t>
  </si>
  <si>
    <t>香取郡多古町</t>
  </si>
  <si>
    <t>十余三384ー104ライトハイツ3号棟101</t>
  </si>
  <si>
    <t>230-0052</t>
  </si>
  <si>
    <t>生麦1丁目4-3プラーズ生麦ll２０１</t>
  </si>
  <si>
    <t>424-0006</t>
  </si>
  <si>
    <t>静岡市清水区</t>
  </si>
  <si>
    <t>石川本町17-10-108号</t>
  </si>
  <si>
    <t>335-0003</t>
  </si>
  <si>
    <t>南町1-19-2（ブランノーヴァ蕨Ⅱ101号）</t>
  </si>
  <si>
    <t>511-1137</t>
  </si>
  <si>
    <t>長島町福吉484番地2ハピネス千代11棟102号</t>
  </si>
  <si>
    <t>570-0044</t>
  </si>
  <si>
    <t>守口市</t>
  </si>
  <si>
    <t>南寺方南通3-12-2-101</t>
  </si>
  <si>
    <t>259-0122</t>
  </si>
  <si>
    <t>中郡二宮町</t>
  </si>
  <si>
    <t>富士見が丘2-19-23里山方</t>
  </si>
  <si>
    <t>大和田1丁目4-10アーバンハイツ大和田2 301号</t>
  </si>
  <si>
    <t>478-0043</t>
  </si>
  <si>
    <t>知多市</t>
  </si>
  <si>
    <t>日長台387番地 (G -305)</t>
  </si>
  <si>
    <t>273-0028</t>
  </si>
  <si>
    <t>海神町東1-1015-1大多喜荘101号</t>
  </si>
  <si>
    <t>534-0023</t>
  </si>
  <si>
    <t>大阪市都島区</t>
  </si>
  <si>
    <t>都島南通２丁目１３−11</t>
  </si>
  <si>
    <t>340-0048</t>
  </si>
  <si>
    <t>埼玉県草加市原町2丁目3-7-26</t>
  </si>
  <si>
    <t>197-0011</t>
  </si>
  <si>
    <t>福生市</t>
  </si>
  <si>
    <t>福生2440-28</t>
  </si>
  <si>
    <t>660-0803</t>
  </si>
  <si>
    <t>長洲本通1-7-6-203</t>
  </si>
  <si>
    <t>335-0023</t>
  </si>
  <si>
    <t>戸田市</t>
  </si>
  <si>
    <t>本町5丁目7番14号(グレートMt302号室)</t>
  </si>
  <si>
    <t>144-0051</t>
  </si>
  <si>
    <t>西蒲田8-15吉池ビル404</t>
  </si>
  <si>
    <t>東三国１－３３－８にんにくラーメン幸ちゃん</t>
  </si>
  <si>
    <t>503-0651</t>
  </si>
  <si>
    <t>海津市</t>
  </si>
  <si>
    <t>海津町平原82番地14</t>
  </si>
  <si>
    <t>599-8107</t>
  </si>
  <si>
    <t>堺市東区</t>
  </si>
  <si>
    <t>白鷺町1-25-21-１０２</t>
  </si>
  <si>
    <t>334-0063</t>
  </si>
  <si>
    <t>東本郷567-99</t>
  </si>
  <si>
    <t>080-8867-5968</t>
  </si>
  <si>
    <t>447-0056</t>
  </si>
  <si>
    <t>碧南市</t>
  </si>
  <si>
    <t>千福町5丁目32番地</t>
  </si>
  <si>
    <t>169-0074</t>
  </si>
  <si>
    <t>新宿区</t>
  </si>
  <si>
    <t>北新宿3丁目ー22パイロットハウス３０３号</t>
  </si>
  <si>
    <t>819-1561</t>
  </si>
  <si>
    <t>糸島市</t>
  </si>
  <si>
    <t>曽根492－11</t>
  </si>
  <si>
    <t>273-0031</t>
  </si>
  <si>
    <t>西船7-4-30田中荘1号</t>
  </si>
  <si>
    <t>篠ケ瀬町1388-2 コーポ浜金I 103</t>
  </si>
  <si>
    <t>294-0051</t>
  </si>
  <si>
    <t>館山市</t>
  </si>
  <si>
    <t>正木２８１番地の１サンイーストハウス１０3</t>
  </si>
  <si>
    <t>893-1602</t>
  </si>
  <si>
    <t>鹿屋市</t>
  </si>
  <si>
    <t>串良町有里8438番地1-4号棟</t>
  </si>
  <si>
    <t>911-0013</t>
  </si>
  <si>
    <t>福井県</t>
  </si>
  <si>
    <t>勝山市</t>
  </si>
  <si>
    <t>野向町深谷第27号3番地</t>
  </si>
  <si>
    <t>080 4587 8952</t>
  </si>
  <si>
    <t>新松戸4-272サンライトパストラル六番街D棟603</t>
  </si>
  <si>
    <t>270-1349</t>
  </si>
  <si>
    <t>印西市</t>
  </si>
  <si>
    <t>戸神台 1-18-2 Verena City Front Villa 803</t>
  </si>
  <si>
    <t>070 2827 2585</t>
  </si>
  <si>
    <t>116-0014</t>
  </si>
  <si>
    <t>荒川区</t>
  </si>
  <si>
    <t>東日暮里5-8-3-205</t>
  </si>
  <si>
    <t>350-1159</t>
  </si>
  <si>
    <t>川越市</t>
  </si>
  <si>
    <t>中台3-1-17 ビレッジハウス今福1-209</t>
  </si>
  <si>
    <t>555-0034</t>
  </si>
  <si>
    <t>福町2-27-1-102</t>
  </si>
  <si>
    <t>175-0092</t>
  </si>
  <si>
    <t>赤塚2-24-13 lilycolor 203</t>
  </si>
  <si>
    <t>彦成4丁目 4-5-408</t>
  </si>
  <si>
    <t>285-0815</t>
  </si>
  <si>
    <t>佐倉市</t>
  </si>
  <si>
    <t>城681-2レイール ファミリア324号</t>
  </si>
  <si>
    <t>558-0046</t>
  </si>
  <si>
    <t>上住吉11-12-17-1C</t>
  </si>
  <si>
    <t>922-0436</t>
  </si>
  <si>
    <t>加賀市</t>
  </si>
  <si>
    <t>松が丘3丁目25番地3ｾｼﾞｭｰﾙﾎﾟﾛｱⅡ101号室</t>
  </si>
  <si>
    <t>730-0834</t>
  </si>
  <si>
    <t>江波二本松2丁目3番20-2号</t>
  </si>
  <si>
    <t>080-4772-7922</t>
  </si>
  <si>
    <t>510-8112</t>
  </si>
  <si>
    <t>三重郡川越町</t>
  </si>
  <si>
    <t>三重番地郡川越町大字亀須新田 102 前田運送(株) 川越亀須社員寮</t>
  </si>
  <si>
    <t>350-1143</t>
  </si>
  <si>
    <t>藤原町３－１ヒルズ藤原108号室</t>
  </si>
  <si>
    <t>454-0997</t>
  </si>
  <si>
    <t>名古屋市中川区</t>
  </si>
  <si>
    <t>万場四丁目102番地ジュリアン103号</t>
  </si>
  <si>
    <t>843-0022</t>
  </si>
  <si>
    <t>武雄市</t>
  </si>
  <si>
    <t>武雄町武雄5819ベルメゾン武雄1102</t>
  </si>
  <si>
    <t>409-0112</t>
  </si>
  <si>
    <t>上野原市</t>
  </si>
  <si>
    <t>上野原1870-1 ピュアプリンスⅧ-105</t>
  </si>
  <si>
    <t>223-0066</t>
  </si>
  <si>
    <t>横浜市港北区</t>
  </si>
  <si>
    <t>:神奈川県横浜市港北区高田西2-18-19 レオパレス グッドフォーチュン 209号</t>
  </si>
  <si>
    <t>356-0026</t>
  </si>
  <si>
    <t>ふじみ野市</t>
  </si>
  <si>
    <t>築地 3-4-7オランジュ·アムール 202</t>
  </si>
  <si>
    <t>273-0013</t>
  </si>
  <si>
    <t>若松2丁目7-9-402号室</t>
  </si>
  <si>
    <t>089-2261</t>
  </si>
  <si>
    <t>広尾郡大樹町</t>
  </si>
  <si>
    <t>字尾田366-4 ノーザンAP203号室</t>
  </si>
  <si>
    <t>452-0914</t>
  </si>
  <si>
    <t>清須市</t>
  </si>
  <si>
    <t>土器野842番地</t>
  </si>
  <si>
    <t>427-0104</t>
  </si>
  <si>
    <t>島田市</t>
  </si>
  <si>
    <t>井口956-1ビレッジハウス船木2-102</t>
  </si>
  <si>
    <t>963-8071</t>
  </si>
  <si>
    <t>福島県</t>
  </si>
  <si>
    <t>郡山市</t>
  </si>
  <si>
    <t>富久山町久保田大原１２３－１市営住宅３－２２</t>
  </si>
  <si>
    <t>275-0016</t>
  </si>
  <si>
    <t>津田沼3丁目13-2-207</t>
  </si>
  <si>
    <t>481-0004</t>
  </si>
  <si>
    <t>北名古屋市</t>
  </si>
  <si>
    <t>鹿田坂巻18-5</t>
  </si>
  <si>
    <t>419-0205</t>
  </si>
  <si>
    <t>天間1793番地の2ビレッジハワス天間1-107号 グエンメン</t>
  </si>
  <si>
    <t>991-0063</t>
  </si>
  <si>
    <t>寒河江市</t>
  </si>
  <si>
    <t>大字柴橋3376  チェリーハイツ   205</t>
  </si>
  <si>
    <t>723-0016</t>
  </si>
  <si>
    <t>三原市</t>
  </si>
  <si>
    <t>宮沖5丁目8番2-108号</t>
  </si>
  <si>
    <t>303-0046</t>
  </si>
  <si>
    <t>常総市</t>
  </si>
  <si>
    <t>内守谷町きぬの里三丁目25番地4グランドールきぬの里103号</t>
  </si>
  <si>
    <t>277-0851</t>
  </si>
  <si>
    <t>向原町2-10ロイヤルコート101号</t>
  </si>
  <si>
    <t>生麦5丁目15-3 プラーズ花月園 603号</t>
  </si>
  <si>
    <t>070-8550-5233</t>
  </si>
  <si>
    <t>661-0953</t>
  </si>
  <si>
    <t>東園田町3-77-6篠原ハイツ301</t>
  </si>
  <si>
    <t>039-1101</t>
  </si>
  <si>
    <t>八戸市</t>
  </si>
  <si>
    <t>尻内町家口田5番地15国見ハイツ1号室</t>
  </si>
  <si>
    <t>501-6257</t>
  </si>
  <si>
    <t>羽島市</t>
  </si>
  <si>
    <t>福寿町平方1147-1タウニN02-201</t>
  </si>
  <si>
    <t>498-0017</t>
  </si>
  <si>
    <t>前ケ須町午新田６１１番地第３佐藤ビル382号室</t>
  </si>
  <si>
    <t>090-3723-0785</t>
  </si>
  <si>
    <t>279-0041</t>
  </si>
  <si>
    <t>浦安市</t>
  </si>
  <si>
    <t>堀江４丁目25番9号トミーハイツ302</t>
  </si>
  <si>
    <t>134-0083</t>
  </si>
  <si>
    <t>中葛西3-30-19ハイツ須賀203号</t>
  </si>
  <si>
    <t>301-0853</t>
  </si>
  <si>
    <t>龍ケ崎市</t>
  </si>
  <si>
    <t>龍ヶ崎市松ヶ丘４丁目　5ー２ カサ．アイレーネ　A ２０１</t>
  </si>
  <si>
    <t>城南4-10-33エストレージャ湘南216</t>
  </si>
  <si>
    <t>〒  埼玉県北本市下石戸下561レオネクスト下久保，113号</t>
  </si>
  <si>
    <t>505-0041</t>
  </si>
  <si>
    <t>美濃加茂市</t>
  </si>
  <si>
    <t>太田町1808番地2則竹井ノ上アパート2／２０５号室</t>
  </si>
  <si>
    <t>377-1711</t>
  </si>
  <si>
    <t>吾妻郡草津町</t>
  </si>
  <si>
    <t>草津462-73田村マンション1-505</t>
  </si>
  <si>
    <t>Hồng Hạnh 1</t>
  </si>
  <si>
    <t>東本郷1712-5</t>
  </si>
  <si>
    <t>551-0002</t>
  </si>
  <si>
    <t>大阪市大正区</t>
  </si>
  <si>
    <t>三軒家東1 丁目12 番 １９-502号 スワンズシティ大坂WEST</t>
  </si>
  <si>
    <t>335-0013</t>
  </si>
  <si>
    <t>喜沢1-31-1パークハイツキザワ202</t>
  </si>
  <si>
    <t>410-3302</t>
  </si>
  <si>
    <t>伊豆市</t>
  </si>
  <si>
    <t>土肥2914-6新海花亭いずみ</t>
  </si>
  <si>
    <t>660-0055</t>
  </si>
  <si>
    <t>稲葉元町2丁目16-8</t>
  </si>
  <si>
    <t>144-0045</t>
  </si>
  <si>
    <t>南六郷2-23-15ブランドールネオ305</t>
  </si>
  <si>
    <t>細江 1104-1 Gaden Hiru 105</t>
  </si>
  <si>
    <t>959-1824</t>
  </si>
  <si>
    <t>五泉市</t>
  </si>
  <si>
    <t>吉沢2-2-3</t>
  </si>
  <si>
    <t>482-0002</t>
  </si>
  <si>
    <t>岩倉市</t>
  </si>
  <si>
    <t>大市場町郷廻３２７レオパレスロタシオン104号室</t>
  </si>
  <si>
    <t>769-0209</t>
  </si>
  <si>
    <t>香川県</t>
  </si>
  <si>
    <t>綾歌郡宇多津町</t>
  </si>
  <si>
    <t>浜九番丁139-4セザ-ルハイツB201</t>
  </si>
  <si>
    <t>253-0111</t>
  </si>
  <si>
    <t>高座郡寒川町</t>
  </si>
  <si>
    <t>神奈川高座郡寒川一之宮2-23-11 403</t>
  </si>
  <si>
    <t>166-0003</t>
  </si>
  <si>
    <t>高円寺南5-15-12シ-ボニアマンション103</t>
  </si>
  <si>
    <t>115-0056</t>
  </si>
  <si>
    <t>北区</t>
  </si>
  <si>
    <t>西が丘1-34-11レオパレス赤羽part 1 104号</t>
  </si>
  <si>
    <t>403-0032</t>
  </si>
  <si>
    <t>富士吉田市</t>
  </si>
  <si>
    <t>上吉田東1-11-7 ハイツマルショウベスト101</t>
  </si>
  <si>
    <t>673-1421</t>
  </si>
  <si>
    <t>加東市</t>
  </si>
  <si>
    <t>山国2006-13-2-階 236号室</t>
  </si>
  <si>
    <t>067-0064</t>
  </si>
  <si>
    <t>江別市</t>
  </si>
  <si>
    <t>上江別427-5ビレッジハウス2号棟408号室</t>
  </si>
  <si>
    <t>252-0321</t>
  </si>
  <si>
    <t>相模台7-40-２コーポNS202</t>
  </si>
  <si>
    <t>339-0067</t>
  </si>
  <si>
    <t>さいたま市岩槻区</t>
  </si>
  <si>
    <t>西町5丁目6番 5号レオパレス ẞ11 |</t>
  </si>
  <si>
    <t>340-0154</t>
  </si>
  <si>
    <t>幸手市</t>
  </si>
  <si>
    <t>栄4番10-409</t>
  </si>
  <si>
    <t>093-0216</t>
  </si>
  <si>
    <t>北見市</t>
  </si>
  <si>
    <t>常呂町栄浦185-12-201</t>
  </si>
  <si>
    <t>341-0035</t>
  </si>
  <si>
    <t>鷹野3丁118-8</t>
  </si>
  <si>
    <t>090 4077 2762</t>
  </si>
  <si>
    <t>709-2121</t>
  </si>
  <si>
    <t>御津宇垣１７１９</t>
  </si>
  <si>
    <t>高塚町１丁目52ビゥーテラス202号室</t>
  </si>
  <si>
    <t>555-0025</t>
  </si>
  <si>
    <t>姫里1丁目 16-10  201号</t>
  </si>
  <si>
    <t>455-0021</t>
  </si>
  <si>
    <t>名古屋市港区</t>
  </si>
  <si>
    <t>木場町８−１１木場東住宅５０５号</t>
  </si>
  <si>
    <t>260-0843</t>
  </si>
  <si>
    <t>千葉市中央区</t>
  </si>
  <si>
    <t>末広4-27-2  ひまわりB2104号室</t>
  </si>
  <si>
    <t>349-1117</t>
  </si>
  <si>
    <t>久喜市</t>
  </si>
  <si>
    <t>南栗橋11-5-1サウスタウンA202</t>
  </si>
  <si>
    <t>362-0064</t>
  </si>
  <si>
    <t>小敷谷77-1西上尾第二団地3-29-504</t>
  </si>
  <si>
    <t>578-0961</t>
  </si>
  <si>
    <t>東大阪市</t>
  </si>
  <si>
    <t>南鴻池町1-3-8エクセル鴻池2B</t>
  </si>
  <si>
    <t>610-0301</t>
  </si>
  <si>
    <t>綴喜郡井手町</t>
  </si>
  <si>
    <t>大字多賀小字佃26-6</t>
  </si>
  <si>
    <t>333-0848</t>
  </si>
  <si>
    <t>芝下3丁目11-17ノースブリッジ 101</t>
  </si>
  <si>
    <t>520-3046</t>
  </si>
  <si>
    <t>栗東市</t>
  </si>
  <si>
    <t>大橋5丁目2-12　 オースミハイツII 　B101号</t>
  </si>
  <si>
    <t>762-0044</t>
  </si>
  <si>
    <t>坂出市</t>
  </si>
  <si>
    <t>本町2-1-21</t>
  </si>
  <si>
    <t>252-0141</t>
  </si>
  <si>
    <t>相原2-12-26 サンムーン相原102号</t>
  </si>
  <si>
    <t>400-0043 山梨県甲府市国母2丁目3番40号ロイヤルヒル小林108</t>
  </si>
  <si>
    <t>989-1503</t>
  </si>
  <si>
    <t>柴田郡川崎町</t>
  </si>
  <si>
    <t>川内 36-1ヨークベニマ ル川崎寮</t>
  </si>
  <si>
    <t>303-0041</t>
  </si>
  <si>
    <t>豊岡町丙3553-1(株)きぬがわや社員寮A206</t>
  </si>
  <si>
    <t>231-0846</t>
  </si>
  <si>
    <t>大和町2丁目 62-1 フォルテ２１山手 105</t>
  </si>
  <si>
    <t>845-0004</t>
  </si>
  <si>
    <t>小城市</t>
  </si>
  <si>
    <t>小城町松尾4146-3proud松尾llB号</t>
  </si>
  <si>
    <t>556-0015</t>
  </si>
  <si>
    <t>敷津西1−3−23-City Spire 1101</t>
  </si>
  <si>
    <t>彦成3-11-13-801</t>
  </si>
  <si>
    <t>825-0002</t>
  </si>
  <si>
    <t>田川市</t>
  </si>
  <si>
    <t>伊田2800-1元町寮27号</t>
  </si>
  <si>
    <t>230-0025</t>
  </si>
  <si>
    <t>市場大和町4-24 スカイコート鶴見第5 103号</t>
  </si>
  <si>
    <t>630-8244</t>
  </si>
  <si>
    <t>奈良県</t>
  </si>
  <si>
    <t>奈良市</t>
  </si>
  <si>
    <t>三条町583の1シティパレスJR奈良Pー8407号室</t>
  </si>
  <si>
    <t>949-6545</t>
  </si>
  <si>
    <t>南魚沼市</t>
  </si>
  <si>
    <t>長崎2957</t>
  </si>
  <si>
    <t>460-0012</t>
  </si>
  <si>
    <t>名古屋市中区</t>
  </si>
  <si>
    <t>千代田一丁目16-22 CASA NOAH鶴舞公園II 405号</t>
  </si>
  <si>
    <t>326-0844</t>
  </si>
  <si>
    <t>足利市</t>
  </si>
  <si>
    <t>鹿島町125-1ハッピーハイツ302</t>
  </si>
  <si>
    <t>444-0865</t>
  </si>
  <si>
    <t>明大寺町大圦41-4ファミールミヤコ103</t>
  </si>
  <si>
    <t>288-0036</t>
  </si>
  <si>
    <t>西小川町1098</t>
  </si>
  <si>
    <t>399-8303</t>
  </si>
  <si>
    <t>安曇野市</t>
  </si>
  <si>
    <t>穂高7548番地7 エイビック寮102号室</t>
  </si>
  <si>
    <t>989-0851</t>
  </si>
  <si>
    <t>刈田郡蔵王町</t>
  </si>
  <si>
    <t>大字曲竹字 道路西55番地13 淡島住宅W2 号室</t>
  </si>
  <si>
    <t>470-0155</t>
  </si>
  <si>
    <t>愛知郡東郷町</t>
  </si>
  <si>
    <t>白鳥4-1-1 押草団地101号棟505</t>
  </si>
  <si>
    <t>700-0816</t>
  </si>
  <si>
    <t>富田町2-1-3シスター富田町402号</t>
  </si>
  <si>
    <t>北新宿1ー10ー12浦田ビル206</t>
  </si>
  <si>
    <t>470-0156</t>
  </si>
  <si>
    <t>御岳1-15-5コーポ御岳 203号</t>
  </si>
  <si>
    <t>728-0023</t>
  </si>
  <si>
    <t>三次市</t>
  </si>
  <si>
    <t>東酒屋町123-1一心寮302</t>
  </si>
  <si>
    <t>565-0851</t>
  </si>
  <si>
    <t>千里山西6丁目63-1-101</t>
  </si>
  <si>
    <t>031-0834</t>
  </si>
  <si>
    <t>桜ヶ丘3丁目26-20</t>
  </si>
  <si>
    <t>274-0072</t>
  </si>
  <si>
    <t>三山5-1-3レオパレスグランティスⅣ305号</t>
  </si>
  <si>
    <t>実籾1丁目41-5 ランドハイツ102</t>
  </si>
  <si>
    <t>Đàm Kim Thoa</t>
  </si>
  <si>
    <t>168-0082</t>
  </si>
  <si>
    <t>久我山3-17-21 久我山コーポラス 506</t>
  </si>
  <si>
    <t>488-0066</t>
  </si>
  <si>
    <t>尾張旭市</t>
  </si>
  <si>
    <t>南原山町赤土185-3リバティーハイツ南B108</t>
  </si>
  <si>
    <t>443-0104</t>
  </si>
  <si>
    <t>形原町会下３２番地メゾン近耕５０２</t>
  </si>
  <si>
    <t>511-0033</t>
  </si>
  <si>
    <t>赤須賀1930-37</t>
  </si>
  <si>
    <t>675-2323</t>
  </si>
  <si>
    <t>北条町西南377-2ビレッジハウス北条第二1-508</t>
  </si>
  <si>
    <t>552-0004</t>
  </si>
  <si>
    <t>大阪市港区</t>
  </si>
  <si>
    <t>夕凪１－９－１ー−201</t>
  </si>
  <si>
    <t>820-0602</t>
  </si>
  <si>
    <t>嘉穂郡桂川町</t>
  </si>
  <si>
    <t>大字九郎丸19-1 エム・ボヌールD201</t>
  </si>
  <si>
    <t>382-0911</t>
  </si>
  <si>
    <t>須坂市</t>
  </si>
  <si>
    <t>大字須坂３２４フレグランス勝山１０３</t>
  </si>
  <si>
    <t>663-8141</t>
  </si>
  <si>
    <t>西宮市</t>
  </si>
  <si>
    <t>高須町2ー1ー29ー614</t>
  </si>
  <si>
    <t>日長台387番地 (A-302)</t>
  </si>
  <si>
    <t>363-0012</t>
  </si>
  <si>
    <t>桶川市</t>
  </si>
  <si>
    <t>末広3-19-34ユニ末広ハイツ 101</t>
  </si>
  <si>
    <t>206-0802</t>
  </si>
  <si>
    <t>稲城市</t>
  </si>
  <si>
    <t>東長沼3002-1 鈴木ハイツ202</t>
  </si>
  <si>
    <t>455-0061</t>
  </si>
  <si>
    <t>東土古町2丁目7番地の15</t>
  </si>
  <si>
    <t>彦成2丁88-8</t>
  </si>
  <si>
    <t>136-0076</t>
  </si>
  <si>
    <t>江東区</t>
  </si>
  <si>
    <t>南砂2-3-3-1222</t>
  </si>
  <si>
    <t>520-2331</t>
  </si>
  <si>
    <t>小篠原998-１パークヒルズ21A 105</t>
  </si>
  <si>
    <t>812-0018</t>
  </si>
  <si>
    <t>福岡市博多区</t>
  </si>
  <si>
    <t>住吉2丁目15-10 カーサ博多813号</t>
  </si>
  <si>
    <t>558-0032</t>
  </si>
  <si>
    <t>遠里小野3丁目1-12 遠里小野728 2B</t>
  </si>
  <si>
    <t>359-0042</t>
  </si>
  <si>
    <t>並木8-1-1-1211号</t>
  </si>
  <si>
    <t>242-0012</t>
  </si>
  <si>
    <t>大和市</t>
  </si>
  <si>
    <t>深見東二丁目1番18-302号</t>
  </si>
  <si>
    <t>464-0850</t>
  </si>
  <si>
    <t>今池4丁目3番10号小川ビル303号</t>
  </si>
  <si>
    <t>長吉六反1-5-3</t>
  </si>
  <si>
    <t>350-1205</t>
  </si>
  <si>
    <t>日高市</t>
  </si>
  <si>
    <t>大字原宿339-30 サニーヒルズ1 102室</t>
  </si>
  <si>
    <t>270-2222</t>
  </si>
  <si>
    <t>高塚新田518-8梨香台団地4-106</t>
  </si>
  <si>
    <t>倉賀野町1-23エステートピアY'S202</t>
  </si>
  <si>
    <t>577-0848</t>
  </si>
  <si>
    <t>岸田堂西2-11-1パックアベニュー408号室</t>
  </si>
  <si>
    <t>114-0003</t>
  </si>
  <si>
    <t>豊島1丁21番2号富士マンション301号</t>
  </si>
  <si>
    <t>090 7839 4912</t>
  </si>
  <si>
    <t>新松戸4-293サンウィング101号</t>
  </si>
  <si>
    <t>310-0902</t>
  </si>
  <si>
    <t>水戸市</t>
  </si>
  <si>
    <t>渡里町2943-2</t>
  </si>
  <si>
    <t>556-0014</t>
  </si>
  <si>
    <t>大国3-8-27 ハイツブリッヂ　203</t>
  </si>
  <si>
    <t>512-8043</t>
  </si>
  <si>
    <t>平津新町260-723</t>
  </si>
  <si>
    <t>高須町2丁目1-29-321</t>
  </si>
  <si>
    <t>344-0112</t>
  </si>
  <si>
    <t>春日部市</t>
  </si>
  <si>
    <t>西金野井560 リバー ストーン A 201号室</t>
  </si>
  <si>
    <t>652-0834</t>
  </si>
  <si>
    <t>本町1-1-6-403</t>
  </si>
  <si>
    <t>433-8114</t>
  </si>
  <si>
    <t>葵東2-8-7 ドムスQ 205号室</t>
  </si>
  <si>
    <t>辰巳台東4-10 ビレッジハウス市原4号棟401</t>
  </si>
  <si>
    <t>649-6425</t>
  </si>
  <si>
    <t>和歌山県</t>
  </si>
  <si>
    <t>紀の川市</t>
  </si>
  <si>
    <t>中井阪310ー3リヴェールコート111号室</t>
  </si>
  <si>
    <t>402-0025</t>
  </si>
  <si>
    <t>都留市</t>
  </si>
  <si>
    <t>法能445-8</t>
  </si>
  <si>
    <t>573-1113</t>
  </si>
  <si>
    <t>枚方市</t>
  </si>
  <si>
    <t>楠葉面取町1丁目２０－５ルミエール楠葉402号</t>
  </si>
  <si>
    <t>543-0071</t>
  </si>
  <si>
    <t>大阪市天王寺区</t>
  </si>
  <si>
    <t>生玉町 1-27-801号室</t>
  </si>
  <si>
    <t>343-0832</t>
  </si>
  <si>
    <t>南町2-15-2</t>
  </si>
  <si>
    <t>979-0201</t>
  </si>
  <si>
    <t>いわき市</t>
  </si>
  <si>
    <t>四倉町字梅ヶ丘183番地の1J&amp;K203</t>
  </si>
  <si>
    <t>939-2376</t>
  </si>
  <si>
    <t>富山市</t>
  </si>
  <si>
    <t>八尾町福島40-2</t>
  </si>
  <si>
    <t>725-0021</t>
  </si>
  <si>
    <t>竹原市</t>
  </si>
  <si>
    <t>竹原町3607ライジングサン101</t>
  </si>
  <si>
    <t>698-0043</t>
  </si>
  <si>
    <t>島根県</t>
  </si>
  <si>
    <t>益田市</t>
  </si>
  <si>
    <t>中島町口165番地3第3みのり荘5号室</t>
  </si>
  <si>
    <t>190-0002</t>
  </si>
  <si>
    <t>立川市</t>
  </si>
  <si>
    <t>幸町4/52/1幸町団地17棟407号</t>
  </si>
  <si>
    <t>528-0061</t>
  </si>
  <si>
    <t>甲賀市</t>
  </si>
  <si>
    <t>水口町笹が丘1-15-106</t>
  </si>
  <si>
    <t>263-0031</t>
  </si>
  <si>
    <t>稲毛東6-21-19グレイス稲毛206</t>
  </si>
  <si>
    <t>275-0021</t>
  </si>
  <si>
    <t>袖ヶ浦2丁目3-3-310</t>
  </si>
  <si>
    <t>485-0021</t>
  </si>
  <si>
    <t>大字二重堀638-68レオパレスSakura 105</t>
  </si>
  <si>
    <t>519-2143</t>
  </si>
  <si>
    <t>松阪市</t>
  </si>
  <si>
    <t>中万町字水引場88-2オレンジハウス108号</t>
  </si>
  <si>
    <t>010-0043</t>
  </si>
  <si>
    <t>秋田市</t>
  </si>
  <si>
    <t>桜ガ丘2-12-22</t>
  </si>
  <si>
    <t>611-0043</t>
  </si>
  <si>
    <t>宇治市</t>
  </si>
  <si>
    <t>伊勢田町南山9番地3Jpアパートメント宇治203号</t>
  </si>
  <si>
    <t>484-0073</t>
  </si>
  <si>
    <t>天神町5-7エルディムサカイ201号</t>
  </si>
  <si>
    <t>125-0025</t>
  </si>
  <si>
    <t>千住東1-26-8ハウス山岸205</t>
  </si>
  <si>
    <t>467-0066</t>
  </si>
  <si>
    <t>名古屋市瑞穂区</t>
  </si>
  <si>
    <t>須山2丁目20-1       サンマール新瑞501号</t>
  </si>
  <si>
    <t>329-1324</t>
  </si>
  <si>
    <t>さくら市</t>
  </si>
  <si>
    <t>草川19−４レオパレスクサカワA２０９</t>
  </si>
  <si>
    <t>154-0012</t>
  </si>
  <si>
    <t>駒沢2丁目４１－５ホームズ駒沢１－Ｄ</t>
  </si>
  <si>
    <t>彦成3丁目みさと団地10街区12号棟702部屋</t>
  </si>
  <si>
    <t>622-0043</t>
  </si>
  <si>
    <t>南丹市</t>
  </si>
  <si>
    <t>園部町小山西町油縄手12-3</t>
  </si>
  <si>
    <t>573-1155</t>
  </si>
  <si>
    <t>招提南町2-23-26</t>
  </si>
  <si>
    <t>351-0005</t>
  </si>
  <si>
    <t>朝霞市</t>
  </si>
  <si>
    <t>根岸台7丁目43−22 ユーハウス201</t>
  </si>
  <si>
    <t>721-0963</t>
  </si>
  <si>
    <t>福山市</t>
  </si>
  <si>
    <t>南手城町4-14-36コーポラス手城101</t>
  </si>
  <si>
    <t>273-0026</t>
  </si>
  <si>
    <t>山野町103番地1西船橋住宅602号</t>
  </si>
  <si>
    <t>270-0176</t>
  </si>
  <si>
    <t>流山市</t>
  </si>
  <si>
    <t>加1-20-2</t>
  </si>
  <si>
    <t>171-0044</t>
  </si>
  <si>
    <t>豊島区</t>
  </si>
  <si>
    <t>千早４丁目１２−2 303</t>
  </si>
  <si>
    <t>274-0825</t>
  </si>
  <si>
    <t>前原西6丁目 6番29-204号</t>
  </si>
  <si>
    <t>326-0143</t>
  </si>
  <si>
    <t>葉鹿町１丁目２１−４レオパレス坂西104号</t>
  </si>
  <si>
    <t>673-1431</t>
  </si>
  <si>
    <t>社475番地7サニーハム東出口307号</t>
  </si>
  <si>
    <t>581-0095</t>
  </si>
  <si>
    <t>田井中３丁目47−１７</t>
  </si>
  <si>
    <t>999-6211</t>
  </si>
  <si>
    <t>最上郡最上町</t>
  </si>
  <si>
    <t>最上町最上郡,大堀987せミグランドホテル</t>
  </si>
  <si>
    <t>557-0054</t>
  </si>
  <si>
    <t>千本中1-15-10朝日プ ラザ岸里パサージュ 205</t>
  </si>
  <si>
    <t>末広3-19-34 ユニ末広ハイツ202</t>
  </si>
  <si>
    <t>070 8310 4418</t>
  </si>
  <si>
    <t>273-0115</t>
  </si>
  <si>
    <t>鎌ケ谷市</t>
  </si>
  <si>
    <t>東道野辺3-6-15</t>
  </si>
  <si>
    <t>090-6133-3510</t>
  </si>
  <si>
    <t>300-0007</t>
  </si>
  <si>
    <t>板谷5-669-17 ビレッジハウス中貫1号　205号</t>
  </si>
  <si>
    <t>441-1362</t>
  </si>
  <si>
    <t>新城市</t>
  </si>
  <si>
    <t>平井字西原４２番地１　SSコーポリブラ205号</t>
  </si>
  <si>
    <t>廿日市市</t>
  </si>
  <si>
    <t>友田159-1(2-203)</t>
  </si>
  <si>
    <t>590-0976</t>
  </si>
  <si>
    <t>大浜南町3-1-13-1004</t>
  </si>
  <si>
    <t>671-0218</t>
  </si>
  <si>
    <t>飾東町庄727-7</t>
  </si>
  <si>
    <t>718-0003</t>
  </si>
  <si>
    <t>新見市</t>
  </si>
  <si>
    <t>高尾2290-1ハピネス111 号室( Vu Van Manh)</t>
  </si>
  <si>
    <t>444-0905</t>
  </si>
  <si>
    <t>宇頭町山ノ神４１−１１ファミール神谷C4</t>
  </si>
  <si>
    <t>807-0803</t>
  </si>
  <si>
    <t>北九州市八幡西区</t>
  </si>
  <si>
    <t>千代ヶ崎一丁目9番26 号 202</t>
  </si>
  <si>
    <t>135-0047</t>
  </si>
  <si>
    <t>富岡1丁目24番3号 森田ビル201</t>
  </si>
  <si>
    <t>192-0371</t>
  </si>
  <si>
    <t>南陽台２－２６－６</t>
  </si>
  <si>
    <t>490-1144</t>
  </si>
  <si>
    <t>海部郡大治町</t>
  </si>
  <si>
    <t>大字西條字諏訪8番地すわハイム 1-101号</t>
  </si>
  <si>
    <t>彦成４丁目の3の3の502 号</t>
  </si>
  <si>
    <t>070-4035-1741</t>
  </si>
  <si>
    <t>342-0054</t>
  </si>
  <si>
    <t>吉川市</t>
  </si>
  <si>
    <t>吉川団地4-10-304</t>
  </si>
  <si>
    <t>230-0077</t>
  </si>
  <si>
    <t>東寺尾５丁目１７－８　コーポ清風　１０２号</t>
  </si>
  <si>
    <t>新松戸2丁目170の1ビュアトカーク103号</t>
  </si>
  <si>
    <t>872-1105</t>
  </si>
  <si>
    <t>豊後高田市</t>
  </si>
  <si>
    <t>西真玉3208番地1</t>
  </si>
  <si>
    <t>250-0021</t>
  </si>
  <si>
    <t>小田原市</t>
  </si>
  <si>
    <t>早川3丁目14番地の19 青木ｺｰﾎﾟ205号</t>
  </si>
  <si>
    <t>720-0815</t>
  </si>
  <si>
    <t>野上町二丁目16番31号昭和ビル303</t>
  </si>
  <si>
    <t>315-0052</t>
  </si>
  <si>
    <t>かすみがうら市</t>
  </si>
  <si>
    <t>下稲吉 2605-15 ロイヤルコーポ A202</t>
  </si>
  <si>
    <t>399-0033</t>
  </si>
  <si>
    <t>松本市</t>
  </si>
  <si>
    <t>大字笹賀 5678番地3 ビレッジハウス笹賀1-501</t>
  </si>
  <si>
    <t>869-1205</t>
  </si>
  <si>
    <t>菊池市</t>
  </si>
  <si>
    <t>旭志川辺1995-1あさひヶ丘住宅6棟5号</t>
  </si>
  <si>
    <t>362-0021</t>
  </si>
  <si>
    <t>原市3606-39</t>
  </si>
  <si>
    <t>999-3720</t>
  </si>
  <si>
    <t>東根市</t>
  </si>
  <si>
    <t>さくらんぼ駅前二丁目11番8号リッチオークヒルズC 311号室</t>
  </si>
  <si>
    <t>590-0822</t>
  </si>
  <si>
    <t>協和町1丁22番地西団地12号館402号</t>
  </si>
  <si>
    <t>170-0013</t>
  </si>
  <si>
    <t>東池袋2-43-3 104号</t>
  </si>
  <si>
    <t>223-0062</t>
  </si>
  <si>
    <t>日 吉本町2丁目36-17 センチュリーII 205</t>
  </si>
  <si>
    <t>袖ケ浦2丁目6-4-305</t>
  </si>
  <si>
    <t>高井戸西3-8-9　 パレス高井戸 201号室</t>
  </si>
  <si>
    <t>712-8013</t>
  </si>
  <si>
    <t>倉敷市</t>
  </si>
  <si>
    <t>亀島1丁目26-16 イルマーレB屋202号</t>
  </si>
  <si>
    <t>708-0842</t>
  </si>
  <si>
    <t>津山市</t>
  </si>
  <si>
    <t>河辺694-1 レオネクスト華202号室</t>
  </si>
  <si>
    <t>362-0014</t>
  </si>
  <si>
    <t>本町4丁目8-24グランハイム琴103</t>
  </si>
  <si>
    <t>110-0016</t>
  </si>
  <si>
    <t>台東区</t>
  </si>
  <si>
    <t>台東３－４０ー３ユーハイツ御徒町502号室</t>
  </si>
  <si>
    <t>440-0838</t>
  </si>
  <si>
    <t>三ノ輪町4丁目13番地グランシード三ノ輪B101</t>
  </si>
  <si>
    <t>544-0003</t>
  </si>
  <si>
    <t>小路東6-14-17ノーブル布施302号</t>
  </si>
  <si>
    <t>114-0012</t>
  </si>
  <si>
    <t>田端新町1-20-8 302</t>
  </si>
  <si>
    <t>256-0815</t>
  </si>
  <si>
    <t>小八幡 4-9-1グリーンハイツ2D</t>
  </si>
  <si>
    <t>399-3102</t>
  </si>
  <si>
    <t>下伊那郡高森町</t>
  </si>
  <si>
    <t>吉田2241番25レジデンス高森302</t>
  </si>
  <si>
    <t>519-0124</t>
  </si>
  <si>
    <t>亀山市</t>
  </si>
  <si>
    <t>東御幸町２０８番地３ワコーハイツ402</t>
  </si>
  <si>
    <t>701-0143</t>
  </si>
  <si>
    <t>白石183-6シティハイツ白石202</t>
  </si>
  <si>
    <t>彦成4丁目1番11-404号</t>
  </si>
  <si>
    <t>583-0012</t>
  </si>
  <si>
    <t>藤井寺市</t>
  </si>
  <si>
    <t>道明寺1丁目20-11</t>
  </si>
  <si>
    <t>206-0023</t>
  </si>
  <si>
    <t>多摩市</t>
  </si>
  <si>
    <t>馬引沢1-14-39</t>
  </si>
  <si>
    <t>475-0817</t>
  </si>
  <si>
    <t>半田市</t>
  </si>
  <si>
    <t>東洋町2-46県営半田住宅3棟403号</t>
  </si>
  <si>
    <t>425-0065</t>
  </si>
  <si>
    <t>焼津市</t>
  </si>
  <si>
    <t>惣右衛門1186-1ビレッジハウス惣右衛門2号棟205号</t>
  </si>
  <si>
    <t>340-0046</t>
  </si>
  <si>
    <t>北谷2丁目ー３６－８ヤマサンコーポ学園台第２−２Ｆ</t>
  </si>
  <si>
    <t>273-0003</t>
  </si>
  <si>
    <t>宮本7-16-19 スターコート 102号</t>
  </si>
  <si>
    <t>361-0077</t>
  </si>
  <si>
    <t>行田市</t>
  </si>
  <si>
    <t>地址：埼玉县行田市忍2-7-26エルベマンション301号室</t>
  </si>
  <si>
    <t>731-0611</t>
  </si>
  <si>
    <t>安芸高田市</t>
  </si>
  <si>
    <t>美土里町横田2360</t>
  </si>
  <si>
    <t>789-0301</t>
  </si>
  <si>
    <t>高知県</t>
  </si>
  <si>
    <t>長岡郡大豊町</t>
  </si>
  <si>
    <t>津家24-6</t>
  </si>
  <si>
    <t>371-0811</t>
  </si>
  <si>
    <t>前橋市</t>
  </si>
  <si>
    <t>朝倉町2-1-5ブリックツカサ4-B</t>
  </si>
  <si>
    <t>557-0033</t>
  </si>
  <si>
    <t>梅南1丁目4-29ラフォーレ梅南3C</t>
  </si>
  <si>
    <t>友田159-1 ベルボーテ友田II103号室</t>
  </si>
  <si>
    <t>274-0063</t>
  </si>
  <si>
    <t>習志野台８丁目 25-1 アミー習志野台 404</t>
  </si>
  <si>
    <t>599-8253</t>
  </si>
  <si>
    <t>深阪1丁9-２</t>
  </si>
  <si>
    <t>070 4312 1686</t>
  </si>
  <si>
    <t>143-0013</t>
  </si>
  <si>
    <t>大森南1-17-27ハイツ茨田301</t>
  </si>
  <si>
    <t>487-0033</t>
  </si>
  <si>
    <t>岩成台9-4-4</t>
  </si>
  <si>
    <t xml:space="preserve"> 080-6895-2935</t>
  </si>
  <si>
    <t>新田木崎町1771番地10鈴ハイツ102号</t>
  </si>
  <si>
    <t>520-3026</t>
  </si>
  <si>
    <t>下鈎1302番地アルファステイツ栗東駅601</t>
  </si>
  <si>
    <t>768-0076</t>
  </si>
  <si>
    <t>観音寺市</t>
  </si>
  <si>
    <t>港町1-2-3</t>
  </si>
  <si>
    <t>275-0011</t>
  </si>
  <si>
    <t>大久保1丁目8-26 メゾンK・I 101号室</t>
  </si>
  <si>
    <t>783-0052</t>
  </si>
  <si>
    <t>南国市</t>
  </si>
  <si>
    <t>左右山47番地2</t>
  </si>
  <si>
    <t>370-0843</t>
  </si>
  <si>
    <t>双葉町26-29湯浅アパート11号</t>
  </si>
  <si>
    <t>812-0041</t>
  </si>
  <si>
    <t>吉塚６丁目１６−2- 407</t>
  </si>
  <si>
    <t>511-0902</t>
  </si>
  <si>
    <t>松ノ木6-14-1 サニーヒル松ノ木 D101号</t>
  </si>
  <si>
    <t>505-0052</t>
  </si>
  <si>
    <t>加茂野町今泉950番地の1</t>
  </si>
  <si>
    <t>375-0024</t>
  </si>
  <si>
    <t>藤岡市</t>
  </si>
  <si>
    <t>藤岡855-9リード藤岡406</t>
  </si>
  <si>
    <t>473-0926</t>
  </si>
  <si>
    <t>駒新町フモウ55-3アクトメタル社宅A棟202</t>
  </si>
  <si>
    <t>427-0101</t>
  </si>
  <si>
    <t>大柳125-2ビレッジハウス2棟307</t>
  </si>
  <si>
    <t>750-1132</t>
  </si>
  <si>
    <t>小月宮の町14番18号リアルエステートIX203号</t>
  </si>
  <si>
    <t>083-282-2400</t>
  </si>
  <si>
    <t>869-4704</t>
  </si>
  <si>
    <t>千丁町古閑出2207-5D−102</t>
  </si>
  <si>
    <t>931-8455</t>
  </si>
  <si>
    <t>晴海台10番4ー102号ビレッジハウス富山北4棟</t>
  </si>
  <si>
    <t>558-0004</t>
  </si>
  <si>
    <t>長居東4丁目5番6-大宝ビル703号</t>
  </si>
  <si>
    <t>新松戸南1-146-1リリックハウス205</t>
  </si>
  <si>
    <t>東三国3-11-16-718</t>
  </si>
  <si>
    <t>279-0001</t>
  </si>
  <si>
    <t>当代島1-14-23パーク浦安205</t>
  </si>
  <si>
    <t>大久保３丁目 5-2 スカイハイツK 205号</t>
  </si>
  <si>
    <t>345-0036</t>
  </si>
  <si>
    <t>北葛飾郡杉戸町</t>
  </si>
  <si>
    <t>杉戸1-3-16 メナージュ杉戸201</t>
  </si>
  <si>
    <t>彦成4丁目1-2-106</t>
  </si>
  <si>
    <t>490-1112</t>
  </si>
  <si>
    <t>上萱津北ノ川27B棟202</t>
  </si>
  <si>
    <t>574-0062</t>
  </si>
  <si>
    <t>氷野1-14-２８レジデンス宮本２０２</t>
  </si>
  <si>
    <t>553-0006</t>
  </si>
  <si>
    <t>大阪市福島区</t>
  </si>
  <si>
    <t>吉野4丁目25-16-407</t>
  </si>
  <si>
    <t>430-0923</t>
  </si>
  <si>
    <t>浜松市中区北寺島町 218-4メゾンスリーオーク501</t>
  </si>
  <si>
    <t>261-0001</t>
  </si>
  <si>
    <t>千葉市美浜区</t>
  </si>
  <si>
    <t>幸町２-１８−４幸町団地１８−４棟406</t>
  </si>
  <si>
    <t>大和町1-9-1 山手寮(4122)</t>
  </si>
  <si>
    <t>739-0432</t>
  </si>
  <si>
    <t>上の浜1-13-20エル。コーポ上の浜 102</t>
  </si>
  <si>
    <t>364-0005</t>
  </si>
  <si>
    <t>本宿8-47プラスハイツ205</t>
  </si>
  <si>
    <t>529-1172</t>
  </si>
  <si>
    <t>犬上郡豊郷町</t>
  </si>
  <si>
    <t>大字安食南 385-25</t>
  </si>
  <si>
    <t>新今里7-4-3 グエン</t>
  </si>
  <si>
    <t>445-0082</t>
  </si>
  <si>
    <t>西尾市</t>
  </si>
  <si>
    <t>八ツ面町麓９－５</t>
  </si>
  <si>
    <t>444-0806</t>
  </si>
  <si>
    <t>緑丘2丁目9-5ハイツオリオン301</t>
  </si>
  <si>
    <t>556-0026</t>
  </si>
  <si>
    <t>浪速西2丁目2-1市営浪速第６住宅１号館1010</t>
  </si>
  <si>
    <t>475-0962</t>
  </si>
  <si>
    <t>岩滑高山町5丁目37番地の2</t>
  </si>
  <si>
    <t>143-0016</t>
  </si>
  <si>
    <t>太田区大森北2-10-4シルベーヌ大森105</t>
  </si>
  <si>
    <t>594-0031</t>
  </si>
  <si>
    <t>和泉市</t>
  </si>
  <si>
    <t>伏屋町5丁目11-9ビレッジハウス伏屋9-204</t>
  </si>
  <si>
    <t>559-0007</t>
  </si>
  <si>
    <t>大阪市住之江区</t>
  </si>
  <si>
    <t>大坂府大阪市住之江区粉浜西3-1UR都市機構住吉団地8号棟805号</t>
  </si>
  <si>
    <t>957-0082</t>
  </si>
  <si>
    <t>新発田市</t>
  </si>
  <si>
    <t>佐々木142-1ぱるんハイツ214</t>
  </si>
  <si>
    <t>558-0011</t>
  </si>
  <si>
    <t>苅田4丁目１２ー28  ベストレジデンスあびこ 4A</t>
  </si>
  <si>
    <t>637-0014</t>
  </si>
  <si>
    <t>五條市</t>
  </si>
  <si>
    <t>住川町６６番地コーポナカイ２-203号</t>
  </si>
  <si>
    <t>332-0035</t>
  </si>
  <si>
    <t>西青木4丁目 2番28 - 413 MAXIV川口青木</t>
  </si>
  <si>
    <t>070-9145-6587</t>
  </si>
  <si>
    <t>北条町北条53ラフェスタ加西705号</t>
  </si>
  <si>
    <t>070-8962-3695</t>
  </si>
  <si>
    <t>463-0812</t>
  </si>
  <si>
    <t>名古屋市守山区</t>
  </si>
  <si>
    <t>笹ヶ根1－709グラス山の手203</t>
  </si>
  <si>
    <t>070-8936-4495</t>
  </si>
  <si>
    <t>146-0094</t>
  </si>
  <si>
    <t>東矢口3-25-3イーグル浦田301</t>
  </si>
  <si>
    <t>206-0001</t>
  </si>
  <si>
    <t>和田2003-2ハイムリンデ202.</t>
  </si>
  <si>
    <t>812-0022</t>
  </si>
  <si>
    <t>福岡市中央区薬院3-3-29ライオンズマンション薬院駅南504</t>
  </si>
  <si>
    <t>261-0011</t>
  </si>
  <si>
    <t>真砂２－４－１－２０７号</t>
  </si>
  <si>
    <t>新今里2-11-25ハイツ長澤201号</t>
  </si>
  <si>
    <t>306-0205</t>
  </si>
  <si>
    <t>古河市</t>
  </si>
  <si>
    <t>関戸1605-20山崎製パン社宅104号室</t>
  </si>
  <si>
    <t>333-0866</t>
  </si>
  <si>
    <t>芝5-21-25堀代ハイツ 106</t>
  </si>
  <si>
    <t>652-0811</t>
  </si>
  <si>
    <t>新開地５丁目1-８ユートピアコーベ301号</t>
  </si>
  <si>
    <t>080-6377-2206</t>
  </si>
  <si>
    <t>761-0104</t>
  </si>
  <si>
    <t>高松市</t>
  </si>
  <si>
    <t>高松町1569-10</t>
  </si>
  <si>
    <t>彦成4丁目2街区5棟403</t>
  </si>
  <si>
    <t>080-9996-2472</t>
  </si>
  <si>
    <t>733-0035</t>
  </si>
  <si>
    <t>南観音2丁目4-15-202</t>
  </si>
  <si>
    <t>080-9892-4322</t>
  </si>
  <si>
    <t>939-1104</t>
  </si>
  <si>
    <t>戸出町5丁目2番12号コンフォールII102</t>
  </si>
  <si>
    <t>514-1255</t>
  </si>
  <si>
    <t>津市</t>
  </si>
  <si>
    <t>庄田町537番地1ANDAB棟202号室</t>
  </si>
  <si>
    <t>字東北野94番地1   1棟209</t>
  </si>
  <si>
    <t>891-1103</t>
  </si>
  <si>
    <t>鹿児島市</t>
  </si>
  <si>
    <t>川田町1063</t>
  </si>
  <si>
    <t>350-1305</t>
  </si>
  <si>
    <t>狭山市</t>
  </si>
  <si>
    <t>入間川2-14-7杉浦ハイツ狭山206</t>
  </si>
  <si>
    <t>306-0637</t>
  </si>
  <si>
    <t>坂東市</t>
  </si>
  <si>
    <t>〒茨城県坂東市みどり町17番34号サンビレッジイワイ C棟101</t>
  </si>
  <si>
    <t>427-0107</t>
  </si>
  <si>
    <t>船木2279-1 ドラゴンズB102</t>
  </si>
  <si>
    <t>576-0016</t>
  </si>
  <si>
    <t>交野市</t>
  </si>
  <si>
    <t>星田　4-4-12</t>
  </si>
  <si>
    <t>114-0023</t>
  </si>
  <si>
    <t>滝野川6丁目70-14スカイハイツ大川202号</t>
  </si>
  <si>
    <t>555-0023</t>
  </si>
  <si>
    <t>花川２丁目１４−18グリーン花川301</t>
  </si>
  <si>
    <t>468-0020</t>
  </si>
  <si>
    <t>名古屋市天白区</t>
  </si>
  <si>
    <t>平針南2丁目102番地平針住宅1街区A棟204号</t>
  </si>
  <si>
    <t>334-0057</t>
  </si>
  <si>
    <t>安行原1977-2</t>
  </si>
  <si>
    <t>070 3526 1368</t>
  </si>
  <si>
    <t>新松戸2丁目151番地シティハイム新松戸204号</t>
  </si>
  <si>
    <t>518-0809</t>
  </si>
  <si>
    <t>伊賀市</t>
  </si>
  <si>
    <t>西明寺2785-6 コーポプレジール 2-7号</t>
  </si>
  <si>
    <t>292-0801</t>
  </si>
  <si>
    <t>木更津市</t>
  </si>
  <si>
    <t>請西３丁目７小関ハイツ３棟301</t>
  </si>
  <si>
    <t>912-0021</t>
  </si>
  <si>
    <t>大野市</t>
  </si>
  <si>
    <t>中野第27号46番地中野寮</t>
  </si>
  <si>
    <t>981-0301</t>
  </si>
  <si>
    <t>東松島市</t>
  </si>
  <si>
    <t>牛網字上かに江戸原9ー1ー101号</t>
  </si>
  <si>
    <t>細江3787-1 シティハイム飛鳥 202</t>
  </si>
  <si>
    <t>441-1202</t>
  </si>
  <si>
    <t>豊川市</t>
  </si>
  <si>
    <t>上長山町東原134</t>
  </si>
  <si>
    <t>590-0505</t>
  </si>
  <si>
    <t>泉南市</t>
  </si>
  <si>
    <t>信達大苗代62 泉南一丘団地60棟401号</t>
  </si>
  <si>
    <t>544-0002</t>
  </si>
  <si>
    <t>小路３丁目13-5  グランソシェ小路407号</t>
  </si>
  <si>
    <t>080-5231-5811</t>
  </si>
  <si>
    <t>彦成3-10-9 202</t>
  </si>
  <si>
    <t>726-0011</t>
  </si>
  <si>
    <t>府中市</t>
  </si>
  <si>
    <t>広谷町1265番地2</t>
  </si>
  <si>
    <t>709-0402</t>
  </si>
  <si>
    <t>和気郡和気町</t>
  </si>
  <si>
    <t>日笠上86-1</t>
  </si>
  <si>
    <t>l匝瑳市椿1473-1 カンプ.ノウA102号</t>
  </si>
  <si>
    <t>590-0945</t>
  </si>
  <si>
    <t>戎之町東２丁1-27 菅原ビルー416</t>
  </si>
  <si>
    <t>571-0079</t>
  </si>
  <si>
    <t>門真市</t>
  </si>
  <si>
    <t>野里町40番11-203</t>
  </si>
  <si>
    <t>277-0843</t>
  </si>
  <si>
    <t>明原4-6-17-301号20)</t>
  </si>
  <si>
    <t>854-0064</t>
  </si>
  <si>
    <t>長崎県</t>
  </si>
  <si>
    <t>諫早市</t>
  </si>
  <si>
    <t>若葉町３５６番地SAKAEセモア201</t>
  </si>
  <si>
    <t>304-0031</t>
  </si>
  <si>
    <t>下妻市</t>
  </si>
  <si>
    <t>高道祖4394-3ビレツジハウス高道祖2-101</t>
  </si>
  <si>
    <t>488-0011</t>
  </si>
  <si>
    <t>東栄町４－６－２東栄パークハイツ107号</t>
  </si>
  <si>
    <t>278-0022</t>
  </si>
  <si>
    <t>野田市</t>
  </si>
  <si>
    <t>山崎　２６４９－１　ビレッジハウス山崎2 号棟　４０ 1号</t>
  </si>
  <si>
    <t>319-2265</t>
  </si>
  <si>
    <t>常陸大宮市</t>
  </si>
  <si>
    <t>中富町1064-1フルミネンセA棟203</t>
  </si>
  <si>
    <t>596-0808</t>
  </si>
  <si>
    <t>岸和田市</t>
  </si>
  <si>
    <t>三田町77メイプルハイツ203</t>
  </si>
  <si>
    <t>456-0062</t>
  </si>
  <si>
    <t>名古屋市熱田区</t>
  </si>
  <si>
    <t>大宝1丁目4-20  ホワイトハイツヒビノ 303号室</t>
  </si>
  <si>
    <t>377-0802</t>
  </si>
  <si>
    <t>吾妻郡東吾妻町</t>
  </si>
  <si>
    <t>大字川戸 306-1 コスモスガーデンA-201</t>
  </si>
  <si>
    <t>651-2401</t>
  </si>
  <si>
    <t>神戸市西区</t>
  </si>
  <si>
    <t>岩岡町岩岡 616-5タウンハウス岩岡17-5</t>
  </si>
  <si>
    <t>672-8023</t>
  </si>
  <si>
    <t>白浜町甲2202-4ハイツ寿105号</t>
  </si>
  <si>
    <t>332-0033</t>
  </si>
  <si>
    <t>並木元町1-45黄金井ビル203A</t>
  </si>
  <si>
    <t>070-7525-1426</t>
  </si>
  <si>
    <t>193-0835</t>
  </si>
  <si>
    <t>千人町3-12-2メゾンドアンピール305</t>
  </si>
  <si>
    <t>大字小敷谷８４５－１西上尾第一団地１街区２０号棟３０３号</t>
  </si>
  <si>
    <t>590-0001</t>
  </si>
  <si>
    <t>遠里小野町1-3-21 Fasecia avance 201</t>
  </si>
  <si>
    <t>夕凪１丁目12-2	コスタジオ 303</t>
  </si>
  <si>
    <t>448-0047</t>
  </si>
  <si>
    <t>刈谷市</t>
  </si>
  <si>
    <t>, 刈谷市高津波町4-354パラサンピア1 404</t>
  </si>
  <si>
    <t>532-0025</t>
  </si>
  <si>
    <t>新北野3丁目13-27-411号</t>
  </si>
  <si>
    <t>252-0227</t>
  </si>
  <si>
    <t>光が丘1-15-21 アルティス光が丘302号室</t>
  </si>
  <si>
    <t>482-0004</t>
  </si>
  <si>
    <t>五条町渡り所1520番地1ビレッジハウス岩倉2棟310号</t>
  </si>
  <si>
    <t>410-2204</t>
  </si>
  <si>
    <t>伊豆の国市</t>
  </si>
  <si>
    <t>ままの上270</t>
  </si>
  <si>
    <t>小篠原974-303</t>
  </si>
  <si>
    <t>515-0818</t>
  </si>
  <si>
    <t>川井町495-1マンションYAMADAA棟8号</t>
  </si>
  <si>
    <t>342-0038</t>
  </si>
  <si>
    <t>美南3-7-5 ルミエルA 101</t>
  </si>
  <si>
    <t>末広4丁目27-11ひまわりC3101</t>
  </si>
  <si>
    <t>264-0032</t>
  </si>
  <si>
    <t>千葉市若葉区</t>
  </si>
  <si>
    <t>みつわ台1-28-8-レオパレスクレストC棟206号</t>
  </si>
  <si>
    <t>721-0973</t>
  </si>
  <si>
    <t>南蔵王町1-13-8</t>
  </si>
  <si>
    <t>Thu Quỳnh</t>
  </si>
  <si>
    <t>470-3412</t>
  </si>
  <si>
    <t>知多郡南知多町</t>
  </si>
  <si>
    <t>大字豊浜字上大面26-1サンマルハ203号</t>
  </si>
  <si>
    <t>533-0022</t>
  </si>
  <si>
    <t>大阪市東淀川区</t>
  </si>
  <si>
    <t>菅原3-17-30-305号</t>
  </si>
  <si>
    <t>511-0838</t>
  </si>
  <si>
    <t>和泉749番池1ドルフィンNo2 1c</t>
  </si>
  <si>
    <t>070 8394 4156</t>
  </si>
  <si>
    <t>939-8261</t>
  </si>
  <si>
    <t>萩原555番地1ピュアライフⅢ301号室</t>
  </si>
  <si>
    <t>156-0044</t>
  </si>
  <si>
    <t>赤堤2丁目19番8号ト-キョ-べ-タ　豪徳寺2 101</t>
  </si>
  <si>
    <t>187-0024</t>
  </si>
  <si>
    <t>小平市</t>
  </si>
  <si>
    <t>たかの台 22-10 杉浦ビル1階 306号 株)クライム</t>
  </si>
  <si>
    <t>640-8314</t>
  </si>
  <si>
    <t>和歌山市</t>
  </si>
  <si>
    <t>神前236-29</t>
  </si>
  <si>
    <t>308-0111</t>
  </si>
  <si>
    <t>舟生１０３１－４カワタハイツ１０２号</t>
  </si>
  <si>
    <t>501-3979</t>
  </si>
  <si>
    <t>関市</t>
  </si>
  <si>
    <t>一本木町9番地べルトップ3-102号</t>
  </si>
  <si>
    <t>164-0002</t>
  </si>
  <si>
    <t>中野区</t>
  </si>
  <si>
    <t>上高田４－２８－１９セントラルハイム302号</t>
  </si>
  <si>
    <t>270-0014</t>
  </si>
  <si>
    <t>小金451-27キャピタル北小金206</t>
  </si>
  <si>
    <t>510-0304</t>
  </si>
  <si>
    <t>河芸町上野1526上野ハイツ103</t>
  </si>
  <si>
    <t>503-0614</t>
  </si>
  <si>
    <t>海津町長瀬108-1</t>
  </si>
  <si>
    <t>739-2103</t>
  </si>
  <si>
    <t>東広島市</t>
  </si>
  <si>
    <t>高屋町宮領534番地1GRレジデンス高屋203号</t>
  </si>
  <si>
    <t>270-1175</t>
  </si>
  <si>
    <t>我孫子市</t>
  </si>
  <si>
    <t>青山台2−26-3ブルーヒルズB203号</t>
  </si>
  <si>
    <t>270-0005</t>
  </si>
  <si>
    <t>大谷口１４０−４</t>
  </si>
  <si>
    <t>162-0803</t>
  </si>
  <si>
    <t>赤城下町4 神楽坂ハイツ102</t>
  </si>
  <si>
    <t>367-0231</t>
  </si>
  <si>
    <t>中新里182-1</t>
  </si>
  <si>
    <t>914-0146</t>
  </si>
  <si>
    <t>敦賀市</t>
  </si>
  <si>
    <t>金山34-14-8コーポ山口2-E</t>
  </si>
  <si>
    <t>482-0001</t>
  </si>
  <si>
    <t>東新町釜之口4番地1岩倉団地2棟404号</t>
  </si>
  <si>
    <t>230-0074</t>
  </si>
  <si>
    <t>北寺尾5丁目9-1-1</t>
  </si>
  <si>
    <t>361-0032</t>
  </si>
  <si>
    <t>佐間２丁目１９番県営佐間団地１棟２０３号</t>
  </si>
  <si>
    <t>350-1142</t>
  </si>
  <si>
    <t>大字藤間 869-10 ピアヴァレイ 102号室</t>
  </si>
  <si>
    <t>169-0073</t>
  </si>
  <si>
    <t>百人町2ー24ー28アーバンコート103</t>
  </si>
  <si>
    <t>細江6072-5</t>
  </si>
  <si>
    <t>447-0054</t>
  </si>
  <si>
    <t>踏分町2-14踏分住宅3棟203号</t>
  </si>
  <si>
    <t>161-0033</t>
  </si>
  <si>
    <t>下落合2-23-13サンメグ102</t>
  </si>
  <si>
    <t>570-0043</t>
  </si>
  <si>
    <t>南寺方東通6-18-15</t>
  </si>
  <si>
    <t>080-2289-6868</t>
  </si>
  <si>
    <t>739-1201</t>
  </si>
  <si>
    <t>向原町坂1927-1</t>
  </si>
  <si>
    <t>739-2313</t>
  </si>
  <si>
    <t>豊栄町清武345-3</t>
  </si>
  <si>
    <t>957-0204</t>
  </si>
  <si>
    <t>稲荷岡2062番地</t>
  </si>
  <si>
    <t>675-1378</t>
  </si>
  <si>
    <t>小野市</t>
  </si>
  <si>
    <t>王子町724-20カラーズビンテージメゾン王子町201</t>
  </si>
  <si>
    <t>070-9063-4313</t>
  </si>
  <si>
    <t>南砂2-3-6-813</t>
  </si>
  <si>
    <t>673-0533</t>
  </si>
  <si>
    <t>三木市</t>
  </si>
  <si>
    <t>緑が丘町東4丁目3番地の4KUGOハウス101号</t>
  </si>
  <si>
    <t>115-0051</t>
  </si>
  <si>
    <t>浮間4-19-2 コーポホリコシ102号</t>
  </si>
  <si>
    <t>344-0066</t>
  </si>
  <si>
    <t>中央1丁目14-8異動エターナル春日部503</t>
  </si>
  <si>
    <t>577-0807</t>
  </si>
  <si>
    <t>菱屋西1丁目15番26号シャイン菱屋西501号</t>
  </si>
  <si>
    <t>509-0262</t>
  </si>
  <si>
    <t>可児市</t>
  </si>
  <si>
    <t>菅刈1373-1 グランディハイツ西可児307号室</t>
  </si>
  <si>
    <t>660-0878</t>
  </si>
  <si>
    <t>北竹谷町3丁目153レジオン89402</t>
  </si>
  <si>
    <t>359-0026</t>
  </si>
  <si>
    <t>牛沼148-1エクセルハイツB102</t>
  </si>
  <si>
    <t>288-0002</t>
  </si>
  <si>
    <t>明神町1丁目79-7</t>
  </si>
  <si>
    <t>352-0002</t>
  </si>
  <si>
    <t>新座市</t>
  </si>
  <si>
    <t>東1-20-21-DinhTuanMaiAnh</t>
  </si>
  <si>
    <t>259-0303</t>
  </si>
  <si>
    <t>足柄下郡湯河原町</t>
  </si>
  <si>
    <t>土肥4-1-13 yuēsubiru 501</t>
  </si>
  <si>
    <t>529-0341</t>
  </si>
  <si>
    <t>湖北町速水2863番地4ブランシェ速水0202号</t>
  </si>
  <si>
    <t>470-1141</t>
  </si>
  <si>
    <t>豊明市</t>
  </si>
  <si>
    <t>阿野町寺内100番地エトワール加藤102</t>
  </si>
  <si>
    <t>334-0001</t>
  </si>
  <si>
    <t>桜町１－６－７304</t>
  </si>
  <si>
    <t>793-0030</t>
  </si>
  <si>
    <t>西条市</t>
  </si>
  <si>
    <t>大町725番地4石川マンソション303番</t>
  </si>
  <si>
    <t>366-0026</t>
  </si>
  <si>
    <t>深谷市</t>
  </si>
  <si>
    <t>稲荷町2-3-51シティホームズ稲荷町105</t>
  </si>
  <si>
    <t>370-0724</t>
  </si>
  <si>
    <t>邑楽郡千代田町</t>
  </si>
  <si>
    <t>下中森173番地</t>
  </si>
  <si>
    <t>300-0331</t>
  </si>
  <si>
    <t>稲敷郡阿見町</t>
  </si>
  <si>
    <t>大字阿見4244-2ラポールA棟202号室</t>
  </si>
  <si>
    <t>西新井本町1-16-1-209</t>
  </si>
  <si>
    <t>947-0035</t>
  </si>
  <si>
    <t>小千谷市</t>
  </si>
  <si>
    <t>桜町ビレッジハウス小千谷2-308</t>
  </si>
  <si>
    <t>左右山47番地2左右山寮南棟</t>
  </si>
  <si>
    <t>569-1032</t>
  </si>
  <si>
    <t>高槻市</t>
  </si>
  <si>
    <t>宮之川原３－１０－１　アテイン高槻石津A棟２０３</t>
  </si>
  <si>
    <t>501-3919</t>
  </si>
  <si>
    <t>平成通1-6-22-203 グランデージ関B3</t>
  </si>
  <si>
    <t>401-0304</t>
  </si>
  <si>
    <t>, 南都留郡富士河口湖町河口2423ノンビレッジカワグチコ B 414</t>
  </si>
  <si>
    <t>869-5154</t>
  </si>
  <si>
    <t>高植本町1125</t>
  </si>
  <si>
    <t>333-0844</t>
  </si>
  <si>
    <t>上青木3-7-10skip house 102</t>
  </si>
  <si>
    <t>新松戸3丁目169シャトルS II 202 号室</t>
  </si>
  <si>
    <t>栄1丁目5番11号 シャンテ多賀城 201</t>
  </si>
  <si>
    <t>790-0001</t>
  </si>
  <si>
    <t>松山市</t>
  </si>
  <si>
    <t>中央1丁目7-3 アメニティライフⅡ 301号</t>
  </si>
  <si>
    <t>375-0042</t>
  </si>
  <si>
    <t>鮎川567-1シティパレス鮎川。101号</t>
  </si>
  <si>
    <t>327-0324</t>
  </si>
  <si>
    <t>佐野市</t>
  </si>
  <si>
    <t>山形町46-63タマムラデリカ社員寮A204号</t>
  </si>
  <si>
    <t>613-0033</t>
  </si>
  <si>
    <t>久世郡久御山町</t>
  </si>
  <si>
    <t>林宮ノ後21-8-401号</t>
  </si>
  <si>
    <t>359-1152</t>
  </si>
  <si>
    <t>北野1丁目10-2ビューラー小手指305</t>
  </si>
  <si>
    <t>新開地６丁目２番３-402号 ライオンズマンション神戸第3</t>
  </si>
  <si>
    <t>567-0084</t>
  </si>
  <si>
    <t>茨木市</t>
  </si>
  <si>
    <t>彩都あかね3-1-220</t>
  </si>
  <si>
    <t>490-1323</t>
  </si>
  <si>
    <t>稲沢市</t>
  </si>
  <si>
    <t>平和町勝幡新田208-1いなぎく荘１０５</t>
  </si>
  <si>
    <t>Mã EMS</t>
  </si>
  <si>
    <t>Ngày</t>
  </si>
  <si>
    <t>Số SKU</t>
  </si>
  <si>
    <t>Chi tiết</t>
  </si>
  <si>
    <t>JSON</t>
  </si>
  <si>
    <t>Status</t>
  </si>
  <si>
    <t>Last Check</t>
  </si>
  <si>
    <t>17track Raw</t>
  </si>
  <si>
    <t>EB857015049CN</t>
  </si>
  <si>
    <t>9091 S XANH THAN x9, 8558 S TRẮNG x8, M001 39 ĐEN x11, 8558 M XANH NÕN x7, 8558 M HỒNG x5, 8876 S ĐEN x4, 8558 M ĐEN x4, 5709 S XANH NHẠT x4, 5709 M XANH NHẠT x2, 8116 S TRẮNG x4, 8897 M TRẮNG x3, 9091 S TRẮNG x3, 9094 S XANH THAN x2, 8558 S HỒNG x2, 8116 M XANH THAN x2, 8876 M XÁM x1, 8825 S TRẮNG x1, 8116 L XANH THAN x1, 8740 M TRẮNG x4, 8558 M ĐEN x1</t>
  </si>
  <si>
    <t>[{"sku":9091,"size":"S","color":"XANH THAN","qty":9},{"sku":8558,"size":"S","color":"TRẮNG","qty":8},{"sku":"M001","size":39,"color":"ĐEN","qty":11},{"sku":8558,"size":"M","color":"XANH NÕN","qty":7},{"sku":8558,"size":"M","color":"HỒNG","qty":5},{"sku":8876,"size":"S","color":"ĐEN","qty":4},{"sku":8558,"size":"M","color":"ĐEN","qty":4},{"sku":5709,"size":"S","color":"XANH NHẠT","qty":4},{"sku":5709,"size":"M","color":"XANH NHẠT","qty":2},{"sku":8116,"size":"S","color":"TRẮNG","qty":4},{"sku":8897,"size":"M","color":"TRẮNG","qty":3},{"sku":9091,"size":"S","color":"TRẮNG","qty":3},{"sku":9094,"size":"S","color":"XANH THAN","qty":2},{"sku":8558,"size":"S","color":"HỒNG","qty":2},{"sku":8116,"size":"M","color":"XANH THAN","qty":2},{"sku":8876,"size":"M","color":"XÁM","qty":1},{"sku":8825,"size":"S","color":"TRẮNG","qty":1},{"sku":8116,"size":"L","color":"XANH THAN","qty":1},{"sku":"8740","size":"M","color":"TRẮNG","qty":4},{"sku":"8558","size":"M","color":"ĐEN","qty":1}]</t>
  </si>
  <si>
    <t>配達完了</t>
  </si>
  <si>
    <t>EB857164343CN</t>
  </si>
  <si>
    <t>M001 37 ĐEN x15, M006 FZ XÁM x13, M006 FZ ĐEN x15, M006 FZ TRẮNG x11, M006 FZ BE x9, MU01 FZ NÂU NHẠT x5, 8558 M TRẮNG x6, M001 40 ĐEN x4, 8558 M CAM x5, 8558 S ĐEN x4, 8558 S XANH NÕN x3, 8897 S TRẮNG x2, 8558 S CAM x2, 9094 S XÁM x2, M001 36 BE x1</t>
  </si>
  <si>
    <t>[{"sku":"M001","size":37,"color":"ĐEN","qty":15},{"sku":"M006","size":"FZ","color":"XÁM","qty":13},{"sku":"M006","size":"FZ","color":"ĐEN","qty":15},{"sku":"M006","size":"FZ","color":"TRẮNG","qty":11},{"sku":"M006","size":"FZ","color":"BE","qty":9},{"sku":"MU01","size":"FZ","color":"NÂU NHẠT","qty":5},{"sku":8558,"size":"M","color":"TRẮNG","qty":6},{"sku":"M001","size":40,"color":"ĐEN","qty":4},{"sku":8558,"size":"M","color":"CAM","qty":5},{"sku":8558,"size":"S","color":"ĐEN","qty":4},{"sku":8558,"size":"S","color":"XANH NÕN","qty":3},{"sku":8897,"size":"S","color":"TRẮNG","qty":2},{"sku":8558,"size":"S","color":"CAM","qty":2},{"sku":9094,"size":"S","color":"XÁM","qty":2},{"sku":"M001","size":"36","color":"BE","qty":1}]</t>
  </si>
  <si>
    <t>Đã nhập kho</t>
  </si>
  <si>
    <t>EB857446239CN</t>
  </si>
  <si>
    <t>M001 38 ĐEN x2, M001 37 ĐEN x4, M001 35 BE x1, 7957 M XÁM x2, 7957 S TRẮNG x2, 7957 M ĐEN x1, 7957 M TRẮNG x1, 7957 S XÁM x1, 7957 S ĐEN x1, M007 FZ NGOCANH x1, M001 36 ĐEN x1, M001 36 BE x1, M001 37 BE x1, M001 38 BE x2, 8876 M ĐEN x2, P651W13129 38 BE x1, PE232WAS632 37 TÍM x1, P661W13310 37 BE x1, P661W13310 37 HỒNG x1, P661W13310 39 HỒNG x1, P661W12375 39 HỒNG x2, P661W12375 38 HỒNG x1, P661W13363 36 NÂU x1, P661W13363 37 NÂU x1</t>
  </si>
  <si>
    <t>[{"sku":"M001","size":38,"color":"ĐEN","qty":2},{"sku":"M001","size":37,"color":"ĐEN","qty":4},{"sku":"M001","size":35,"color":"BE","qty":1},{"sku":7957,"size":"M","color":"XÁM","qty":2},{"sku":7957,"size":"S","color":"TRẮNG","qty":2},{"sku":7957,"size":"M","color":"ĐEN","qty":1},{"sku":7957,"size":"M","color":"TRẮNG","qty":1},{"sku":7957,"size":"S","color":"XÁM","qty":1},{"sku":7957,"size":"S","color":"ĐEN","qty":1},{"sku":"M007","size":"FZ","color":"NGOCANH","qty":1},{"sku":"M001","size":"36","color":"ĐEN","qty":1},{"sku":"M001","size":"36","color":"BE","qty":1},{"sku":"M001","size":"37","color":"BE","qty":1},{"sku":"M001","size":"38","color":"BE","qty":2},{"sku":"8876","size":"M","color":"ĐEN","qty":2},{"sku":"P651W13129","size":"38","color":"BE","qty":1},{"sku":"PE232WAS632","size":"37","color":"TÍM","qty":1},{"sku":"P661W13310","size":"37","color":"BE","qty":1},{"sku":"P661W13310","size":"37","color":"HỒNG","qty":1},{"sku":"P661W13310","size":"39","color":"HỒNG","qty":1},{"sku":"P661W12375","size":"39","color":"HỒNG","qty":2},{"sku":"P661W12375","size":"38","color":"HỒNG","qty":1},{"sku":"P661W13363","size":"36","color":"NÂU","qty":1},{"sku":"P661W13363","size":"37","color":"NÂU","qty":1}]</t>
  </si>
  <si>
    <t>EB857231330CN</t>
  </si>
  <si>
    <t>M005 38 ĐEN x1, M005 38 NÂU x1, P661W13404 37 NÂU x1, M004 FZ SỌC XANH x2, M004 FZ GẤU HỒNG x1, M004 FZ SỌC HỒNG x2, M004 FZ GẤU XANH x1, 9091 M TRẮNG x2, 9091 L TRẮNG x2, 9091 M XANH THAN x3, 8825 S ĐEN x4, 8876 S TRẮNG x3, TRA1 FZ VÀNG x6, M007 FZ HATHIQUYNH x1, M007 FZ LEYU x1, M001 38 ĐEN x8, M001 35 BE x2, M001 38 BE x3, M001 35 ĐEN x7</t>
  </si>
  <si>
    <t>[{"sku":"M005","size":"38","color":"ĐEN","qty":1},{"sku":"M005","size":"38","color":"NÂU","qty":1},{"sku":"P661W13404","size":"37","color":"NÂU","qty":1},{"sku":"M004","size":"FZ","color":"SỌC XANH","qty":2},{"sku":"M004","size":"FZ","color":"GẤU HỒNG","qty":1},{"sku":"M004","size":"FZ","color":"SỌC HỒNG","qty":2},{"sku":"M004","size":"FZ","color":"GẤU XANH","qty":1},{"sku":"9091","size":"M","color":"TRẮNG","qty":2},{"sku":"9091","size":"L","color":"TRẮNG","qty":2},{"sku":"9091","size":"M","color":"XANH THAN","qty":3},{"sku":"8825","size":"S","color":"ĐEN","qty":4},{"sku":"8876","size":"S","color":"TRẮNG","qty":3},{"sku":"TRA1","size":"FZ","color":"VÀNG","qty":6},{"sku":"M007","size":"FZ","color":"HATHIQUYNH","qty":1},{"sku":"M007","size":"FZ","color":"LEYU","qty":1},{"sku":"M001","size":"38","color":"ĐEN","qty":8},{"sku":"M001","size":"35","color":"BE","qty":2},{"sku":"M001","size":"38","color":"BE","qty":3},{"sku":"M001","size":"35","color":"ĐEN","qty":7}]</t>
  </si>
  <si>
    <t>EB857446344CN</t>
  </si>
  <si>
    <t>M006 FZ XÁM x8, GIAY1 37 BE x6, M006 FZ TRẮNG x11, 1302 FZ 6 x6, M006 FZ BE x6, 81813 FZ TRẮNG x5, GIAY1 37 ĐEN x4, GIAY1 38 ĐEN x3, 1302 FZ 3 x3, 81813 FZ HỒNG x2, M006 FZ ĐEN x7, 1302 FZ 1 x2, 1302 FZ 9 x2, 81813 FZ ĐEN x1, 81813 FZ XANH NHẠT x1, 81813 FZ VÀNG x1, 1302 FZ 2 x1, 1302 FZ 8 x1, 1302 FZ 5 x1, M007 FZ GIALINH x1, P230MTX362-T800 37 BE x1, P230MTX362-T800 42 ĐEN x1, GIAY2 37 BE x1, GIAY2 39 BE x1</t>
  </si>
  <si>
    <t>[{"sku":"M006","size":"FZ","color":"XÁM","qty":8},{"sku":"GIAY1","size":37,"color":"BE","qty":6},{"sku":"M006","size":"FZ","color":"TRẮNG","qty":11},{"sku":1302,"size":"FZ","color":6,"qty":6},{"sku":"M006","size":"FZ","color":"BE","qty":6},{"sku":81813,"size":"FZ","color":"TRẮNG","qty":5},{"sku":"GIAY1","size":37,"color":"ĐEN","qty":4},{"sku":"GIAY1","size":38,"color":"ĐEN","qty":3},{"sku":1302,"size":"FZ","color":3,"qty":3},{"sku":81813,"size":"FZ","color":"HỒNG","qty":2},{"sku":"M006","size":"FZ","color":"ĐEN","qty":7},{"sku":1302,"size":"FZ","color":1,"qty":2},{"sku":1302,"size":"FZ","color":9,"qty":2},{"sku":81813,"size":"FZ","color":"ĐEN","qty":1},{"sku":81813,"size":"FZ","color":"XANH NHẠT","qty":1},{"sku":81813,"size":"FZ","color":"VÀNG","qty":1},{"sku":1302,"size":"FZ","color":2,"qty":1},{"sku":1302,"size":"FZ","color":8,"qty":1},{"sku":1302,"size":"FZ","color":5,"qty":1},{"sku":"M007","size":"FZ","color":"GIALINH","qty":1},{"sku":"P230MTX362-T800","size":"37","color":"BE","qty":1},{"sku":"P230MTX362-T800","size":"42","color":"ĐEN","qty":1},{"sku":"GIAY2","size":"37","color":"BE","qty":1},{"sku":"GIAY2","size":"39","color":"BE","qty":1}]</t>
  </si>
  <si>
    <t>EB857651181CN</t>
  </si>
  <si>
    <t>TRA1 FZ VÀNG x4, GIAY1 39 BE x3, GIAY1 36 ĐEN x3, GIAY2 37 BE x3, GIAY1 36 BE x2, 5709 M XANH NHẠT x4, 3225 S BE x2, M007 FZ SOPH TRAN x2, GIAY1 40 ĐEN x1, 3225 L XANH THAN x1, 3225 S XANH THAN x1, GIAY1 39 ĐEN x1, GIAY1 35 ĐEN x1, GIAY2 38 BE x1, GIAY1 40 BE x1, GIAY1 38 BE x1, 3225 M XANH THAN x1, 5709 XL XANH NHẠT x1, M007 FZ THAOVY x1, M007 FZ DUONGNHUMAILINH x1, M007 FZ NGUYENTHAO x1, M007 FZ HANGUYEN x1, M007 FZ PHUONGQUYEN x1, M007 FZ MOONLEE x1, P651W13112C 37 BE x1, P651W13112C 37 XANH NHẠT x1, P651W13112C 39 BE x1</t>
  </si>
  <si>
    <t>[{"sku":"TRA1","size":"FZ","color":"VÀNG","qty":4},{"sku":"GIAY1","size":39,"color":"BE","qty":3},{"sku":"GIAY1","size":36,"color":"ĐEN","qty":3},{"sku":"GIAY2","size":37,"color":"BE","qty":3},{"sku":"GIAY1","size":36,"color":"BE","qty":2},{"sku":5709,"size":"M","color":"XANH NHẠT","qty":4},{"sku":3225,"size":"S","color":"BE","qty":2},{"sku":"M007","size":"FZ","color":"SOPH TRAN","qty":2},{"sku":"GIAY1","size":40,"color":"ĐEN","qty":1},{"sku":3225,"size":"L","color":"XANH THAN","qty":1},{"sku":3225,"size":"S","color":"XANH THAN","qty":1},{"sku":"GIAY1","size":39,"color":"ĐEN","qty":1},{"sku":"GIAY1","size":35,"color":"ĐEN","qty":1},{"sku":"GIAY2","size":38,"color":"BE","qty":1},{"sku":"GIAY1","size":40,"color":"BE","qty":1},{"sku":"GIAY1","size":38,"color":"BE","qty":1},{"sku":3225,"size":"M","color":"XANH THAN","qty":1},{"sku":5709,"size":"XL","color":"XANH NHẠT","qty":1},{"sku":"M007","size":"FZ","color":"THAOVY","qty":1},{"sku":"M007","size":"FZ","color":"DUONGNHUMAILINH","qty":1},{"sku":"M007","size":"FZ","color":"NGUYENTHAO","qty":1},{"sku":"M007","size":"FZ","color":"HANGUYEN","qty":1},{"sku":"M007","size":"FZ","color":"PHUONGQUYEN","qty":1},{"sku":"M007","size":"FZ","color":"MOONLEE","qty":1},{"sku":"P651W13112C","size":"37","color":"BE","qty":1},{"sku":"P651W13112C","size":"37","color":"XANH NHẠT","qty":1},{"sku":"P651W13112C","size":"39","color":"BE","qty":1}]</t>
  </si>
  <si>
    <t>EB857551400CN/EB857551736CN</t>
  </si>
  <si>
    <t>6612 FZ 5 x21, 6612 FZ 2 x19, 6612 FZ 9 x3, MU01 FZ NÂU NHẠT x6, MU01 FZ NÂU x3, MU01 FZ BE x2, M001 38 ĐEN x2, MU01 FZ HỒNG x1, M001 40 ĐEN x1, M007 FZ DONGOCUYEN x1, M007 FZ HUONGAKI x1, M007 FZ HALONG x1, M007 FZ THANHTHUY x1, M007 FZ HUYENTRANG x1, M007 FZ HUYNHVY x1, M007 FZ NGUYENTHIHANG x1, M001 37 ĐEN x2, M001 36 ĐEN x1, M001 36 BE x1</t>
  </si>
  <si>
    <t>[{"sku":6612,"size":"FZ","color":5,"qty":21},{"sku":6612,"size":"FZ","color":2,"qty":19},{"sku":6612,"size":"FZ","color":9,"qty":3},{"sku":"MU01","size":"FZ","color":"NÂU NHẠT","qty":6},{"sku":"MU01","size":"FZ","color":"NÂU","qty":3},{"sku":"MU01","size":"FZ","color":"BE","qty":2},{"sku":"M001","size":38,"color":"ĐEN","qty":2},{"sku":"MU01","size":"FZ","color":"HỒNG","qty":1},{"sku":"M001","size":40,"color":"ĐEN","qty":1},{"sku":"M007","size":"FZ","color":"DONGOCUYEN","qty":1},{"sku":"M007","size":"FZ","color":"HUONGAKI","qty":1},{"sku":"M007","size":"FZ","color":"HALONG","qty":1},{"sku":"M007","size":"FZ","color":"THANHTHUY","qty":1},{"sku":"M007","size":"FZ","color":"HUYENTRANG","qty":1},{"sku":"M007","size":"FZ","color":"HUYNHVY","qty":1},{"sku":"M007","size":"FZ","color":"NGUYENTHIHANG","qty":1},{"sku":"M001","size":37,"color":"ĐEN","qty":2},{"sku":"M001","size":"36","color":"ĐEN","qty":1},{"sku":"M001","size":"36","color":"BE","qty":1}]</t>
  </si>
  <si>
    <t>EB858203321CN</t>
  </si>
  <si>
    <t>M010 FZ TRẮNG x17, 92212 FZ HỒNG x22, BRA1 M BE x1, BRA1 L BE x2, QUAN1 M A x10, TRA1 FZ VÀNG x6, 92212 FZ XÁM x1, BRA1 S BE x1, 8321 FZ XANH THAN x5, BRA1 L ĐEN x1, 8321 FZ NÂU x4, 92212 FZ ĐEN x1, QUAN1 L C x4, QUAN1 M C x3, 8321 FZ NÂU NHẠT x2, 92212 FZ TRẮNG x1, M006 FZ XÁM x1, GIAY1 38 BE x1, GIAY1 37 BE x1, M004 FZ SỌC HỒNG x1, M004 FZ GẤU VÀNG x1, GIAY1 37 ĐEN x1, GIAY2 38 ĐEN x1, QUAN1 XL A x1, QUAN1 XL B x1, BRA3 S BE x1, BRA3 M BE x1, M006 FZ ĐEN x2, M006 FZ TRẮNG x1</t>
  </si>
  <si>
    <t>[{"sku":"M010","size":"FZ","color":"TRẮNG","qty":17},{"sku":92212,"size":"FZ","color":"HỒNG","qty":22},{"sku":"BRA1","size":"M","color":"BE","qty":1},{"sku":"BRA1","size":"L","color":"BE","qty":2},{"sku":"QUAN1","size":"M","color":"A","qty":10},{"sku":"TRA1","size":"FZ","color":"VÀNG","qty":6},{"sku":92212,"size":"FZ","color":"XÁM","qty":1},{"sku":"BRA1","size":"S","color":"BE","qty":1},{"sku":8321,"size":"FZ","color":"XANH THAN","qty":5},{"sku":"BRA1","size":"L","color":"ĐEN","qty":1},{"sku":8321,"size":"FZ","color":"NÂU","qty":4},{"sku":92212,"size":"FZ","color":"ĐEN","qty":1},{"sku":"QUAN1","size":"L","color":"C","qty":4},{"sku":"QUAN1","size":"M","color":"C","qty":3},{"sku":8321,"size":"FZ","color":"NÂU NHẠT","qty":2},{"sku":92212,"size":"FZ","color":"TRẮNG","qty":1},{"sku":"M006","size":"FZ","color":"XÁM","qty":1},{"sku":"GIAY1","size":38,"color":"BE","qty":1},{"sku":"GIAY1","size":37,"color":"BE","qty":1},{"sku":"M004","size":"FZ","color":"SỌC HỒNG","qty":1},{"sku":"M004","size":"FZ","color":"GẤU VÀNG","qty":1},{"sku":"GIAY1","size":37,"color":"ĐEN","qty":1},{"sku":"GIAY2","size":38,"color":"ĐEN","qty":1},{"sku":"QUAN1","size":"XL","color":"A","qty":1},{"sku":"QUAN1","size":"XL","color":"B","qty":1},{"sku":"BRA3","size":"S","color":"BE","qty":1},{"sku":"BRA3","size":"M","color":"BE","qty":1},{"sku":"M006","size":"FZ","color":"ĐEN","qty":2},{"sku":"M006","size":"FZ","color":"TRẮNG","qty":1}]</t>
  </si>
  <si>
    <t>EB858544970CN</t>
  </si>
  <si>
    <t>M010 FZ TRẮNG x14, 6612 FZ 5 x5, 6612 FZ 2 x6, 6612 FZ 9 x4, TRA1 FZ VÀNG x6, M012 FZ NÂU x8, M012 FZ ĐỎ x8, M012 FZ TÍM x8, 6612 FZ 4 x1, 5709 S XANH NHẠT x5, CK98118 M ĐEN x2, CK98118 S ĐEN x3, 3225 S XANH THAN x3, 6612 FZ 3 x1, M008 L TÍM x1, M008 L VÀNG x1, M008 M HỒNG x1, M008 L XÁM x1, 3225 M XANH THAN x2, CK98118 XL  x1, M007 FZ LINHEM x1</t>
  </si>
  <si>
    <t>[{"sku":"M010","size":"FZ","color":"TRẮNG","qty":14},{"sku":6612,"size":"FZ","color":5,"qty":5},{"sku":6612,"size":"FZ","color":2,"qty":6},{"sku":6612,"size":"FZ","color":9,"qty":4},{"sku":"TRA1","size":"FZ","color":"VÀNG","qty":6},{"sku":"M012","size":"FZ","color":"NÂU","qty":8},{"sku":"M012","size":"FZ","color":"ĐỎ","qty":8},{"sku":"M012","size":"FZ","color":"TÍM","qty":8},{"sku":6612,"size":"FZ","color":4,"qty":1},{"sku":5709,"size":"S","color":"XANH NHẠT","qty":5},{"sku":"CK98118","size":"M","color":"ĐEN","qty":2},{"sku":"CK98118","size":"S","color":"ĐEN","qty":3},{"sku":3225,"size":"S","color":"XANH THAN","qty":3},{"sku":6612,"size":"FZ","color":3,"qty":1},{"sku":"M008","size":"L","color":"TÍM","qty":1},{"sku":"M008","size":"L","color":"VÀNG","qty":1},{"sku":"M008","size":"M","color":"HỒNG","qty":1},{"sku":"M008","size":"L","color":"XÁM","qty":1},{"sku":3225,"size":"M","color":"XANH THAN","qty":2},{"sku":"CK98118","size":"XL","color":"","qty":1},{"sku":"M007","size":"FZ","color":"LINHEM","qty":1}]</t>
  </si>
  <si>
    <t>EB858203105CN</t>
  </si>
  <si>
    <t>BRA1 M BE x20, QUAN1 L B x13, QUAN1 L A x11, QUAN1 M B x8, BRA2 M BE x11, BRA1 L BE x11, 92212 FZ HỒNG x7, BRA2 L BE x8, 92212 FZ XÁM x6, BRA2 M TRẮNG x6, BRA1 M ĐEN x5, BRA1 L TRẮNG x5, BRA1 S BE x5, M014 FZ TÍM x5, BRA1 L ĐEN x4, BRA1 S TRẮNG x3, BRA2 L TRẮNG x3, BRA2 XL BE x2, 92212 FZ ĐEN x3, BRA1 M TRẮNG x2, BRA1 XL BE x2, BRA2 L ĐEN x2, BRA2 M ĐEN x2, BRA1 M HỒNG x1, BRA2 S TRẮNG x1, 92212 FZ TRẮNG x1, MU01 FZ BE x2</t>
  </si>
  <si>
    <t>[{"sku":"BRA1","size":"M","color":"BE","qty":20},{"sku":"QUAN1","size":"L","color":"B","qty":13},{"sku":"QUAN1","size":"L","color":"A","qty":11},{"sku":"QUAN1","size":"M","color":"B","qty":8},{"sku":"BRA2","size":"M","color":"BE","qty":11},{"sku":"BRA1","size":"L","color":"BE","qty":11},{"sku":92212,"size":"FZ","color":"HỒNG","qty":7},{"sku":"BRA2","size":"L","color":"BE","qty":8},{"sku":92212,"size":"FZ","color":"XÁM","qty":6},{"sku":"BRA2","size":"M","color":"TRẮNG","qty":6},{"sku":"BRA1","size":"M","color":"ĐEN","qty":5},{"sku":"BRA1","size":"L","color":"TRẮNG","qty":5},{"sku":"BRA1","size":"S","color":"BE","qty":5},{"sku":"M014","size":"FZ","color":"TÍM","qty":5},{"sku":"BRA1","size":"L","color":"ĐEN","qty":4},{"sku":"BRA1","size":"S","color":"TRẮNG","qty":3},{"sku":"BRA2","size":"L","color":"TRẮNG","qty":3},{"sku":"BRA2","size":"XL","color":"BE","qty":2},{"sku":92212,"size":"FZ","color":"ĐEN","qty":3},{"sku":"BRA1","size":"M","color":"TRẮNG","qty":2},{"sku":"BRA1","size":"XL","color":"BE","qty":2},{"sku":"BRA2","size":"L","color":"ĐEN","qty":2},{"sku":"BRA2","size":"M","color":"ĐEN","qty":2},{"sku":"BRA1","size":"M","color":"HỒNG","qty":1},{"sku":"BRA2","size":"S","color":"TRẮNG","qty":1},{"sku":92212,"size":"FZ","color":"TRẮNG","qty":1},{"sku":"MU01","size":"FZ","color":"BE","qty":2}]</t>
  </si>
  <si>
    <t>EB858864333CN</t>
  </si>
  <si>
    <t>8610 M TRẮNG x1, 9031 M TRẮNG x6, 8888 S TRẮNG x1, 9083 S XANH NHẠT x1, 9031 S TRẮNG x4, 8558 M ĐEN x2, 8558 M TRẮNG x2, 9500 L XANH NHẠT x2, 9500 M XANH NHẠT x2, 8770 FZ XANH x1, 8558 S HỒNG x1, 8770 FZ XANH THAN x1, 8770 FZ TRẮNG x2, 9091 L XANH THAN x1, 8888 M TRẮNG x1, CK98118 L ĐEN x1, 9500 S XANH NHẠT x1, M007 FZ TRANG x1, CK98118 S ĐEN x1, CK98118 XL ĐEN x1, M007 37.5 Onitsuka x1, M007 37 Onitsuka x1, M007 39 Onitsuka x1, P661W13310 36 BE x7000, P661W13310 37 BE x7000, P230MTX362 36 NÂU x2900, P230MTX362 38 BE x2900, M005 39 NÂU x2350, M005 36 NÂU x2350, 8876 S ĐEN x1, 8558 M HỒNG x1</t>
  </si>
  <si>
    <t>[{"sku":8610,"size":"M","color":"TRẮNG","qty":1},{"sku":9031,"size":"M","color":"TRẮNG","qty":6},{"sku":8888,"size":"S","color":"TRẮNG","qty":1},{"sku":9083,"size":"S","color":"XANH NHẠT","qty":1},{"sku":9031,"size":"S","color":"TRẮNG","qty":4},{"sku":8558,"size":"M","color":"ĐEN","qty":2},{"sku":8558,"size":"M","color":"TRẮNG","qty":2},{"sku":9500,"size":"L","color":"XANH NHẠT","qty":2},{"sku":9500,"size":"M","color":"XANH NHẠT","qty":2},{"sku":8770,"size":"FZ","color":"XANH","qty":1},{"sku":8558,"size":"S","color":"HỒNG","qty":1},{"sku":8770,"size":"FZ","color":"XANH THAN","qty":1},{"sku":8770,"size":"FZ","color":"TRẮNG","qty":2},{"sku":9091,"size":"L","color":"XANH THAN","qty":1},{"sku":8888,"size":"M","color":"TRẮNG","qty":1},{"sku":"CK98118","size":"L","color":"ĐEN","qty":1},{"sku":9500,"size":"S","color":"XANH NHẠT","qty":1},{"sku":"M007","size":"FZ","color":"TRANG","qty":1},{"sku":"CK98118","size":"S","color":"ĐEN","qty":1},{"sku":"CK98118","size":"XL","color":"ĐEN","qty":1},{"sku":"M007","size":"37.5","color":"Onitsuka","qty":1},{"sku":"M007","size":"37","color":"Onitsuka","qty":1},{"sku":"M007","size":"39","color":"Onitsuka","qty":1},{"sku":"P661W13310","size":"36","color":"BE","qty":7000},{"sku":"P661W13310","size":"37","color":"BE","qty":7000},{"sku":"P230MTX362","size":"36","color":"NÂU","qty":2900},{"sku":"P230MTX362","size":"38","color":"BE","qty":2900},{"sku":"M005","size":"39","color":"NÂU","qty":2350},{"sku":"M005","size":"36","color":"NÂU","qty":2350},{"sku":"8876","size":"S","color":"ĐEN","qty":1},{"sku":"8558","size":"M","color":"HỒNG","qty":1}]</t>
  </si>
  <si>
    <t>EB858864347CN</t>
  </si>
  <si>
    <t>M012 FZ VÀNG x24, M018 FZ BE x20, M012 FZ XANH NHẠT x10, 8319 S XANH THAN x7, 8610 M TRẮNG x6, 9083 S XANH NHẠT x4, 9277 FZ TRẮNG x4, M011 FZ NEW MOTION x2, 9277 FZ ĐEN x1, 9369 L XANH THAN x1, 9369 M XANH THAN x1, DEP1 35 TRẮNG x1, DEP1 37 ĐEN x1, DEP1 37 TRẮNG x1, DEP1 35 ĐEN x1, DEP1 36 TRẮNG x1, DEP1 36 XÁM x1, M007 FZ TRANGTHIEU x1, M007 FZ Lam Lam x1, 7249 M XANH NHẠT x1, 9094 S XANH THAN x1, 9094 S XÁM x1</t>
  </si>
  <si>
    <t>[{"sku":"M012","size":"FZ","color":"VÀNG","qty":24},{"sku":"M018","size":"FZ","color":"BE","qty":20},{"sku":"M012","size":"FZ","color":"XANH NHẠT","qty":10},{"sku":8319,"size":"S","color":"XANH THAN","qty":7},{"sku":8610,"size":"M","color":"TRẮNG","qty":6},{"sku":9083,"size":"S","color":"XANH NHẠT","qty":4},{"sku":9277,"size":"FZ","color":"TRẮNG","qty":4},{"sku":"M011","size":"FZ","color":"NEW MOTION","qty":2},{"sku":9277,"size":"FZ","color":"ĐEN","qty":1},{"sku":9369,"size":"L","color":"XANH THAN","qty":1},{"sku":9369,"size":"M","color":"XANH THAN","qty":1},{"sku":"DEP1","size":35,"color":"TRẮNG","qty":1},{"sku":"DEP1","size":37,"color":"ĐEN","qty":1},{"sku":"DEP1","size":37,"color":"TRẮNG","qty":1},{"sku":"DEP1","size":35,"color":"ĐEN","qty":1},{"sku":"DEP1","size":36,"color":"TRẮNG","qty":1},{"sku":"DEP1","size":36,"color":"XÁM","qty":1},{"sku":"M007","size":"FZ","color":"TRANGTHIEU","qty":1},{"sku":"M007","size":"FZ","color":"Lam Lam","qty":1},{"sku":"7249","size":"M","color":"XANH NHẠT","qty":1},{"sku":"9094","size":"S","color":"XANH THAN","qty":1},{"sku":"9094","size":"S","color":"XÁM","qty":1}]</t>
  </si>
  <si>
    <t>EB858937438CN</t>
  </si>
  <si>
    <t>QUAN1 M A x5, QUAN1 M B x4, M015 M BE x5, M015 M XANH LÁ x5, M015 S BE x5, QUAN1 L A x3, M016 M ĐEN x4, M010 FZ TRẮNG x4, QUAN1 L B x2, M015 S XÁM x3, M015 M HỒNG x3, M015 M ĐEN x3, M016 L ĐEN x3, M016 L XANH THAN x3, QUAN1 XL C x1, P651W13112C 37 BE x2, QUAN1 M C x2, QUAN1 L C x2, M016 M XANH THAN x2, M017 L 1 x2, M017 L 3 x2, M007 FZ LiLy x1, M016 XL ĐEN x2, M016 XL TRẮNG x2, M016 M XÁM x2, P661W12375 35 HỒNG x1,  P651W13112C 39 BE x1, M017 L 6 x1, M017 2XL 3 x1, M017 2XL 2 x1, M017 L 4 x1, M007 M NHUNG KULS x1, GIAY1 37 BE x1, M007 FZ BichChung x1, GIAY1 35 BE x1, P661W12375 38 BE x1, PX241WAS932 38 BE x1, P651W13112C 37 HỒNG x1, P651W13112C 36 BE x1, M001 38 ĐEN x1, M001 36 ĐEN x1, M001 38 BE x1, M001 37 ĐEN x1</t>
  </si>
  <si>
    <t>[{"sku":"QUAN1","size":"M","color":"A","qty":5},{"sku":"QUAN1","size":"M","color":"B","qty":4},{"sku":"M015","size":"M","color":"BE","qty":5},{"sku":"M015","size":"M","color":"XANH LÁ","qty":5},{"sku":"M015","size":"S","color":"BE","qty":5},{"sku":"QUAN1","size":"L","color":"A","qty":3},{"sku":"M016","size":"M","color":"ĐEN","qty":4},{"sku":"M010","size":"FZ","color":"TRẮNG","qty":4},{"sku":"QUAN1","size":"L","color":"B","qty":2},{"sku":"M015","size":"S","color":"XÁM","qty":3},{"sku":"M015","size":"M","color":"HỒNG","qty":3},{"sku":"M015","size":"M","color":"ĐEN","qty":3},{"sku":"M016","size":"L","color":"ĐEN","qty":3},{"sku":"M016","size":"L","color":"XANH THAN","qty":3},{"sku":"QUAN1","size":"XL","color":"C","qty":1},{"sku":"P651W13112C","size":37,"color":"BE","qty":2},{"sku":"QUAN1","size":"M","color":"C","qty":2},{"sku":"QUAN1","size":"L","color":"C","qty":2},{"sku":"M016","size":"M","color":"XANH THAN","qty":2},{"sku":"M017","size":"L","color":1,"qty":2},{"sku":"M017","size":"L","color":3,"qty":2},{"sku":"M007","size":"FZ","color":"LiLy","qty":1},{"sku":"M016","size":"XL","color":"ĐEN","qty":2},{"sku":"M016","size":"XL","color":"TRẮNG","qty":2},{"sku":"M016","size":"M","color":"XÁM","qty":2},{"sku":"P661W12375","size":35,"color":"HỒNG","qty":1},{"sku":" P651W13112C","size":39,"color":"BE","qty":1},{"sku":"M017","size":"L","color":6,"qty":1},{"sku":"M017","size":"2XL","color":3,"qty":1},{"sku":"M017","size":"2XL","color":2,"qty":1},{"sku":"M017","size":"L","color":4,"qty":1},{"sku":"M007","size":"M","color":"NHUNG KULS","qty":1},{"sku":"GIAY1","size":37,"color":"BE","qty":1},{"sku":"M007","size":"FZ","color":"BichChung","qty":1},{"sku":"GIAY1","size":35,"color":"BE","qty":1},{"sku":"P661W12375","size":38,"color":"BE","qty":1},{"sku":"PX241WAS932","size":38,"color":"BE","qty":1},{"sku":"P651W13112C","size":37,"color":"HỒNG","qty":1},{"sku":"P651W13112C","size":36,"color":"BE","qty":1},{"sku":"M001","size":"38","color":"ĐEN","qty":1},{"sku":"M001","size":"36","color":"ĐEN","qty":1},{"sku":"M001","size":"38","color":"BE","qty":1},{"sku":"M001","size":"37","color":"ĐEN","qty":1}]</t>
  </si>
  <si>
    <t>EB858544983CN</t>
  </si>
  <si>
    <t>6612 FZ 4 x1, M011 FZ BREAKME x4, M011 FZ VINTAGE BOUQUET x4, M009 M XÁM x1, BRA2 L BE x1, M009 M XANH THAN x1, 6612 FZ 5 x1, QUAN1 M B x2, 8436 M TRẮNG x1, BRA2 XL BE x1, BRA2 XL ĐEN x1, M007 FZ THUONGBUI x1, M007 FZ NANAPURPLE x1, M007 FZ HALINH x1, M007 FZ TRAMANH x1, M007 FZ MY YU x1, M007 FZ THUONGVU x1, QUAN1 L B x1, QUAN1 L A x1, M009 M ĐEN x1, QUAN1 M A x1, M009 XL ĐEN x1, M009 XL XANH THAN x1</t>
  </si>
  <si>
    <t>[{"sku":6612,"size":"FZ","color":4,"qty":1},{"sku":"M011","size":"FZ","color":"BREAKME","qty":4},{"sku":"M011","size":"FZ","color":"VINTAGE BOUQUET","qty":4},{"sku":"M009","size":"M","color":"XÁM","qty":1},{"sku":"BRA2","size":"L","color":"BE","qty":1},{"sku":"M009","size":"M","color":"XANH THAN","qty":1},{"sku":6612,"size":"FZ","color":5,"qty":1},{"sku":"QUAN1","size":"M","color":"B","qty":2},{"sku":8436,"size":"M","color":"TRẮNG","qty":1},{"sku":"BRA2","size":"XL","color":"BE","qty":1},{"sku":"BRA2","size":"XL","color":"ĐEN","qty":1},{"sku":"M007","size":"FZ","color":"THUONGBUI","qty":1},{"sku":"M007","size":"FZ","color":"NANAPURPLE","qty":1},{"sku":"M007","size":"FZ","color":"HALINH","qty":1},{"sku":"M007","size":"FZ","color":"TRAMANH","qty":1},{"sku":"M007","size":"FZ","color":"MY YU","qty":1},{"sku":"M007","size":"FZ","color":"THUONGVU","qty":1},{"sku":"QUAN1","size":"L","color":"B","qty":1},{"sku":"QUAN1","size":"L","color":"A","qty":1},{"sku":"M009","size":"M","color":"ĐEN","qty":1},{"sku":"QUAN1","size":"M","color":"A","qty":1},{"sku":"M009","size":"XL","color":"ĐEN","qty":1},{"sku":"M009","size":"XL","color":"XANH THAN","qty":1}]</t>
  </si>
  <si>
    <t>EB859064612CN</t>
  </si>
  <si>
    <t>M016 M TRẮNG x6, M016 L TRẮNG x5, M016 L XÁM x5, 92212 FZ XÁM x3, TUI1 FZ NÂU x3, 92212 FZ HỒNG x3, M015 L ĐEN x3, M015 S HỒNG x3, TUI1 FZ TRẮNG x3, M015 S XANH LÁ x2, M009 M XÁM x2, TRA1 FZ VÀNG x4, M015 S ĐEN x2, 8684 S TRẮNG x1, 8684 M TRẮNG x1, 9425 M XANH THAN x1, M015 2XL XÁM x1, 92212 M ĐEN x1, M015 L TÍM x1, M009 5XL XÁM x1, M009 5XL ĐEN x1, M015 M XÁM x1, M015 L XÁM x1, TUI1 FZ ĐEN x1, M009 M XANH THAN x1, M007 FZ PHANTRANG x1, M015 L XANH LÁ x1, M015 XL XÁM x1, M015 L BE x1, TUI1 FZ XANH LÁ x1, M009 M ĐEN x1, M007 FZ GIANGVU x1</t>
  </si>
  <si>
    <t>[{"sku":"M016","size":"M","color":"TRẮNG","qty":6},{"sku":"M016","size":"L","color":"TRẮNG","qty":5},{"sku":"M016","size":"L","color":"XÁM","qty":5},{"sku":92212,"size":"FZ","color":"XÁM","qty":3},{"sku":"TUI1","size":"FZ","color":"NÂU","qty":3},{"sku":92212,"size":"FZ","color":"HỒNG","qty":3},{"sku":"M015","size":"L","color":"ĐEN","qty":3},{"sku":"M015","size":"S","color":"HỒNG","qty":3},{"sku":"TUI1","size":"FZ","color":"TRẮNG","qty":3},{"sku":"M015","size":"S","color":"XANH LÁ","qty":2},{"sku":"M009","size":"M","color":"XÁM","qty":2},{"sku":"TRA1","size":"FZ","color":"VÀNG","qty":4},{"sku":"M015","size":"S","color":"ĐEN","qty":2},{"sku":8684,"size":"S","color":"TRẮNG","qty":1},{"sku":8684,"size":"M","color":"TRẮNG","qty":1},{"sku":9425,"size":"M","color":"XANH THAN","qty":1},{"sku":"M015","size":"2XL","color":"XÁM","qty":1},{"sku":92212,"size":"M","color":"ĐEN","qty":1},{"sku":"M015","size":"L","color":"TÍM","qty":1},{"sku":"M009","size":"5XL","color":"XÁM","qty":1},{"sku":"M009","size":"5XL","color":"ĐEN","qty":1},{"sku":"M015","size":"M","color":"XÁM","qty":1},{"sku":"M015","size":"L","color":"XÁM","qty":1},{"sku":"TUI1","size":"FZ","color":"ĐEN","qty":1},{"sku":"M009","size":"M","color":"XANH THAN","qty":1},{"sku":"M007","size":"FZ","color":"PHANTRANG","qty":1},{"sku":"M015","size":"L","color":"XANH LÁ","qty":1},{"sku":"M015","size":"XL","color":"XÁM","qty":1},{"sku":"M015","size":"L","color":"BE","qty":1},{"sku":"TUI1","size":"FZ","color":"XANH LÁ","qty":1},{"sku":"M009","size":"M","color":"ĐEN","qty":1},{"sku":"M007","size":"FZ","color":"GIANGVU","qty":1}]</t>
  </si>
  <si>
    <t>EB859424465CN</t>
  </si>
  <si>
    <t>5670 S TRẮNG x7, 5670 M TRẮNG x7, BRA3 L BE x2, BRA3 L ĐEN x2, 9064 S ĐEN x4, M018 FZ BE x1, 6612 FZ 4 x4, 6612 FZ 5 x12, 9408 M XÁM x3, 9408 S XÁM x3, 6612 FZ 3 x2, BRA1 L BE x3, 6612 FZ 2 x4, CK98118 M ĐEN x2, 9064 M ĐEN x2, BRA2 M TRẮNG x2, M007 FZ VuThiKimDung x1, 1653 M TRẮNG x3, 1639 S CAM x3, 9094 M XANH THAN x1, 9094 M HỒNG x1, 6612 FZ 1 x1, 6612 FZ 8 x1, BRA2 M BE x1, BRA2 L BE x2, BRA1 M ĐEN x1, BRA1 M BE x2, BRA3 M XÁM x1, BRA3 M TRẮNG x1, BRA3 L XÁM x1, 1653 S TRẮNG x2, 1639 M CAM x2, M007 FZ SINHNGUYEN x1, M007 FZ Angelia Tran x1, M007 FZ NHUNGDO x2, M007 FZ TRANNHATLE x1, M007 FZ Lily x1, 6612 FZ 6 x1, 6612 FZ 9 x4</t>
  </si>
  <si>
    <t>[{"sku":5670,"size":"S","color":"TRẮNG","qty":7},{"sku":5670,"size":"M","color":"TRẮNG","qty":7},{"sku":"BRA3","size":"L","color":"BE","qty":2},{"sku":"BRA3","size":"L","color":"ĐEN","qty":2},{"sku":9064,"size":"S","color":"ĐEN","qty":4},{"sku":"M018","size":"FZ","color":"BE","qty":1},{"sku":6612,"size":"FZ","color":4,"qty":4},{"sku":6612,"size":"FZ","color":5,"qty":12},{"sku":9408,"size":"M","color":"XÁM","qty":3},{"sku":9408,"size":"S","color":"XÁM","qty":3},{"sku":6612,"size":"FZ","color":3,"qty":2},{"sku":"BRA1","size":"L","color":"BE","qty":3},{"sku":6612,"size":"FZ","color":2,"qty":4},{"sku":"CK98118","size":"M","color":"ĐEN","qty":2},{"sku":9064,"size":"M","color":"ĐEN","qty":2},{"sku":"BRA2","size":"M","color":"TRẮNG","qty":2},{"sku":"M007","size":"FZ","color":"VuThiKimDung","qty":1},{"sku":1653,"size":"M","color":"TRẮNG","qty":3},{"sku":1639,"size":"S","color":"CAM","qty":3},{"sku":9094,"size":"M","color":"XANH THAN","qty":1},{"sku":9094,"size":"M","color":"HỒNG","qty":1},{"sku":6612,"size":"FZ","color":1,"qty":1},{"sku":6612,"size":"FZ","color":8,"qty":1},{"sku":"BRA2","size":"M","color":"BE","qty":1},{"sku":"BRA2","size":"L","color":"BE","qty":2},{"sku":"BRA1","size":"M","color":"ĐEN","qty":1},{"sku":"BRA1","size":"M","color":"BE","qty":2},{"sku":"BRA3","size":"M","color":"XÁM","qty":1},{"sku":"BRA3","size":"M","color":"TRẮNG","qty":1},{"sku":"BRA3","size":"L","color":"XÁM","qty":1},{"sku":1653,"size":"S","color":"TRẮNG","qty":2},{"sku":1639,"size":"M","color":"CAM","qty":2},{"sku":"M007","size":"FZ","color":"SINHNGUYEN","qty":1},{"sku":"M007","size":"FZ","color":"Angelia Tran","qty":1},{"sku":"M007","size":"FZ","color":"NHUNGDO","qty":2},{"sku":"M007","size":"FZ","color":"TRANNHATLE","qty":1},{"sku":"M007","size":"FZ","color":"Lily","qty":1},{"sku":"6612","size":"FZ","color":"6","qty":1},{"sku":"6612","size":"FZ","color":"9","qty":4}]</t>
  </si>
  <si>
    <t>EB859866786CN</t>
  </si>
  <si>
    <t>M010 FZ TRẮNG x10, MU01 FZ BE x7, MU01 FZ NÂU NHẠT x4, MU01 FZ HỒNG x4, MU01 FZ XANH THAN x5, MU01 FZ NÂU x4, M019 37 ĐEN x4, 92212 FZ HỒNG x3, M019 38 NÂU x3, M019 38 ĐEN x3, MU01 FZ ĐEN x2, DEP1 37 TRẮNG x1, M015 M XANH LÁ x1, BRA2 L ĐEN x2, DEP1 36 ĐEN x1, 92212 FZ ĐEN x1, M015 M ĐEN x1, M015 M TÍM x1, M015 L XÁM x1, M015 L ĐEN x1, M019 37 NÂU x1, M019 39 ĐEN x1, M019 36 NÂU x1, 92212 FZ TRẮNG x1, M019 39 ĐỎ x1, M019 38 ĐỎ x1, CK98118 S ĐEN x2, GIAY1 36 BE x1, DEP1 36 TRẮNG x1, M015 S ĐEN x1, GIAY1 39 ĐEN x1, M015 3XL ĐEN x1, BRA2 L TRẮNG x1, BRA2 M TRẮNG x1, M009 XL ĐEN x1, M009 XL XÁM x1, M014 FZ TÍM x1</t>
  </si>
  <si>
    <t>[{"sku":"M010","size":"FZ","color":"TRẮNG","qty":10},{"sku":"MU01","size":"FZ","color":"BE","qty":7},{"sku":"MU01","size":"FZ","color":"NÂU NHẠT","qty":4},{"sku":"MU01","size":"FZ","color":"HỒNG","qty":4},{"sku":"MU01","size":"FZ","color":"XANH THAN","qty":5},{"sku":"MU01","size":"FZ","color":"NÂU","qty":4},{"sku":"M019","size":37,"color":"ĐEN","qty":4},{"sku":92212,"size":"FZ","color":"HỒNG","qty":3},{"sku":"M019","size":38,"color":"NÂU","qty":3},{"sku":"M019","size":38,"color":"ĐEN","qty":3},{"sku":"MU01","size":"FZ","color":"ĐEN","qty":2},{"sku":"DEP1","size":37,"color":"TRẮNG","qty":1},{"sku":"M015","size":"M","color":"XANH LÁ","qty":1},{"sku":"BRA2","size":"L","color":"ĐEN","qty":2},{"sku":"DEP1","size":36,"color":"ĐEN","qty":1},{"sku":92212,"size":"FZ","color":"ĐEN","qty":1},{"sku":"M015","size":"M","color":"ĐEN","qty":1},{"sku":"M015","size":"M","color":"TÍM","qty":1},{"sku":"M015","size":"L","color":"XÁM","qty":1},{"sku":"M015","size":"L","color":"ĐEN","qty":1},{"sku":"M019","size":37,"color":"NÂU","qty":1},{"sku":"M019","size":39,"color":"ĐEN","qty":1},{"sku":"M019","size":36,"color":"NÂU","qty":1},{"sku":92212,"size":"FZ","color":"TRẮNG","qty":1},{"sku":"M019","size":39,"color":"ĐỎ","qty":1},{"sku":"M019","size":38,"color":"ĐỎ","qty":1},{"sku":"CK98118","size":"S","color":"ĐEN","qty":2},{"sku":"GIAY1","size":36,"color":"BE","qty":1},{"sku":"DEP1","size":36,"color":"TRẮNG","qty":1},{"sku":"M015","size":"S","color":"ĐEN","qty":1},{"sku":"GIAY1","size":39,"color":"ĐEN","qty":1},{"sku":"M015","size":"3XL","color":"ĐEN","qty":1},{"sku":"BRA2","size":"L","color":"TRẮNG","qty":1},{"sku":"BRA2","size":"M","color":"TRẮNG","qty":1},{"sku":"M009","size":"XL","color":"ĐEN","qty":1},{"sku":"M009","size":"XL","color":"XÁM","qty":1},{"sku":"M014","size":"FZ","color":"TÍM","qty":1}]</t>
  </si>
  <si>
    <t>EB859664846CN</t>
  </si>
  <si>
    <t>M020 FZ XANH LÁ x14, M007 FZ LAMLAM x1, M007 FZ BUILUONG x1, M007 FZ PHAMLE x1, P661W13310 37 BE x1, P661W13310 38 BE x1, P661W13310 39 BE x1, P651W13112C 40 BE x1, P651W13112C 35 BE x1, P651W13112C 38 BE x1, P651W13112C 36 BE x1, P654W14261 37 NÂU x1, P651W13112C 39 BE x1, P651W13112C 37 XANH LÁ x1, P230MTX362-T800 39 NÂU x1, PX241WAS932 37 BE x1</t>
  </si>
  <si>
    <t>[{"sku":"M020","size":"FZ","color":"XANH LÁ","qty":14},{"sku":"M007","size":"FZ","color":"LAMLAM","qty":1},{"sku":"M007","size":"FZ","color":"BUILUONG","qty":1},{"sku":"M007","size":"FZ","color":"PHAMLE","qty":1},{"sku":"P661W13310","size":37,"color":"BE","qty":1},{"sku":"P661W13310","size":38,"color":"BE","qty":1},{"sku":"P661W13310","size":39,"color":"BE","qty":1},{"sku":"P651W13112C","size":40,"color":"BE","qty":1},{"sku":"P651W13112C","size":35,"color":"BE","qty":1},{"sku":"P651W13112C","size":38,"color":"BE","qty":1},{"sku":"P651W13112C","size":36,"color":"BE","qty":1},{"sku":"P654W14261","size":37,"color":"NÂU","qty":1},{"sku":"P651W13112C","size":39,"color":"BE","qty":1},{"sku":"P651W13112C","size":37,"color":"XANH LÁ","qty":1},{"sku":"P230MTX362-T800","size":39,"color":"NÂU","qty":1},{"sku":"PX241WAS932","size":37,"color":"BE","qty":1}]</t>
  </si>
  <si>
    <t>Đã Đặt</t>
  </si>
  <si>
    <t/>
  </si>
  <si>
    <t>Đã đặt</t>
  </si>
  <si>
    <t>5344</t>
  </si>
  <si>
    <t>7137</t>
  </si>
  <si>
    <t>7249</t>
  </si>
  <si>
    <t>7307</t>
  </si>
  <si>
    <t>7322</t>
  </si>
  <si>
    <t>7398</t>
  </si>
  <si>
    <t>7436</t>
  </si>
  <si>
    <t>7458</t>
  </si>
  <si>
    <t>7739</t>
  </si>
  <si>
    <t>7859</t>
  </si>
  <si>
    <t>7910</t>
  </si>
  <si>
    <t>7957</t>
  </si>
  <si>
    <t>8319</t>
  </si>
  <si>
    <t>8514</t>
  </si>
  <si>
    <t>8521</t>
  </si>
  <si>
    <t>8625</t>
  </si>
  <si>
    <t>8646</t>
  </si>
  <si>
    <t>8740</t>
  </si>
  <si>
    <t>8748</t>
  </si>
  <si>
    <t>8856</t>
  </si>
  <si>
    <t>8867</t>
  </si>
  <si>
    <t>8876</t>
  </si>
  <si>
    <t>8886</t>
  </si>
  <si>
    <t>9369</t>
  </si>
  <si>
    <t>35</t>
  </si>
  <si>
    <t>36</t>
  </si>
  <si>
    <t>37</t>
  </si>
  <si>
    <t>38</t>
  </si>
  <si>
    <t>39</t>
  </si>
  <si>
    <t>40</t>
  </si>
  <si>
    <t>5709</t>
  </si>
  <si>
    <t>81813</t>
  </si>
  <si>
    <t>8865</t>
  </si>
  <si>
    <t>9094</t>
  </si>
  <si>
    <t>9140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</si>
</sst>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yyyy-mm-dd"/>
    <numFmt numFmtId="166" formatCode="dd/mm/yyyy"/>
    <numFmt numFmtId="167" formatCode="0.0%"/>
    <numFmt numFmtId="168" formatCode="yyyy-mm-dd hh:mm"/>
  </numFmts>
  <fonts count="15">
    <font>
      <sz val="10.0"/>
      <color rgb="FF000000"/>
      <name val="Arial"/>
      <scheme val="minor"/>
    </font>
    <font>
      <b/>
      <color theme="1"/>
      <name val="Arial"/>
      <scheme val="minor"/>
    </font>
    <font>
      <color theme="1"/>
      <name val="Arial"/>
      <scheme val="minor"/>
    </font>
    <font>
      <u/>
      <color rgb="FF0000FF"/>
    </font>
    <font>
      <u/>
      <color rgb="FF0000FF"/>
    </font>
    <font>
      <color theme="1"/>
      <name val="Arial"/>
    </font>
    <font>
      <color rgb="FF434343"/>
      <name val="Roboto"/>
    </font>
    <font>
      <color rgb="FF3D3D3D"/>
      <name val="Roboto"/>
    </font>
    <font>
      <u/>
      <color rgb="FF1155CC"/>
      <name val="Arial"/>
    </font>
    <font>
      <u/>
      <color rgb="FF0000FF"/>
      <name val="Arial"/>
    </font>
    <font>
      <u/>
      <color rgb="FF0000FF"/>
      <name val="Roboto"/>
    </font>
    <font>
      <u/>
      <color rgb="FF0000FF"/>
      <name val="Roboto"/>
    </font>
    <font>
      <b/>
      <sz val="14.0"/>
      <color theme="1"/>
      <name val="Arial"/>
      <scheme val="minor"/>
    </font>
    <font>
      <u/>
      <color rgb="FF0000FF"/>
    </font>
    <font>
      <b/>
      <color rgb="FFFFFFFF"/>
      <name val="Arial"/>
      <scheme val="minor"/>
    </font>
  </fonts>
  <fills count="7">
    <fill>
      <patternFill patternType="none"/>
    </fill>
    <fill>
      <patternFill patternType="lightGray"/>
    </fill>
    <fill>
      <patternFill patternType="solid">
        <fgColor rgb="FFF6F8F9"/>
        <bgColor rgb="FFF6F8F9"/>
      </patternFill>
    </fill>
    <fill>
      <patternFill patternType="solid">
        <fgColor rgb="FFFFFFFF"/>
        <bgColor rgb="FFFFFFFF"/>
      </patternFill>
    </fill>
    <fill>
      <patternFill patternType="solid">
        <fgColor rgb="FFE8DEF8"/>
        <bgColor rgb="FFE8DEF8"/>
      </patternFill>
    </fill>
    <fill>
      <patternFill patternType="solid">
        <fgColor rgb="FFFDF2F8"/>
        <bgColor rgb="FFFDF2F8"/>
      </patternFill>
    </fill>
    <fill>
      <patternFill patternType="solid">
        <fgColor rgb="FF7C3AED"/>
        <bgColor rgb="FF7C3AED"/>
      </patternFill>
    </fill>
  </fills>
  <borders count="11">
    <border/>
    <border>
      <right style="thin">
        <color rgb="FF284E3F"/>
      </right>
    </border>
    <border>
      <right style="thin">
        <color rgb="FFF6F8F9"/>
      </right>
      <top style="thin">
        <color rgb="FFF6F8F9"/>
      </top>
      <bottom style="thin">
        <color rgb="FFF6F8F9"/>
      </bottom>
    </border>
    <border>
      <right style="thin">
        <color rgb="FF284E3F"/>
      </right>
      <top style="thin">
        <color rgb="FFF6F8F9"/>
      </top>
      <bottom style="thin">
        <color rgb="FFF6F8F9"/>
      </bottom>
    </border>
    <border>
      <right style="thin">
        <color rgb="FFFFFFFF"/>
      </right>
      <bottom style="thin">
        <color rgb="FFF6F8F9"/>
      </bottom>
    </border>
    <border>
      <right style="thin">
        <color rgb="FF284E3F"/>
      </right>
      <bottom style="thin">
        <color rgb="FFF6F8F9"/>
      </bottom>
    </border>
    <border>
      <right style="thin">
        <color rgb="FFF6F8F9"/>
      </right>
      <bottom style="thin">
        <color rgb="FFF6F8F9"/>
      </bottom>
    </border>
    <border>
      <left style="thin">
        <color rgb="FF3E4791"/>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3E4791"/>
      </left>
      <right style="thin">
        <color rgb="FFD9D9D9"/>
      </right>
      <top style="thin">
        <color rgb="FFD9D9D9"/>
      </top>
      <bottom style="thin">
        <color rgb="FF3E4791"/>
      </bottom>
    </border>
    <border>
      <left style="thin">
        <color rgb="FFD9D9D9"/>
      </left>
      <right style="thin">
        <color rgb="FFD9D9D9"/>
      </right>
      <top style="thin">
        <color rgb="FFD9D9D9"/>
      </top>
      <bottom style="thin">
        <color rgb="FF3E4791"/>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xf>
    <xf borderId="0" fillId="0" fontId="2" numFmtId="3" xfId="0" applyFont="1" applyNumberFormat="1"/>
    <xf borderId="0" fillId="0" fontId="4" numFmtId="0" xfId="0" applyAlignment="1" applyFont="1">
      <alignment readingOrder="0"/>
    </xf>
    <xf borderId="0" fillId="0" fontId="5" numFmtId="0" xfId="0" applyAlignment="1" applyFont="1">
      <alignment vertical="bottom"/>
    </xf>
    <xf borderId="1" fillId="0" fontId="5" numFmtId="0" xfId="0" applyAlignment="1" applyBorder="1" applyFont="1">
      <alignment horizontal="right" vertical="bottom"/>
    </xf>
    <xf borderId="2" fillId="2" fontId="6" numFmtId="0" xfId="0" applyAlignment="1" applyBorder="1" applyFill="1" applyFont="1">
      <alignment shrinkToFit="0" vertical="bottom" wrapText="0"/>
    </xf>
    <xf borderId="3" fillId="2" fontId="7" numFmtId="0" xfId="0" applyAlignment="1" applyBorder="1" applyFont="1">
      <alignment shrinkToFit="0" vertical="bottom" wrapText="0"/>
    </xf>
    <xf borderId="0" fillId="0" fontId="5" numFmtId="0" xfId="0" applyAlignment="1" applyFont="1">
      <alignment horizontal="right" vertical="bottom"/>
    </xf>
    <xf borderId="0" fillId="0" fontId="5" numFmtId="164" xfId="0" applyAlignment="1" applyFont="1" applyNumberFormat="1">
      <alignment readingOrder="0" vertical="bottom"/>
    </xf>
    <xf borderId="0" fillId="0" fontId="5" numFmtId="3" xfId="0" applyAlignment="1" applyFont="1" applyNumberFormat="1">
      <alignment vertical="bottom"/>
    </xf>
    <xf borderId="4" fillId="3" fontId="6" numFmtId="0" xfId="0" applyAlignment="1" applyBorder="1" applyFill="1" applyFont="1">
      <alignment shrinkToFit="0" vertical="bottom" wrapText="0"/>
    </xf>
    <xf borderId="5" fillId="3" fontId="7" numFmtId="0" xfId="0" applyAlignment="1" applyBorder="1" applyFont="1">
      <alignment shrinkToFit="0" vertical="bottom" wrapText="0"/>
    </xf>
    <xf borderId="6" fillId="2" fontId="6" numFmtId="0" xfId="0" applyAlignment="1" applyBorder="1" applyFont="1">
      <alignment shrinkToFit="0" vertical="bottom" wrapText="0"/>
    </xf>
    <xf borderId="5" fillId="2" fontId="6" numFmtId="0" xfId="0" applyAlignment="1" applyBorder="1" applyFont="1">
      <alignment shrinkToFit="0" vertical="bottom" wrapText="0"/>
    </xf>
    <xf borderId="5" fillId="3" fontId="6" numFmtId="0" xfId="0" applyAlignment="1" applyBorder="1" applyFont="1">
      <alignment shrinkToFit="0" vertical="bottom" wrapText="0"/>
    </xf>
    <xf borderId="5" fillId="2" fontId="7" numFmtId="0" xfId="0" applyAlignment="1" applyBorder="1" applyFont="1">
      <alignment shrinkToFit="0" vertical="bottom" wrapText="0"/>
    </xf>
    <xf borderId="0" fillId="0" fontId="8" numFmtId="0" xfId="0" applyAlignment="1" applyFont="1">
      <alignment vertical="bottom"/>
    </xf>
    <xf borderId="1" fillId="0" fontId="5" numFmtId="0" xfId="0" applyAlignment="1" applyBorder="1" applyFont="1">
      <alignment horizontal="right" readingOrder="0" vertical="bottom"/>
    </xf>
    <xf borderId="0" fillId="0" fontId="5" numFmtId="0" xfId="0" applyAlignment="1" applyFont="1">
      <alignment horizontal="right" readingOrder="0" vertical="bottom"/>
    </xf>
    <xf borderId="0" fillId="0" fontId="5" numFmtId="0" xfId="0" applyAlignment="1" applyFont="1">
      <alignment readingOrder="0" vertical="bottom"/>
    </xf>
    <xf borderId="0" fillId="0" fontId="9" numFmtId="0" xfId="0" applyAlignment="1" applyFont="1">
      <alignment readingOrder="0" vertical="bottom"/>
    </xf>
    <xf borderId="0" fillId="0" fontId="2" numFmtId="0" xfId="0" applyAlignment="1" applyFont="1">
      <alignment horizontal="left" readingOrder="0"/>
    </xf>
    <xf borderId="0" fillId="0" fontId="2" numFmtId="164" xfId="0" applyFont="1" applyNumberFormat="1"/>
    <xf borderId="0" fillId="0" fontId="2" numFmtId="0" xfId="0" applyAlignment="1" applyFont="1">
      <alignment readingOrder="0"/>
    </xf>
    <xf borderId="0" fillId="0" fontId="2" numFmtId="0" xfId="0" applyAlignment="1" applyFont="1">
      <alignment shrinkToFit="0" vertical="center" wrapText="0"/>
    </xf>
    <xf borderId="0" fillId="0" fontId="2" numFmtId="165" xfId="0" applyAlignment="1" applyFont="1" applyNumberFormat="1">
      <alignment readingOrder="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Font="1"/>
    <xf borderId="0" fillId="4" fontId="1" numFmtId="0" xfId="0" applyAlignment="1" applyFill="1" applyFont="1">
      <alignment readingOrder="0"/>
    </xf>
    <xf borderId="0" fillId="0" fontId="2" numFmtId="14" xfId="0" applyAlignment="1" applyFont="1" applyNumberFormat="1">
      <alignment readingOrder="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166"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7" fillId="2" fontId="6" numFmtId="0" xfId="0" applyAlignment="1" applyBorder="1" applyFont="1">
      <alignment horizontal="right" shrinkToFit="0" vertical="center" wrapText="0"/>
    </xf>
    <xf borderId="8" fillId="2" fontId="6" numFmtId="0" xfId="0" applyAlignment="1" applyBorder="1" applyFont="1">
      <alignment shrinkToFit="0" vertical="center" wrapText="0"/>
    </xf>
    <xf borderId="8" fillId="2" fontId="6" numFmtId="0" xfId="0" applyAlignment="1" applyBorder="1" applyFont="1">
      <alignment horizontal="right" shrinkToFit="0" vertical="center" wrapText="0"/>
    </xf>
    <xf borderId="8" fillId="2" fontId="6" numFmtId="166" xfId="0" applyAlignment="1" applyBorder="1" applyFont="1" applyNumberFormat="1">
      <alignment horizontal="right" shrinkToFit="0" vertical="center" wrapText="0"/>
    </xf>
    <xf borderId="7" fillId="3" fontId="6" numFmtId="0" xfId="0" applyAlignment="1" applyBorder="1" applyFont="1">
      <alignment horizontal="right" shrinkToFit="0" vertical="center" wrapText="0"/>
    </xf>
    <xf borderId="8" fillId="3" fontId="6" numFmtId="0" xfId="0" applyAlignment="1" applyBorder="1" applyFont="1">
      <alignment shrinkToFit="0" vertical="center" wrapText="0"/>
    </xf>
    <xf borderId="8" fillId="3" fontId="6" numFmtId="0" xfId="0" applyAlignment="1" applyBorder="1" applyFont="1">
      <alignment horizontal="right" shrinkToFit="0" vertical="center" wrapText="0"/>
    </xf>
    <xf borderId="8" fillId="3" fontId="6" numFmtId="166" xfId="0" applyAlignment="1" applyBorder="1" applyFont="1" applyNumberFormat="1">
      <alignment horizontal="right" shrinkToFit="0" vertical="center" wrapText="0"/>
    </xf>
    <xf borderId="9" fillId="2" fontId="6" numFmtId="0" xfId="0" applyAlignment="1" applyBorder="1" applyFont="1">
      <alignment horizontal="right" shrinkToFit="0" vertical="center" wrapText="0"/>
    </xf>
    <xf borderId="10" fillId="2" fontId="6" numFmtId="0" xfId="0" applyAlignment="1" applyBorder="1" applyFont="1">
      <alignment shrinkToFit="0" vertical="center" wrapText="0"/>
    </xf>
    <xf borderId="10" fillId="2" fontId="6" numFmtId="0" xfId="0" applyAlignment="1" applyBorder="1" applyFont="1">
      <alignment horizontal="right" shrinkToFit="0" vertical="center" wrapText="0"/>
    </xf>
    <xf borderId="10" fillId="2" fontId="6" numFmtId="166" xfId="0" applyAlignment="1" applyBorder="1" applyFont="1" applyNumberFormat="1">
      <alignment horizontal="right" shrinkToFit="0" vertical="center" wrapText="0"/>
    </xf>
    <xf borderId="0" fillId="2" fontId="6" numFmtId="0" xfId="0" applyAlignment="1" applyFont="1">
      <alignment horizontal="right" readingOrder="0" shrinkToFit="0" vertical="center" wrapText="0"/>
    </xf>
    <xf borderId="0" fillId="2" fontId="6" numFmtId="0" xfId="0" applyAlignment="1" applyFont="1">
      <alignment readingOrder="0" shrinkToFit="0" vertical="center" wrapText="0"/>
    </xf>
    <xf borderId="0" fillId="2" fontId="6" numFmtId="165" xfId="0" applyAlignment="1" applyFont="1" applyNumberFormat="1">
      <alignment horizontal="righ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1" numFmtId="0" xfId="0" applyAlignment="1" applyFont="1">
      <alignment horizontal="left" readingOrder="0" shrinkToFit="0" vertical="center" wrapText="0"/>
    </xf>
    <xf borderId="0" fillId="0" fontId="2" numFmtId="3" xfId="0" applyAlignment="1" applyFont="1" applyNumberFormat="1">
      <alignment readingOrder="0" shrinkToFit="0" vertical="center" wrapText="0"/>
    </xf>
    <xf borderId="0" fillId="0" fontId="2" numFmtId="167" xfId="0" applyAlignment="1" applyFont="1" applyNumberFormat="1">
      <alignment readingOrder="0" shrinkToFit="0" vertical="center" wrapText="0"/>
    </xf>
    <xf borderId="0" fillId="0" fontId="10"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3" xfId="0" applyAlignment="1" applyFont="1" applyNumberFormat="1">
      <alignment readingOrder="0" shrinkToFit="0" vertical="center" wrapText="0"/>
    </xf>
    <xf borderId="0" fillId="0" fontId="2" numFmtId="167" xfId="0" applyAlignment="1" applyFont="1" applyNumberForma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xf>
    <xf borderId="0" fillId="0" fontId="2" numFmtId="0" xfId="0" applyFont="1"/>
    <xf borderId="0" fillId="0" fontId="2" numFmtId="167" xfId="0" applyFont="1" applyNumberFormat="1"/>
    <xf borderId="0" fillId="5" fontId="1" numFmtId="0" xfId="0" applyAlignment="1" applyFill="1" applyFont="1">
      <alignment readingOrder="0"/>
    </xf>
    <xf borderId="0" fillId="0" fontId="1" numFmtId="49" xfId="0" applyAlignment="1" applyFont="1" applyNumberFormat="1">
      <alignment readingOrder="0"/>
    </xf>
    <xf borderId="0" fillId="0" fontId="2" numFmtId="49" xfId="0" applyAlignment="1" applyFont="1" applyNumberFormat="1">
      <alignment readingOrder="0"/>
    </xf>
    <xf borderId="0" fillId="0" fontId="2" numFmtId="49" xfId="0" applyFont="1" applyNumberFormat="1"/>
    <xf borderId="0" fillId="0" fontId="13" numFmtId="0" xfId="0" applyFont="1"/>
    <xf borderId="0" fillId="6" fontId="14" numFmtId="0" xfId="0" applyAlignment="1" applyFill="1" applyFont="1">
      <alignment readingOrder="0"/>
    </xf>
    <xf borderId="0" fillId="0" fontId="2" numFmtId="168" xfId="0" applyAlignment="1" applyFont="1" applyNumberFormat="1">
      <alignment readingOrder="0"/>
    </xf>
  </cellXfs>
  <cellStyles count="1">
    <cellStyle xfId="0" name="Normal" builtinId="0"/>
  </cellStyles>
  <dxfs count="1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b/>
        <color rgb="FF64748B"/>
      </font>
      <fill>
        <patternFill patternType="solid">
          <fgColor rgb="FFF1F5F9"/>
          <bgColor rgb="FFF1F5F9"/>
        </patternFill>
      </fill>
      <border/>
    </dxf>
    <dxf>
      <font>
        <b/>
        <color rgb="FF92400E"/>
      </font>
      <fill>
        <patternFill patternType="solid">
          <fgColor rgb="FFFEF3C7"/>
          <bgColor rgb="FFFEF3C7"/>
        </patternFill>
      </fill>
      <border/>
    </dxf>
    <dxf>
      <font>
        <b/>
        <color rgb="FF5B21B6"/>
      </font>
      <fill>
        <patternFill patternType="solid">
          <fgColor rgb="FFEDE9FE"/>
          <bgColor rgb="FFEDE9FE"/>
        </patternFill>
      </fill>
      <border/>
    </dxf>
    <dxf>
      <font>
        <b/>
        <color rgb="FF065F46"/>
      </font>
      <fill>
        <patternFill patternType="solid">
          <fgColor rgb="FFCCFBF1"/>
          <bgColor rgb="FFCCFBF1"/>
        </patternFill>
      </fill>
      <border/>
    </dxf>
    <dxf>
      <font>
        <b/>
        <color rgb="FF166534"/>
      </font>
      <fill>
        <patternFill patternType="solid">
          <fgColor rgb="FFDCFCE7"/>
          <bgColor rgb="FFDCFCE7"/>
        </patternFill>
      </fill>
      <border/>
    </dxf>
    <dxf>
      <font>
        <b/>
        <color rgb="FF991B1B"/>
      </font>
      <fill>
        <patternFill patternType="solid">
          <fgColor rgb="FFFEE2E2"/>
          <bgColor rgb="FFFEE2E2"/>
        </patternFill>
      </fill>
      <border/>
    </dxf>
    <dxf>
      <font/>
      <fill>
        <patternFill patternType="solid">
          <fgColor rgb="FF535FC1"/>
          <bgColor rgb="FF535FC1"/>
        </patternFill>
      </fill>
      <border/>
    </dxf>
    <dxf>
      <font>
        <b/>
        <color rgb="FF065F46"/>
      </font>
      <fill>
        <patternFill patternType="solid">
          <fgColor rgb="FFD1FAE5"/>
          <bgColor rgb="FFD1FAE5"/>
        </patternFill>
      </fill>
      <border/>
    </dxf>
    <dxf>
      <font>
        <color rgb="FF065F46"/>
      </font>
      <fill>
        <patternFill patternType="solid">
          <fgColor rgb="FFD1FAE5"/>
          <bgColor rgb="FFD1FAE5"/>
        </patternFill>
      </fill>
      <border/>
    </dxf>
    <dxf>
      <font>
        <color rgb="FF991B1B"/>
      </font>
      <fill>
        <patternFill patternType="solid">
          <fgColor rgb="FFFEE2E2"/>
          <bgColor rgb="FFFEE2E2"/>
        </patternFill>
      </fill>
      <border/>
    </dxf>
  </dxfs>
  <tableStyles count="4">
    <tableStyle count="4" pivot="0" name="NHẬP ĐƠN-style">
      <tableStyleElement dxfId="1" type="headerRow"/>
      <tableStyleElement dxfId="2" type="firstRowStripe"/>
      <tableStyleElement dxfId="3" type="secondRowStripe"/>
      <tableStyleElement dxfId="4" size="0" type="wholeTable"/>
    </tableStyle>
    <tableStyle count="4" pivot="0" name="KHO HÀNG-style">
      <tableStyleElement dxfId="12" type="headerRow"/>
      <tableStyleElement dxfId="2" type="firstRowStripe"/>
      <tableStyleElement dxfId="3" type="secondRowStripe"/>
      <tableStyleElement dxfId="4" size="0" type="wholeTable"/>
    </tableStyle>
    <tableStyle count="4" pivot="0" name="LỆNH GỬI HÀNG-style">
      <tableStyleElement dxfId="1" type="headerRow"/>
      <tableStyleElement dxfId="2" type="firstRowStripe"/>
      <tableStyleElement dxfId="3" type="secondRowStripe"/>
      <tableStyleElement dxfId="4" size="0" type="wholeTable"/>
    </tableStyle>
    <tableStyle count="4" pivot="0" name="CATA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D1:E3046" displayName="Bảng_1" name="Bảng_1" id="1">
  <tableColumns count="2">
    <tableColumn name="SIZE" id="1"/>
    <tableColumn name="COLOR" id="2"/>
  </tableColumns>
  <tableStyleInfo name="NHẬP ĐƠN-style" showColumnStripes="0" showFirstColumn="1" showLastColumn="1" showRowStripes="1"/>
</table>
</file>

<file path=xl/tables/table2.xml><?xml version="1.0" encoding="utf-8"?>
<table xmlns="http://schemas.openxmlformats.org/spreadsheetml/2006/main" ref="A1:F843" displayName="Product_Import_Log" name="Product_Import_Log" id="2">
  <autoFilter ref="$A$1:$F$843"/>
  <tableColumns count="6">
    <tableColumn name="Mã SP" id="1"/>
    <tableColumn name="Size" id="2"/>
    <tableColumn name="Color" id="3"/>
    <tableColumn name="Số lượng nhập" id="4"/>
    <tableColumn name="Ngày nhập" id="5"/>
    <tableColumn name="Ghi chú" id="6"/>
  </tableColumns>
  <tableStyleInfo name="KHO HÀNG-style" showColumnStripes="0" showFirstColumn="1" showLastColumn="1" showRowStripes="1"/>
</table>
</file>

<file path=xl/tables/table3.xml><?xml version="1.0" encoding="utf-8"?>
<table xmlns="http://schemas.openxmlformats.org/spreadsheetml/2006/main" ref="A1:E600" displayName="Khach_Hang_Check" name="Khach_Hang_Check" id="3">
  <autoFilter ref="$A$1:$E$600">
    <filterColumn colId="3">
      <filters blank="1"/>
    </filterColumn>
  </autoFilter>
  <tableColumns count="5">
    <tableColumn name="Tên khách" id="1"/>
    <tableColumn name="Tổng hàng order" id="2"/>
    <tableColumn name="Trạng thái hàng" id="3"/>
    <tableColumn name="Đã gửi" id="4"/>
    <tableColumn name="Ngày gửi" id="5"/>
  </tableColumns>
  <tableStyleInfo name="LỆNH GỬI HÀNG-style" showColumnStripes="0" showFirstColumn="1" showLastColumn="1" showRowStripes="1"/>
</table>
</file>

<file path=xl/tables/table4.xml><?xml version="1.0" encoding="utf-8"?>
<table xmlns="http://schemas.openxmlformats.org/spreadsheetml/2006/main" ref="A1:K119" displayName="Product_Sales_Metrics" name="Product_Sales_Metrics" id="4">
  <tableColumns count="11">
    <tableColumn name="Mã SP" id="1"/>
    <tableColumn name="Tên SP" id="2"/>
    <tableColumn name="Giá bán" id="3"/>
    <tableColumn name="Giá nhập" id="4"/>
    <tableColumn name="Lợi nhuận/SP" id="5"/>
    <tableColumn name="Margin %" id="6"/>
    <tableColumn name="Size" id="7"/>
    <tableColumn name="Màu" id="8"/>
    <tableColumn name="Đã bán" id="9"/>
    <tableColumn name="Loại" id="10"/>
    <tableColumn name="Cột 1" id="11"/>
  </tableColumns>
  <tableStyleInfo name="CATA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facebook.com/share/1FrfUX4efh/" TargetMode="External"/><Relationship Id="rId391" Type="http://schemas.openxmlformats.org/officeDocument/2006/relationships/hyperlink" Target="https://www.facebook.com/share/1FrfUX4efh/" TargetMode="External"/><Relationship Id="rId390" Type="http://schemas.openxmlformats.org/officeDocument/2006/relationships/hyperlink" Target="https://www.facebook.com/share/1FrfUX4efh/" TargetMode="External"/><Relationship Id="rId1" Type="http://schemas.openxmlformats.org/officeDocument/2006/relationships/comments" Target="../comments1.xml"/><Relationship Id="rId2" Type="http://schemas.openxmlformats.org/officeDocument/2006/relationships/hyperlink" Target="https://www.facebook.com/share/1QYxbzMHD7/?mibextid=wwXIfr" TargetMode="External"/><Relationship Id="rId3" Type="http://schemas.openxmlformats.org/officeDocument/2006/relationships/hyperlink" Target="https://www.facebook.com/share/17v6iyn5xx/?mibextid=wwXIfr" TargetMode="External"/><Relationship Id="rId4" Type="http://schemas.openxmlformats.org/officeDocument/2006/relationships/hyperlink" Target="https://www.facebook.com/share/1GzVVq96Za/?mibextid=wwXIfr" TargetMode="External"/><Relationship Id="rId2180" Type="http://schemas.openxmlformats.org/officeDocument/2006/relationships/hyperlink" Target="https://www.facebook.com/share/1D9n8Ri5ik/" TargetMode="External"/><Relationship Id="rId2181" Type="http://schemas.openxmlformats.org/officeDocument/2006/relationships/hyperlink" Target="https://www.facebook.com/share/1D9n8Ri5ik/" TargetMode="External"/><Relationship Id="rId2182" Type="http://schemas.openxmlformats.org/officeDocument/2006/relationships/hyperlink" Target="https://www.facebook.com/share/1D9n8Ri5ik/" TargetMode="External"/><Relationship Id="rId2183" Type="http://schemas.openxmlformats.org/officeDocument/2006/relationships/hyperlink" Target="https://www.facebook.com/share/1D9n8Ri5ik/" TargetMode="External"/><Relationship Id="rId9" Type="http://schemas.openxmlformats.org/officeDocument/2006/relationships/hyperlink" Target="https://www.facebook.com/share/1GJK8WCYwa/?mibextid=wwXIfr" TargetMode="External"/><Relationship Id="rId385" Type="http://schemas.openxmlformats.org/officeDocument/2006/relationships/hyperlink" Target="https://www.facebook.com/share/1EoaHnD36n/" TargetMode="External"/><Relationship Id="rId2184" Type="http://schemas.openxmlformats.org/officeDocument/2006/relationships/hyperlink" Target="https://www.facebook.com/share/17eeeBGbLa/" TargetMode="External"/><Relationship Id="rId384" Type="http://schemas.openxmlformats.org/officeDocument/2006/relationships/hyperlink" Target="https://www.facebook.com/share/1EoaHnD36n/" TargetMode="External"/><Relationship Id="rId2185" Type="http://schemas.openxmlformats.org/officeDocument/2006/relationships/hyperlink" Target="https://www.facebook.com/share/17eeeBGbLa/" TargetMode="External"/><Relationship Id="rId383" Type="http://schemas.openxmlformats.org/officeDocument/2006/relationships/hyperlink" Target="https://www.facebook.com/share/1EoaHnD36n/" TargetMode="External"/><Relationship Id="rId2186" Type="http://schemas.openxmlformats.org/officeDocument/2006/relationships/hyperlink" Target="https://www.facebook.com/share/1CH8C6iiYG/" TargetMode="External"/><Relationship Id="rId382" Type="http://schemas.openxmlformats.org/officeDocument/2006/relationships/hyperlink" Target="https://www.facebook.com/share/1EoaHnD36n/" TargetMode="External"/><Relationship Id="rId2187" Type="http://schemas.openxmlformats.org/officeDocument/2006/relationships/hyperlink" Target="https://www.facebook.com/share/17wUrLgWJm/" TargetMode="External"/><Relationship Id="rId5" Type="http://schemas.openxmlformats.org/officeDocument/2006/relationships/hyperlink" Target="https://www.facebook.com/share/18RcCZWJ6a/?mibextid=wwXIfr" TargetMode="External"/><Relationship Id="rId389" Type="http://schemas.openxmlformats.org/officeDocument/2006/relationships/hyperlink" Target="https://www.facebook.com/itsme01112000" TargetMode="External"/><Relationship Id="rId2188" Type="http://schemas.openxmlformats.org/officeDocument/2006/relationships/hyperlink" Target="https://www.facebook.com/share/1CtCcxfpvc/" TargetMode="External"/><Relationship Id="rId6" Type="http://schemas.openxmlformats.org/officeDocument/2006/relationships/hyperlink" Target="https://www.facebook.com/share/1EJQU4nE6g/?mibextid=wwXIfr" TargetMode="External"/><Relationship Id="rId388" Type="http://schemas.openxmlformats.org/officeDocument/2006/relationships/hyperlink" Target="https://www.facebook.com/share/1AxDrpTcLY/" TargetMode="External"/><Relationship Id="rId2189" Type="http://schemas.openxmlformats.org/officeDocument/2006/relationships/hyperlink" Target="https://www.facebook.com/share/1CtCcxfpvc/" TargetMode="External"/><Relationship Id="rId7" Type="http://schemas.openxmlformats.org/officeDocument/2006/relationships/hyperlink" Target="https://www.facebook.com/share/1D4ngbZHBR/?mibextid=wwXIfr" TargetMode="External"/><Relationship Id="rId387" Type="http://schemas.openxmlformats.org/officeDocument/2006/relationships/hyperlink" Target="https://www.facebook.com/share/1AxDrpTcLY/" TargetMode="External"/><Relationship Id="rId8" Type="http://schemas.openxmlformats.org/officeDocument/2006/relationships/hyperlink" Target="https://www.facebook.com/share/17GC4jqgbw/?mibextid=wwXIfr" TargetMode="External"/><Relationship Id="rId386" Type="http://schemas.openxmlformats.org/officeDocument/2006/relationships/hyperlink" Target="https://www.facebook.com/share/1EoaHnD36n/" TargetMode="External"/><Relationship Id="rId381" Type="http://schemas.openxmlformats.org/officeDocument/2006/relationships/hyperlink" Target="https://www.facebook.com/share/1EoaHnD36n/" TargetMode="External"/><Relationship Id="rId380" Type="http://schemas.openxmlformats.org/officeDocument/2006/relationships/hyperlink" Target="https://www.facebook.com/share/1EoaHnD36n/" TargetMode="External"/><Relationship Id="rId379" Type="http://schemas.openxmlformats.org/officeDocument/2006/relationships/hyperlink" Target="https://www.facebook.com/share/1HkP4iBJQd/" TargetMode="External"/><Relationship Id="rId2170" Type="http://schemas.openxmlformats.org/officeDocument/2006/relationships/hyperlink" Target="https://www.facebook.com/share/1KxoNShmDC/" TargetMode="External"/><Relationship Id="rId2171" Type="http://schemas.openxmlformats.org/officeDocument/2006/relationships/hyperlink" Target="https://www.facebook.com/share/1CeLi4ZVUH/" TargetMode="External"/><Relationship Id="rId2172" Type="http://schemas.openxmlformats.org/officeDocument/2006/relationships/hyperlink" Target="https://www.facebook.com/share/1AsNAxsP9V/" TargetMode="External"/><Relationship Id="rId374" Type="http://schemas.openxmlformats.org/officeDocument/2006/relationships/hyperlink" Target="https://www.facebook.com/share/1BxhrMGM3h/" TargetMode="External"/><Relationship Id="rId2173" Type="http://schemas.openxmlformats.org/officeDocument/2006/relationships/hyperlink" Target="https://www.facebook.com/share/1AsNAxsP9V/" TargetMode="External"/><Relationship Id="rId373" Type="http://schemas.openxmlformats.org/officeDocument/2006/relationships/hyperlink" Target="https://www.facebook.com/share/1BGzEsbzgj/" TargetMode="External"/><Relationship Id="rId2174" Type="http://schemas.openxmlformats.org/officeDocument/2006/relationships/hyperlink" Target="https://www.facebook.com/share/1AsNAxsP9V/" TargetMode="External"/><Relationship Id="rId372" Type="http://schemas.openxmlformats.org/officeDocument/2006/relationships/hyperlink" Target="https://www.facebook.com/share/1BGzEsbzgj/" TargetMode="External"/><Relationship Id="rId2175" Type="http://schemas.openxmlformats.org/officeDocument/2006/relationships/hyperlink" Target="https://www.facebook.com/share/1AsNAxsP9V/" TargetMode="External"/><Relationship Id="rId371" Type="http://schemas.openxmlformats.org/officeDocument/2006/relationships/hyperlink" Target="https://www.facebook.com/share/1AxJ2BYNjp/" TargetMode="External"/><Relationship Id="rId2176" Type="http://schemas.openxmlformats.org/officeDocument/2006/relationships/hyperlink" Target="https://www.facebook.com/share/1CvPmWu9yx/" TargetMode="External"/><Relationship Id="rId378" Type="http://schemas.openxmlformats.org/officeDocument/2006/relationships/hyperlink" Target="https://www.facebook.com/share/1HkP4iBJQd/" TargetMode="External"/><Relationship Id="rId2177" Type="http://schemas.openxmlformats.org/officeDocument/2006/relationships/hyperlink" Target="https://www.facebook.com/share/17yCtVK244/" TargetMode="External"/><Relationship Id="rId377" Type="http://schemas.openxmlformats.org/officeDocument/2006/relationships/hyperlink" Target="https://www.facebook.com/share/1HkP4iBJQd/" TargetMode="External"/><Relationship Id="rId2178" Type="http://schemas.openxmlformats.org/officeDocument/2006/relationships/hyperlink" Target="https://www.facebook.com/share/17yCtVK244/" TargetMode="External"/><Relationship Id="rId376" Type="http://schemas.openxmlformats.org/officeDocument/2006/relationships/hyperlink" Target="https://www.facebook.com/share/1BxhrMGM3h/" TargetMode="External"/><Relationship Id="rId2179" Type="http://schemas.openxmlformats.org/officeDocument/2006/relationships/hyperlink" Target="https://www.facebook.com/share/1DNy2bNk5o/" TargetMode="External"/><Relationship Id="rId375" Type="http://schemas.openxmlformats.org/officeDocument/2006/relationships/hyperlink" Target="https://www.facebook.com/share/1BxhrMGM3h/" TargetMode="External"/><Relationship Id="rId2190" Type="http://schemas.openxmlformats.org/officeDocument/2006/relationships/hyperlink" Target="https://www.facebook.com/share/19E4BJxBfx/" TargetMode="External"/><Relationship Id="rId2191" Type="http://schemas.openxmlformats.org/officeDocument/2006/relationships/hyperlink" Target="https://www.facebook.com/share/19E4BJxBfx/" TargetMode="External"/><Relationship Id="rId2192" Type="http://schemas.openxmlformats.org/officeDocument/2006/relationships/hyperlink" Target="https://www.facebook.com/share/19E4BJxBfx/" TargetMode="External"/><Relationship Id="rId2193" Type="http://schemas.openxmlformats.org/officeDocument/2006/relationships/hyperlink" Target="https://www.facebook.com/share/19E4BJxBfx/" TargetMode="External"/><Relationship Id="rId2194" Type="http://schemas.openxmlformats.org/officeDocument/2006/relationships/hyperlink" Target="https://www.facebook.com/share/1dGHMmMx6i/" TargetMode="External"/><Relationship Id="rId396" Type="http://schemas.openxmlformats.org/officeDocument/2006/relationships/hyperlink" Target="https://www.facebook.com/m.dggiuu001" TargetMode="External"/><Relationship Id="rId2195" Type="http://schemas.openxmlformats.org/officeDocument/2006/relationships/hyperlink" Target="https://www.facebook.com/share/14d15JGKikG/" TargetMode="External"/><Relationship Id="rId395" Type="http://schemas.openxmlformats.org/officeDocument/2006/relationships/hyperlink" Target="https://www.facebook.com/share/1BWvmwynPA/" TargetMode="External"/><Relationship Id="rId2196" Type="http://schemas.openxmlformats.org/officeDocument/2006/relationships/hyperlink" Target="https://www.facebook.com/share/18vUsW57D6/" TargetMode="External"/><Relationship Id="rId394" Type="http://schemas.openxmlformats.org/officeDocument/2006/relationships/hyperlink" Target="https://www.facebook.com/share/1BWvmwynPA/" TargetMode="External"/><Relationship Id="rId2197" Type="http://schemas.openxmlformats.org/officeDocument/2006/relationships/hyperlink" Target="https://www.facebook.com/share/183hVCoAZV/" TargetMode="External"/><Relationship Id="rId393" Type="http://schemas.openxmlformats.org/officeDocument/2006/relationships/hyperlink" Target="https://www.facebook.com/share/1FrfUX4efh/" TargetMode="External"/><Relationship Id="rId2198" Type="http://schemas.openxmlformats.org/officeDocument/2006/relationships/hyperlink" Target="https://www.facebook.com/share/18ngDB8QRB/" TargetMode="External"/><Relationship Id="rId2199" Type="http://schemas.openxmlformats.org/officeDocument/2006/relationships/hyperlink" Target="https://www.facebook.com/share/1E8uDmku72/" TargetMode="External"/><Relationship Id="rId399" Type="http://schemas.openxmlformats.org/officeDocument/2006/relationships/hyperlink" Target="https://www.facebook.com/share/1bcu5nEQEs/" TargetMode="External"/><Relationship Id="rId398" Type="http://schemas.openxmlformats.org/officeDocument/2006/relationships/hyperlink" Target="https://www.facebook.com/share/1EhPdwUWyA/" TargetMode="External"/><Relationship Id="rId397" Type="http://schemas.openxmlformats.org/officeDocument/2006/relationships/hyperlink" Target="https://www.facebook.com/share/1ETaQre3B4/" TargetMode="External"/><Relationship Id="rId1730" Type="http://schemas.openxmlformats.org/officeDocument/2006/relationships/hyperlink" Target="https://www.facebook.com/share/18ubYMuPTQ/" TargetMode="External"/><Relationship Id="rId1731" Type="http://schemas.openxmlformats.org/officeDocument/2006/relationships/hyperlink" Target="https://www.facebook.com/share/18ubYMuPTQ/" TargetMode="External"/><Relationship Id="rId1732" Type="http://schemas.openxmlformats.org/officeDocument/2006/relationships/hyperlink" Target="https://www.facebook.com/share/1CwbqaNRkt/" TargetMode="External"/><Relationship Id="rId1733" Type="http://schemas.openxmlformats.org/officeDocument/2006/relationships/hyperlink" Target="https://www.facebook.com/share/1JPAnqH3pm/" TargetMode="External"/><Relationship Id="rId1734" Type="http://schemas.openxmlformats.org/officeDocument/2006/relationships/hyperlink" Target="https://www.facebook.com/share/1ChH3hACUY/" TargetMode="External"/><Relationship Id="rId1735" Type="http://schemas.openxmlformats.org/officeDocument/2006/relationships/hyperlink" Target="https://www.facebook.com/share/1ChH3hACUY/" TargetMode="External"/><Relationship Id="rId1736" Type="http://schemas.openxmlformats.org/officeDocument/2006/relationships/hyperlink" Target="https://www.facebook.com/share/1ChH3hACUY/" TargetMode="External"/><Relationship Id="rId1737" Type="http://schemas.openxmlformats.org/officeDocument/2006/relationships/hyperlink" Target="https://www.facebook.com/share/1ChH3hACUY/" TargetMode="External"/><Relationship Id="rId1738" Type="http://schemas.openxmlformats.org/officeDocument/2006/relationships/hyperlink" Target="https://www.facebook.com/share/14h7S9gBuLr/" TargetMode="External"/><Relationship Id="rId1739" Type="http://schemas.openxmlformats.org/officeDocument/2006/relationships/hyperlink" Target="https://www.facebook.com/share/14h7S9gBuLr/" TargetMode="External"/><Relationship Id="rId1720" Type="http://schemas.openxmlformats.org/officeDocument/2006/relationships/hyperlink" Target="https://www.facebook.com/share/18ovJtYzt4/" TargetMode="External"/><Relationship Id="rId1721" Type="http://schemas.openxmlformats.org/officeDocument/2006/relationships/hyperlink" Target="https://www.facebook.com/share/1DGHFXec9i/" TargetMode="External"/><Relationship Id="rId1722" Type="http://schemas.openxmlformats.org/officeDocument/2006/relationships/hyperlink" Target="https://www.facebook.com/share/1CXdfb2wT6/" TargetMode="External"/><Relationship Id="rId1723" Type="http://schemas.openxmlformats.org/officeDocument/2006/relationships/hyperlink" Target="https://www.facebook.com/share/1CXdfb2wT6/" TargetMode="External"/><Relationship Id="rId1724" Type="http://schemas.openxmlformats.org/officeDocument/2006/relationships/hyperlink" Target="https://www.facebook.com/share/1Exz5bAqDS/" TargetMode="External"/><Relationship Id="rId1725" Type="http://schemas.openxmlformats.org/officeDocument/2006/relationships/hyperlink" Target="https://www.facebook.com/share/1DA2igw8tf/" TargetMode="External"/><Relationship Id="rId1726" Type="http://schemas.openxmlformats.org/officeDocument/2006/relationships/hyperlink" Target="https://www.facebook.com/share/1DpE1yvJu8/" TargetMode="External"/><Relationship Id="rId1727" Type="http://schemas.openxmlformats.org/officeDocument/2006/relationships/hyperlink" Target="https://www.facebook.com/share/1CivxaztoZ/" TargetMode="External"/><Relationship Id="rId1728" Type="http://schemas.openxmlformats.org/officeDocument/2006/relationships/hyperlink" Target="https://www.facebook.com/share/1CXpLK2cxy/" TargetMode="External"/><Relationship Id="rId1729" Type="http://schemas.openxmlformats.org/officeDocument/2006/relationships/hyperlink" Target="https://www.facebook.com/share/1E5L6upzSm/" TargetMode="External"/><Relationship Id="rId1752" Type="http://schemas.openxmlformats.org/officeDocument/2006/relationships/hyperlink" Target="https://www.facebook.com/share/1BGf5oiNj4/" TargetMode="External"/><Relationship Id="rId1753" Type="http://schemas.openxmlformats.org/officeDocument/2006/relationships/hyperlink" Target="https://www.facebook.com/share/1U6UvgrcRU/" TargetMode="External"/><Relationship Id="rId1754" Type="http://schemas.openxmlformats.org/officeDocument/2006/relationships/hyperlink" Target="https://www.facebook.com/share/1GtTMQFhif/" TargetMode="External"/><Relationship Id="rId1755" Type="http://schemas.openxmlformats.org/officeDocument/2006/relationships/hyperlink" Target="https://www.facebook.com/share/1DdEoxy3Ui/" TargetMode="External"/><Relationship Id="rId1756" Type="http://schemas.openxmlformats.org/officeDocument/2006/relationships/hyperlink" Target="https://www.facebook.com/share/1CeLi4ZVUH/" TargetMode="External"/><Relationship Id="rId1757" Type="http://schemas.openxmlformats.org/officeDocument/2006/relationships/hyperlink" Target="https://www.facebook.com/share/1ELxpAsisn/" TargetMode="External"/><Relationship Id="rId1758" Type="http://schemas.openxmlformats.org/officeDocument/2006/relationships/hyperlink" Target="https://www.facebook.com/share/18u1pxRWH6/" TargetMode="External"/><Relationship Id="rId1759" Type="http://schemas.openxmlformats.org/officeDocument/2006/relationships/hyperlink" Target="https://www.facebook.com/share/1BYGVd9wmx/" TargetMode="External"/><Relationship Id="rId808" Type="http://schemas.openxmlformats.org/officeDocument/2006/relationships/hyperlink" Target="https://www.facebook.com/share/18KdXCfDUc/" TargetMode="External"/><Relationship Id="rId807" Type="http://schemas.openxmlformats.org/officeDocument/2006/relationships/hyperlink" Target="https://www.facebook.com/share/18KdXCfDUc/" TargetMode="External"/><Relationship Id="rId806" Type="http://schemas.openxmlformats.org/officeDocument/2006/relationships/hyperlink" Target="https://www.facebook.com/share/1EZ24v5RFB/" TargetMode="External"/><Relationship Id="rId805" Type="http://schemas.openxmlformats.org/officeDocument/2006/relationships/hyperlink" Target="https://www.facebook.com/share/1HCpZBzm3j/" TargetMode="External"/><Relationship Id="rId809" Type="http://schemas.openxmlformats.org/officeDocument/2006/relationships/hyperlink" Target="https://www.facebook.com/profile.php?id=100089737698852" TargetMode="External"/><Relationship Id="rId800" Type="http://schemas.openxmlformats.org/officeDocument/2006/relationships/hyperlink" Target="https://www.facebook.com/share/1Aen4qAdYq/" TargetMode="External"/><Relationship Id="rId804" Type="http://schemas.openxmlformats.org/officeDocument/2006/relationships/hyperlink" Target="https://www.facebook.com/share/18PYEoBPCW/" TargetMode="External"/><Relationship Id="rId803" Type="http://schemas.openxmlformats.org/officeDocument/2006/relationships/hyperlink" Target="https://www.facebook.com/share/1GchuMhJBX/" TargetMode="External"/><Relationship Id="rId802" Type="http://schemas.openxmlformats.org/officeDocument/2006/relationships/hyperlink" Target="https://www.facebook.com/share/1GchuMhJBX/" TargetMode="External"/><Relationship Id="rId801" Type="http://schemas.openxmlformats.org/officeDocument/2006/relationships/hyperlink" Target="https://www.facebook.com/share/1GchuMhJBX/" TargetMode="External"/><Relationship Id="rId1750" Type="http://schemas.openxmlformats.org/officeDocument/2006/relationships/hyperlink" Target="https://www.facebook.com/share/17QWUgGKBC/" TargetMode="External"/><Relationship Id="rId1751" Type="http://schemas.openxmlformats.org/officeDocument/2006/relationships/hyperlink" Target="https://www.facebook.com/share/1H9V9CQWg9/" TargetMode="External"/><Relationship Id="rId1741" Type="http://schemas.openxmlformats.org/officeDocument/2006/relationships/hyperlink" Target="https://www.facebook.com/share/1Cnt5Gp9Tx/" TargetMode="External"/><Relationship Id="rId1742" Type="http://schemas.openxmlformats.org/officeDocument/2006/relationships/hyperlink" Target="https://www.facebook.com/share/1CvPmWu9yx/" TargetMode="External"/><Relationship Id="rId1743" Type="http://schemas.openxmlformats.org/officeDocument/2006/relationships/hyperlink" Target="https://www.facebook.com/share/1CvPmWu9yx/" TargetMode="External"/><Relationship Id="rId1744" Type="http://schemas.openxmlformats.org/officeDocument/2006/relationships/hyperlink" Target="https://www.facebook.com/share/1HmmrafbmK/" TargetMode="External"/><Relationship Id="rId1745" Type="http://schemas.openxmlformats.org/officeDocument/2006/relationships/hyperlink" Target="https://www.facebook.com/share/1EZ24v5RFB/" TargetMode="External"/><Relationship Id="rId1746" Type="http://schemas.openxmlformats.org/officeDocument/2006/relationships/hyperlink" Target="https://www.facebook.com/share/1KnkoSnzx7/" TargetMode="External"/><Relationship Id="rId1747" Type="http://schemas.openxmlformats.org/officeDocument/2006/relationships/hyperlink" Target="https://www.facebook.com/share/18cQ6kDNR7/" TargetMode="External"/><Relationship Id="rId1748" Type="http://schemas.openxmlformats.org/officeDocument/2006/relationships/hyperlink" Target="https://www.facebook.com/share/15qrbHNqE9A/" TargetMode="External"/><Relationship Id="rId1749" Type="http://schemas.openxmlformats.org/officeDocument/2006/relationships/hyperlink" Target="https://www.facebook.com/share/17QWUgGKBC/" TargetMode="External"/><Relationship Id="rId1740" Type="http://schemas.openxmlformats.org/officeDocument/2006/relationships/hyperlink" Target="https://www.facebook.com/share/14e4bUsmUHf/" TargetMode="External"/><Relationship Id="rId1710" Type="http://schemas.openxmlformats.org/officeDocument/2006/relationships/hyperlink" Target="https://www.facebook.com/share/14gw2HAbSJi/" TargetMode="External"/><Relationship Id="rId1711" Type="http://schemas.openxmlformats.org/officeDocument/2006/relationships/hyperlink" Target="https://www.facebook.com/share/14gw2HAbSJi/" TargetMode="External"/><Relationship Id="rId1712" Type="http://schemas.openxmlformats.org/officeDocument/2006/relationships/hyperlink" Target="https://www.facebook.com/share/17VgA9X5Sd/" TargetMode="External"/><Relationship Id="rId1713" Type="http://schemas.openxmlformats.org/officeDocument/2006/relationships/hyperlink" Target="https://www.facebook.com/share/17VgA9X5Sd/" TargetMode="External"/><Relationship Id="rId1714" Type="http://schemas.openxmlformats.org/officeDocument/2006/relationships/hyperlink" Target="https://www.facebook.com/share/17D5G4DmV3/" TargetMode="External"/><Relationship Id="rId1715" Type="http://schemas.openxmlformats.org/officeDocument/2006/relationships/hyperlink" Target="https://www.facebook.com/share/1H1fMvfYHH/" TargetMode="External"/><Relationship Id="rId1716" Type="http://schemas.openxmlformats.org/officeDocument/2006/relationships/hyperlink" Target="https://www.facebook.com/share/1H1fMvfYHH/" TargetMode="External"/><Relationship Id="rId1717" Type="http://schemas.openxmlformats.org/officeDocument/2006/relationships/hyperlink" Target="https://www.facebook.com/share/18sjQNFFDm/" TargetMode="External"/><Relationship Id="rId1718" Type="http://schemas.openxmlformats.org/officeDocument/2006/relationships/hyperlink" Target="https://www.facebook.com/share/18sjQNFFDm/" TargetMode="External"/><Relationship Id="rId1719" Type="http://schemas.openxmlformats.org/officeDocument/2006/relationships/hyperlink" Target="https://www.facebook.com/share/1Ct8FRpbCg/" TargetMode="External"/><Relationship Id="rId1700" Type="http://schemas.openxmlformats.org/officeDocument/2006/relationships/hyperlink" Target="https://www.facebook.com/share/1GaikYLsGp/" TargetMode="External"/><Relationship Id="rId1701" Type="http://schemas.openxmlformats.org/officeDocument/2006/relationships/hyperlink" Target="https://www.facebook.com/yen.nguyet.5477" TargetMode="External"/><Relationship Id="rId1702" Type="http://schemas.openxmlformats.org/officeDocument/2006/relationships/hyperlink" Target="https://www.facebook.com/share/1DytoyRrRj/" TargetMode="External"/><Relationship Id="rId1703" Type="http://schemas.openxmlformats.org/officeDocument/2006/relationships/hyperlink" Target="https://www.facebook.com/share/1DytoyRrRj/" TargetMode="External"/><Relationship Id="rId1704" Type="http://schemas.openxmlformats.org/officeDocument/2006/relationships/hyperlink" Target="https://www.facebook.com/share/1BE5K8xvAp/" TargetMode="External"/><Relationship Id="rId1705" Type="http://schemas.openxmlformats.org/officeDocument/2006/relationships/hyperlink" Target="https://www.facebook.com/share/1BE5K8xvAp/" TargetMode="External"/><Relationship Id="rId1706" Type="http://schemas.openxmlformats.org/officeDocument/2006/relationships/hyperlink" Target="https://www.facebook.com/share/1ELxpAsisn/" TargetMode="External"/><Relationship Id="rId1707" Type="http://schemas.openxmlformats.org/officeDocument/2006/relationships/hyperlink" Target="https://www.facebook.com/share/17a9LgYfD2/" TargetMode="External"/><Relationship Id="rId1708" Type="http://schemas.openxmlformats.org/officeDocument/2006/relationships/hyperlink" Target="https://www.facebook.com/share/17a9LgYfD2/" TargetMode="External"/><Relationship Id="rId1709" Type="http://schemas.openxmlformats.org/officeDocument/2006/relationships/hyperlink" Target="https://www.facebook.com/share/1CtHPSGbQJ/" TargetMode="External"/><Relationship Id="rId40" Type="http://schemas.openxmlformats.org/officeDocument/2006/relationships/hyperlink" Target="https://www.facebook.com/tho.huyen.56829" TargetMode="External"/><Relationship Id="rId1334" Type="http://schemas.openxmlformats.org/officeDocument/2006/relationships/hyperlink" Target="https://www.facebook.com/share/1AGfbwQ8E9/" TargetMode="External"/><Relationship Id="rId1335" Type="http://schemas.openxmlformats.org/officeDocument/2006/relationships/hyperlink" Target="https://www.facebook.com/share/1MccvEjsUz/" TargetMode="External"/><Relationship Id="rId42" Type="http://schemas.openxmlformats.org/officeDocument/2006/relationships/hyperlink" Target="https://www.facebook.com/thuyy.trangg.752" TargetMode="External"/><Relationship Id="rId1336" Type="http://schemas.openxmlformats.org/officeDocument/2006/relationships/hyperlink" Target="https://www.facebook.com/share/1MccvEjsUz/" TargetMode="External"/><Relationship Id="rId41" Type="http://schemas.openxmlformats.org/officeDocument/2006/relationships/hyperlink" Target="https://www.facebook.com/profile.php" TargetMode="External"/><Relationship Id="rId1337" Type="http://schemas.openxmlformats.org/officeDocument/2006/relationships/hyperlink" Target="https://www.facebook.com/share/1BQVsupuUM/" TargetMode="External"/><Relationship Id="rId44" Type="http://schemas.openxmlformats.org/officeDocument/2006/relationships/hyperlink" Target="http://facebook.com/ngoc.linh.764073" TargetMode="External"/><Relationship Id="rId1338" Type="http://schemas.openxmlformats.org/officeDocument/2006/relationships/hyperlink" Target="https://www.facebook.com/share/1GwJTNAxjp/" TargetMode="External"/><Relationship Id="rId43" Type="http://schemas.openxmlformats.org/officeDocument/2006/relationships/hyperlink" Target="https://www.facebook.com/profile.php" TargetMode="External"/><Relationship Id="rId1339" Type="http://schemas.openxmlformats.org/officeDocument/2006/relationships/hyperlink" Target="https://www.facebook.com/share/1S2ipy3dc1/" TargetMode="External"/><Relationship Id="rId46" Type="http://schemas.openxmlformats.org/officeDocument/2006/relationships/hyperlink" Target="https://www.facebook.com/thydinh201" TargetMode="External"/><Relationship Id="rId45" Type="http://schemas.openxmlformats.org/officeDocument/2006/relationships/hyperlink" Target="https://www.facebook.com/profile.php" TargetMode="External"/><Relationship Id="rId745" Type="http://schemas.openxmlformats.org/officeDocument/2006/relationships/hyperlink" Target="https://www.facebook.com/share/1EVjzgMu69/" TargetMode="External"/><Relationship Id="rId744" Type="http://schemas.openxmlformats.org/officeDocument/2006/relationships/hyperlink" Target="https://www.facebook.com/share/1EVjzgMu69/" TargetMode="External"/><Relationship Id="rId743" Type="http://schemas.openxmlformats.org/officeDocument/2006/relationships/hyperlink" Target="https://www.facebook.com/share/1EVjzgMu69/" TargetMode="External"/><Relationship Id="rId742" Type="http://schemas.openxmlformats.org/officeDocument/2006/relationships/hyperlink" Target="https://www.facebook.com/share/1CXzX14Tdh/" TargetMode="External"/><Relationship Id="rId749" Type="http://schemas.openxmlformats.org/officeDocument/2006/relationships/hyperlink" Target="https://www.facebook.com/share/1EVjzgMu69/" TargetMode="External"/><Relationship Id="rId748" Type="http://schemas.openxmlformats.org/officeDocument/2006/relationships/hyperlink" Target="https://www.facebook.com/share/1EVjzgMu69/" TargetMode="External"/><Relationship Id="rId747" Type="http://schemas.openxmlformats.org/officeDocument/2006/relationships/hyperlink" Target="https://www.facebook.com/share/1EVjzgMu69/" TargetMode="External"/><Relationship Id="rId746" Type="http://schemas.openxmlformats.org/officeDocument/2006/relationships/hyperlink" Target="https://www.facebook.com/share/1EVjzgMu69/" TargetMode="External"/><Relationship Id="rId48" Type="http://schemas.openxmlformats.org/officeDocument/2006/relationships/hyperlink" Target="https://www.facebook.com/share/1BW9pGS46g/" TargetMode="External"/><Relationship Id="rId47" Type="http://schemas.openxmlformats.org/officeDocument/2006/relationships/hyperlink" Target="https://www.facebook.com/share/1Bzobj9mJ4/" TargetMode="External"/><Relationship Id="rId49" Type="http://schemas.openxmlformats.org/officeDocument/2006/relationships/hyperlink" Target="https://www.facebook.com/share/18FcyFfX9m/" TargetMode="External"/><Relationship Id="rId741" Type="http://schemas.openxmlformats.org/officeDocument/2006/relationships/hyperlink" Target="https://www.facebook.com/share/1Cavxcv1jx/" TargetMode="External"/><Relationship Id="rId1330" Type="http://schemas.openxmlformats.org/officeDocument/2006/relationships/hyperlink" Target="https://www.facebook.com/share/1JLuXk68ZT/" TargetMode="External"/><Relationship Id="rId740" Type="http://schemas.openxmlformats.org/officeDocument/2006/relationships/hyperlink" Target="https://www.facebook.com/share/1EAjiabKJ8/" TargetMode="External"/><Relationship Id="rId1331" Type="http://schemas.openxmlformats.org/officeDocument/2006/relationships/hyperlink" Target="https://www.facebook.com/share/1JLuXk68ZT/" TargetMode="External"/><Relationship Id="rId1332" Type="http://schemas.openxmlformats.org/officeDocument/2006/relationships/hyperlink" Target="https://www.facebook.com/share/1JLuXk68ZT/" TargetMode="External"/><Relationship Id="rId1333" Type="http://schemas.openxmlformats.org/officeDocument/2006/relationships/hyperlink" Target="https://www.facebook.com/share/17SXdBthCr/" TargetMode="External"/><Relationship Id="rId1323" Type="http://schemas.openxmlformats.org/officeDocument/2006/relationships/hyperlink" Target="https://www.facebook.com/share/1AnEs3c6Se/" TargetMode="External"/><Relationship Id="rId1324" Type="http://schemas.openxmlformats.org/officeDocument/2006/relationships/hyperlink" Target="https://www.facebook.com/share/1JR5zif6xW/" TargetMode="External"/><Relationship Id="rId31" Type="http://schemas.openxmlformats.org/officeDocument/2006/relationships/hyperlink" Target="https://www.facebook.com/share/1AmitUBzNP/" TargetMode="External"/><Relationship Id="rId1325" Type="http://schemas.openxmlformats.org/officeDocument/2006/relationships/hyperlink" Target="https://www.facebook.com/share/1JR5zif6xW/" TargetMode="External"/><Relationship Id="rId30" Type="http://schemas.openxmlformats.org/officeDocument/2006/relationships/hyperlink" Target="https://www.facebook.com/share/1GG2PUGwJa/?mibextid=wwXIfr" TargetMode="External"/><Relationship Id="rId1326" Type="http://schemas.openxmlformats.org/officeDocument/2006/relationships/hyperlink" Target="https://www.facebook.com/share/1GpmjwDRuR/" TargetMode="External"/><Relationship Id="rId33" Type="http://schemas.openxmlformats.org/officeDocument/2006/relationships/hyperlink" Target="https://www.facebook.com/share/1GoC1z1qrC/?mibextid=wwXIfr" TargetMode="External"/><Relationship Id="rId1327" Type="http://schemas.openxmlformats.org/officeDocument/2006/relationships/hyperlink" Target="https://www.facebook.com/share/1JNYSCmt6B/" TargetMode="External"/><Relationship Id="rId32" Type="http://schemas.openxmlformats.org/officeDocument/2006/relationships/hyperlink" Target="https://www.facebook.com/share/1CFqzXh4wt/?mibextid=wwXIfr" TargetMode="External"/><Relationship Id="rId1328" Type="http://schemas.openxmlformats.org/officeDocument/2006/relationships/hyperlink" Target="https://www.facebook.com/share/18T4CoLvPW/" TargetMode="External"/><Relationship Id="rId35" Type="http://schemas.openxmlformats.org/officeDocument/2006/relationships/hyperlink" Target="https://www.facebook.com/share/14KWh9eZXLa/" TargetMode="External"/><Relationship Id="rId1329" Type="http://schemas.openxmlformats.org/officeDocument/2006/relationships/hyperlink" Target="https://www.facebook.com/share/18T4CoLvPW/" TargetMode="External"/><Relationship Id="rId34" Type="http://schemas.openxmlformats.org/officeDocument/2006/relationships/hyperlink" Target="https://www.facebook.com/share/18HMZRAkTs/?mibextid=wwXIfr" TargetMode="External"/><Relationship Id="rId739" Type="http://schemas.openxmlformats.org/officeDocument/2006/relationships/hyperlink" Target="https://www.facebook.com/share/1ESyjMp7im/" TargetMode="External"/><Relationship Id="rId734" Type="http://schemas.openxmlformats.org/officeDocument/2006/relationships/hyperlink" Target="https://www.facebook.com/share/1ESyjMp7im/" TargetMode="External"/><Relationship Id="rId733" Type="http://schemas.openxmlformats.org/officeDocument/2006/relationships/hyperlink" Target="https://www.facebook.com/share/1ESyjMp7im/" TargetMode="External"/><Relationship Id="rId732" Type="http://schemas.openxmlformats.org/officeDocument/2006/relationships/hyperlink" Target="https://www.facebook.com/share/1ESyjMp7im/" TargetMode="External"/><Relationship Id="rId731" Type="http://schemas.openxmlformats.org/officeDocument/2006/relationships/hyperlink" Target="https://www.facebook.com/share/18EvXDaPAh/" TargetMode="External"/><Relationship Id="rId738" Type="http://schemas.openxmlformats.org/officeDocument/2006/relationships/hyperlink" Target="https://www.facebook.com/share/1ESyjMp7im/" TargetMode="External"/><Relationship Id="rId737" Type="http://schemas.openxmlformats.org/officeDocument/2006/relationships/hyperlink" Target="https://www.facebook.com/share/1ESyjMp7im/" TargetMode="External"/><Relationship Id="rId736" Type="http://schemas.openxmlformats.org/officeDocument/2006/relationships/hyperlink" Target="https://www.facebook.com/share/1ESyjMp7im/" TargetMode="External"/><Relationship Id="rId735" Type="http://schemas.openxmlformats.org/officeDocument/2006/relationships/hyperlink" Target="https://www.facebook.com/share/1ESyjMp7im/" TargetMode="External"/><Relationship Id="rId37" Type="http://schemas.openxmlformats.org/officeDocument/2006/relationships/hyperlink" Target="https://www.facebook.com/share/1Ahk68zA6s/?mibextid=wwXIfr" TargetMode="External"/><Relationship Id="rId36" Type="http://schemas.openxmlformats.org/officeDocument/2006/relationships/hyperlink" Target="https://www.facebook.com/share/1DpesQM4Tb/?mibextid=wwXIfr" TargetMode="External"/><Relationship Id="rId39" Type="http://schemas.openxmlformats.org/officeDocument/2006/relationships/hyperlink" Target="https://www.facebook.com/meichan2212" TargetMode="External"/><Relationship Id="rId38" Type="http://schemas.openxmlformats.org/officeDocument/2006/relationships/hyperlink" Target="https://www.facebook.com/share/1CmeeuasPc/" TargetMode="External"/><Relationship Id="rId730" Type="http://schemas.openxmlformats.org/officeDocument/2006/relationships/hyperlink" Target="https://www.facebook.com/share/18EvXDaPAh/" TargetMode="External"/><Relationship Id="rId1320" Type="http://schemas.openxmlformats.org/officeDocument/2006/relationships/hyperlink" Target="https://www.facebook.com/pham.mun.52643821" TargetMode="External"/><Relationship Id="rId1321" Type="http://schemas.openxmlformats.org/officeDocument/2006/relationships/hyperlink" Target="https://www.facebook.com/share/178jkpzZUv/" TargetMode="External"/><Relationship Id="rId1322" Type="http://schemas.openxmlformats.org/officeDocument/2006/relationships/hyperlink" Target="https://www.facebook.com/share/1LCR189eVp/" TargetMode="External"/><Relationship Id="rId1356" Type="http://schemas.openxmlformats.org/officeDocument/2006/relationships/hyperlink" Target="https://www.facebook.com/share/1DrdJzDBkA/" TargetMode="External"/><Relationship Id="rId2203" Type="http://schemas.openxmlformats.org/officeDocument/2006/relationships/hyperlink" Target="https://www.facebook.com/share/1HhCWaWz4h/" TargetMode="External"/><Relationship Id="rId1357" Type="http://schemas.openxmlformats.org/officeDocument/2006/relationships/hyperlink" Target="https://www.facebook.com/share/1FWHwd2KmK/" TargetMode="External"/><Relationship Id="rId2204" Type="http://schemas.openxmlformats.org/officeDocument/2006/relationships/hyperlink" Target="https://www.facebook.com/share/1HhCWaWz4h/" TargetMode="External"/><Relationship Id="rId20" Type="http://schemas.openxmlformats.org/officeDocument/2006/relationships/hyperlink" Target="https://www.facebook.com/share/1KyZermE74/?mibextid=wwXIfr" TargetMode="External"/><Relationship Id="rId1358" Type="http://schemas.openxmlformats.org/officeDocument/2006/relationships/hyperlink" Target="https://www.facebook.com/share/1CKTEc6hH9/" TargetMode="External"/><Relationship Id="rId2205" Type="http://schemas.openxmlformats.org/officeDocument/2006/relationships/hyperlink" Target="https://www.facebook.com/share/1DpsLXUmdX/" TargetMode="External"/><Relationship Id="rId1359" Type="http://schemas.openxmlformats.org/officeDocument/2006/relationships/hyperlink" Target="https://www.facebook.com/share/1EuPpPB9xC/" TargetMode="External"/><Relationship Id="rId2206" Type="http://schemas.openxmlformats.org/officeDocument/2006/relationships/hyperlink" Target="https://www.facebook.com/share/1GtTMQFhif/" TargetMode="External"/><Relationship Id="rId22" Type="http://schemas.openxmlformats.org/officeDocument/2006/relationships/hyperlink" Target="https://www.facebook.com/share/18G43Zz4Kd/?mibextid=wwXIfr" TargetMode="External"/><Relationship Id="rId2207" Type="http://schemas.openxmlformats.org/officeDocument/2006/relationships/hyperlink" Target="https://www.facebook.com/share/1GtTMQFhif/" TargetMode="External"/><Relationship Id="rId21" Type="http://schemas.openxmlformats.org/officeDocument/2006/relationships/hyperlink" Target="https://www.facebook.com/share/1CZB6aY6zY/?mibextid=wwXIfr" TargetMode="External"/><Relationship Id="rId2208" Type="http://schemas.openxmlformats.org/officeDocument/2006/relationships/hyperlink" Target="https://www.facebook.com/share/1HikNfPCh3/" TargetMode="External"/><Relationship Id="rId24" Type="http://schemas.openxmlformats.org/officeDocument/2006/relationships/hyperlink" Target="https://www.facebook.com/share/1HVVJ5URRZ/?mibextid=wwXIfr" TargetMode="External"/><Relationship Id="rId2209" Type="http://schemas.openxmlformats.org/officeDocument/2006/relationships/hyperlink" Target="https://www.facebook.com/share/1HikNfPCh3/" TargetMode="External"/><Relationship Id="rId23" Type="http://schemas.openxmlformats.org/officeDocument/2006/relationships/hyperlink" Target="https://www.facebook.com/share/18QVmBu18D/?mibextid=wwXIfr" TargetMode="External"/><Relationship Id="rId767" Type="http://schemas.openxmlformats.org/officeDocument/2006/relationships/hyperlink" Target="https://www.facebook.com/share/1Cavxcv1jx/" TargetMode="External"/><Relationship Id="rId766" Type="http://schemas.openxmlformats.org/officeDocument/2006/relationships/hyperlink" Target="https://www.facebook.com/share/1Cavxcv1jx/" TargetMode="External"/><Relationship Id="rId765" Type="http://schemas.openxmlformats.org/officeDocument/2006/relationships/hyperlink" Target="https://www.facebook.com/share/1Cavxcv1jx/" TargetMode="External"/><Relationship Id="rId764" Type="http://schemas.openxmlformats.org/officeDocument/2006/relationships/hyperlink" Target="https://www.facebook.com/share/1PzpXCteua/" TargetMode="External"/><Relationship Id="rId769" Type="http://schemas.openxmlformats.org/officeDocument/2006/relationships/hyperlink" Target="https://www.facebook.com/share/1EKfhjKMzC/" TargetMode="External"/><Relationship Id="rId768" Type="http://schemas.openxmlformats.org/officeDocument/2006/relationships/hyperlink" Target="https://www.facebook.com/share/17xYXxAfog/" TargetMode="External"/><Relationship Id="rId26" Type="http://schemas.openxmlformats.org/officeDocument/2006/relationships/hyperlink" Target="https://www.facebook.com/share/1CQ2cBa1QY/?mibextid=wwXIfr" TargetMode="External"/><Relationship Id="rId25" Type="http://schemas.openxmlformats.org/officeDocument/2006/relationships/hyperlink" Target="https://www.facebook.com/share/1AxaBTTg8q/?mibextid=wwXIfr" TargetMode="External"/><Relationship Id="rId28" Type="http://schemas.openxmlformats.org/officeDocument/2006/relationships/hyperlink" Target="https://www.facebook.com/share/1AXG4kvF4L/?mibextid=wwXIfr" TargetMode="External"/><Relationship Id="rId1350" Type="http://schemas.openxmlformats.org/officeDocument/2006/relationships/hyperlink" Target="https://www.facebook.com/share/1CUAy2ydr7/" TargetMode="External"/><Relationship Id="rId27" Type="http://schemas.openxmlformats.org/officeDocument/2006/relationships/hyperlink" Target="https://www.facebook.com/share/1BAdFF1iZB/?mibextid=wwXIfr" TargetMode="External"/><Relationship Id="rId1351" Type="http://schemas.openxmlformats.org/officeDocument/2006/relationships/hyperlink" Target="https://www.facebook.com/share/1BCRc5CWXa/" TargetMode="External"/><Relationship Id="rId763" Type="http://schemas.openxmlformats.org/officeDocument/2006/relationships/hyperlink" Target="https://www.facebook.com/share/1PzpXCteua/" TargetMode="External"/><Relationship Id="rId1352" Type="http://schemas.openxmlformats.org/officeDocument/2006/relationships/hyperlink" Target="https://www.facebook.com/share/18jyGhRp4D/" TargetMode="External"/><Relationship Id="rId29" Type="http://schemas.openxmlformats.org/officeDocument/2006/relationships/hyperlink" Target="https://www.facebook.com/share/1cHcttESBn/?mibextid=wwXIfr" TargetMode="External"/><Relationship Id="rId762" Type="http://schemas.openxmlformats.org/officeDocument/2006/relationships/hyperlink" Target="https://www.facebook.com/share/1H2TWBu2DW/" TargetMode="External"/><Relationship Id="rId1353" Type="http://schemas.openxmlformats.org/officeDocument/2006/relationships/hyperlink" Target="https://www.facebook.com/share/18h9z8fh1E/" TargetMode="External"/><Relationship Id="rId2200" Type="http://schemas.openxmlformats.org/officeDocument/2006/relationships/hyperlink" Target="https://www.facebook.com/share/1ChH3hACUY/" TargetMode="External"/><Relationship Id="rId761" Type="http://schemas.openxmlformats.org/officeDocument/2006/relationships/hyperlink" Target="https://www.facebook.com/share/1H2TWBu2DW/" TargetMode="External"/><Relationship Id="rId1354" Type="http://schemas.openxmlformats.org/officeDocument/2006/relationships/hyperlink" Target="https://www.facebook.com/share/18h9z8fh1E/" TargetMode="External"/><Relationship Id="rId2201" Type="http://schemas.openxmlformats.org/officeDocument/2006/relationships/hyperlink" Target="https://www.facebook.com/share/1HQ6u1u7Sh/" TargetMode="External"/><Relationship Id="rId760" Type="http://schemas.openxmlformats.org/officeDocument/2006/relationships/hyperlink" Target="https://www.facebook.com/share/1H2TWBu2DW/" TargetMode="External"/><Relationship Id="rId1355" Type="http://schemas.openxmlformats.org/officeDocument/2006/relationships/hyperlink" Target="https://www.facebook.com/share/14aQ2nJk4Ts/" TargetMode="External"/><Relationship Id="rId2202" Type="http://schemas.openxmlformats.org/officeDocument/2006/relationships/hyperlink" Target="https://www.facebook.com/share/1HhCWaWz4h/" TargetMode="External"/><Relationship Id="rId1345" Type="http://schemas.openxmlformats.org/officeDocument/2006/relationships/hyperlink" Target="https://www.facebook.com/share/1FNk1o5org/" TargetMode="External"/><Relationship Id="rId1346" Type="http://schemas.openxmlformats.org/officeDocument/2006/relationships/hyperlink" Target="https://www.facebook.com/share/18Jsb7zdnD/" TargetMode="External"/><Relationship Id="rId1347" Type="http://schemas.openxmlformats.org/officeDocument/2006/relationships/hyperlink" Target="https://www.facebook.com/share/17dSm2rAPF/" TargetMode="External"/><Relationship Id="rId1348" Type="http://schemas.openxmlformats.org/officeDocument/2006/relationships/hyperlink" Target="https://www.facebook.com/share/17dSm2rAPF/" TargetMode="External"/><Relationship Id="rId11" Type="http://schemas.openxmlformats.org/officeDocument/2006/relationships/hyperlink" Target="https://www.facebook.com/share/1CAWpeEnCM/?mibextid=wwXIfr" TargetMode="External"/><Relationship Id="rId1349" Type="http://schemas.openxmlformats.org/officeDocument/2006/relationships/hyperlink" Target="https://www.facebook.com/m.dggiuu001" TargetMode="External"/><Relationship Id="rId10" Type="http://schemas.openxmlformats.org/officeDocument/2006/relationships/hyperlink" Target="https://www.facebook.com/share/1CaXKMnryV/?mibextid=wwXIfr" TargetMode="External"/><Relationship Id="rId13" Type="http://schemas.openxmlformats.org/officeDocument/2006/relationships/hyperlink" Target="https://www.facebook.com/share/18LYntj22X/?mibextid=wwXIfr" TargetMode="External"/><Relationship Id="rId12" Type="http://schemas.openxmlformats.org/officeDocument/2006/relationships/hyperlink" Target="https://www.facebook.com/share/18LYntj22X/?mibextid=wwXIfr" TargetMode="External"/><Relationship Id="rId756" Type="http://schemas.openxmlformats.org/officeDocument/2006/relationships/hyperlink" Target="https://www.facebook.com/share/1DbhYfYegH/" TargetMode="External"/><Relationship Id="rId755" Type="http://schemas.openxmlformats.org/officeDocument/2006/relationships/hyperlink" Target="https://www.facebook.com/share/1DbhYfYegH/" TargetMode="External"/><Relationship Id="rId754" Type="http://schemas.openxmlformats.org/officeDocument/2006/relationships/hyperlink" Target="https://www.facebook.com/share/1DbhYfYegH/" TargetMode="External"/><Relationship Id="rId753" Type="http://schemas.openxmlformats.org/officeDocument/2006/relationships/hyperlink" Target="https://www.facebook.com/share/1CUb857TAX/" TargetMode="External"/><Relationship Id="rId759" Type="http://schemas.openxmlformats.org/officeDocument/2006/relationships/hyperlink" Target="https://www.facebook.com/share/1DbhYfYegH/" TargetMode="External"/><Relationship Id="rId758" Type="http://schemas.openxmlformats.org/officeDocument/2006/relationships/hyperlink" Target="https://www.facebook.com/share/1DbhYfYegH/" TargetMode="External"/><Relationship Id="rId757" Type="http://schemas.openxmlformats.org/officeDocument/2006/relationships/hyperlink" Target="https://www.facebook.com/share/1DbhYfYegH/" TargetMode="External"/><Relationship Id="rId15" Type="http://schemas.openxmlformats.org/officeDocument/2006/relationships/hyperlink" Target="https://www.facebook.com/share/18G43Zz4Kd/?mibextid=wwXIfr" TargetMode="External"/><Relationship Id="rId14" Type="http://schemas.openxmlformats.org/officeDocument/2006/relationships/hyperlink" Target="https://www.facebook.com/share/1AuQbfLWyQ/?mibextid=wwXIfr" TargetMode="External"/><Relationship Id="rId17" Type="http://schemas.openxmlformats.org/officeDocument/2006/relationships/hyperlink" Target="https://www.facebook.com/share/18G43Zz4Kd/?mibextid=wwXIfr" TargetMode="External"/><Relationship Id="rId16" Type="http://schemas.openxmlformats.org/officeDocument/2006/relationships/hyperlink" Target="https://www.facebook.com/share/1Anik37rwZ/?mibextid=wwXIfr" TargetMode="External"/><Relationship Id="rId1340" Type="http://schemas.openxmlformats.org/officeDocument/2006/relationships/hyperlink" Target="https://www.facebook.com/share/18UEXm5Z6U/" TargetMode="External"/><Relationship Id="rId19" Type="http://schemas.openxmlformats.org/officeDocument/2006/relationships/hyperlink" Target="https://www.facebook.com/share/1CBNudwxCL/?mibextid=wwXIfr" TargetMode="External"/><Relationship Id="rId752" Type="http://schemas.openxmlformats.org/officeDocument/2006/relationships/hyperlink" Target="https://www.facebook.com/share/1CDF9GJv3c/" TargetMode="External"/><Relationship Id="rId1341" Type="http://schemas.openxmlformats.org/officeDocument/2006/relationships/hyperlink" Target="https://www.facebook.com/share/17PTi5LPB2/" TargetMode="External"/><Relationship Id="rId18" Type="http://schemas.openxmlformats.org/officeDocument/2006/relationships/hyperlink" Target="https://www.facebook.com/share/18G43Zz4Kd/?mibextid=wwXIfr" TargetMode="External"/><Relationship Id="rId751" Type="http://schemas.openxmlformats.org/officeDocument/2006/relationships/hyperlink" Target="https://www.facebook.com/share/1CDF9GJv3c/" TargetMode="External"/><Relationship Id="rId1342" Type="http://schemas.openxmlformats.org/officeDocument/2006/relationships/hyperlink" Target="https://www.facebook.com/share/1Zq3PX8dht/" TargetMode="External"/><Relationship Id="rId750" Type="http://schemas.openxmlformats.org/officeDocument/2006/relationships/hyperlink" Target="https://www.facebook.com/share/1EVjzgMu69/" TargetMode="External"/><Relationship Id="rId1343" Type="http://schemas.openxmlformats.org/officeDocument/2006/relationships/hyperlink" Target="https://www.facebook.com/share/1DgUoHeuhz/" TargetMode="External"/><Relationship Id="rId1344" Type="http://schemas.openxmlformats.org/officeDocument/2006/relationships/hyperlink" Target="https://www.facebook.com/share/1MhTuRFEYp/" TargetMode="External"/><Relationship Id="rId84" Type="http://schemas.openxmlformats.org/officeDocument/2006/relationships/hyperlink" Target="https://www.facebook.com/yen.do.921677" TargetMode="External"/><Relationship Id="rId1774" Type="http://schemas.openxmlformats.org/officeDocument/2006/relationships/hyperlink" Target="https://www.facebook.com/share/1CuiXD5Btk/" TargetMode="External"/><Relationship Id="rId83" Type="http://schemas.openxmlformats.org/officeDocument/2006/relationships/hyperlink" Target="https://www.facebook.com/thuanh.duong.925" TargetMode="External"/><Relationship Id="rId1775" Type="http://schemas.openxmlformats.org/officeDocument/2006/relationships/hyperlink" Target="https://www.facebook.com/share/18aXpipzGz/" TargetMode="External"/><Relationship Id="rId86" Type="http://schemas.openxmlformats.org/officeDocument/2006/relationships/hyperlink" Target="https://www.facebook.com/profile.php?id=61581534937440" TargetMode="External"/><Relationship Id="rId1776" Type="http://schemas.openxmlformats.org/officeDocument/2006/relationships/hyperlink" Target="https://www.facebook.com/share/17LYRzAwwD/" TargetMode="External"/><Relationship Id="rId85" Type="http://schemas.openxmlformats.org/officeDocument/2006/relationships/hyperlink" Target="https://www.facebook.com/profile.php?id=61581534937440" TargetMode="External"/><Relationship Id="rId1777" Type="http://schemas.openxmlformats.org/officeDocument/2006/relationships/hyperlink" Target="https://www.facebook.com/share/17LYRzAwwD/" TargetMode="External"/><Relationship Id="rId88" Type="http://schemas.openxmlformats.org/officeDocument/2006/relationships/hyperlink" Target="https://www.facebook.com/huynh.quy.98096" TargetMode="External"/><Relationship Id="rId1778" Type="http://schemas.openxmlformats.org/officeDocument/2006/relationships/hyperlink" Target="https://www.facebook.com/share/1BH99P3xcp/" TargetMode="External"/><Relationship Id="rId87" Type="http://schemas.openxmlformats.org/officeDocument/2006/relationships/hyperlink" Target="https://www.facebook.com/huynh.quy.98096" TargetMode="External"/><Relationship Id="rId1779" Type="http://schemas.openxmlformats.org/officeDocument/2006/relationships/hyperlink" Target="https://www.facebook.com/share/1DiuGdTzo2/" TargetMode="External"/><Relationship Id="rId89" Type="http://schemas.openxmlformats.org/officeDocument/2006/relationships/hyperlink" Target="https://www.facebook.com/profile.php?id=100006539089039" TargetMode="External"/><Relationship Id="rId709" Type="http://schemas.openxmlformats.org/officeDocument/2006/relationships/hyperlink" Target="https://www.facebook.com/meichan2212" TargetMode="External"/><Relationship Id="rId708" Type="http://schemas.openxmlformats.org/officeDocument/2006/relationships/hyperlink" Target="https://www.facebook.com/share/1CPgqT37o2/" TargetMode="External"/><Relationship Id="rId707" Type="http://schemas.openxmlformats.org/officeDocument/2006/relationships/hyperlink" Target="https://www.facebook.com/share/1CPgqT37o2/" TargetMode="External"/><Relationship Id="rId706" Type="http://schemas.openxmlformats.org/officeDocument/2006/relationships/hyperlink" Target="https://www.facebook.com/share/1CPgqT37o2/" TargetMode="External"/><Relationship Id="rId80" Type="http://schemas.openxmlformats.org/officeDocument/2006/relationships/hyperlink" Target="https://www.facebook.com/profile.php?id=100015801011695" TargetMode="External"/><Relationship Id="rId82" Type="http://schemas.openxmlformats.org/officeDocument/2006/relationships/hyperlink" Target="https://www.facebook.com/profile.php?id=100089737698852" TargetMode="External"/><Relationship Id="rId81" Type="http://schemas.openxmlformats.org/officeDocument/2006/relationships/hyperlink" Target="https://www.facebook.com/profile.php?id=100089737698852" TargetMode="External"/><Relationship Id="rId701" Type="http://schemas.openxmlformats.org/officeDocument/2006/relationships/hyperlink" Target="https://www.facebook.com/share/1Azf7z2o4Q/" TargetMode="External"/><Relationship Id="rId700" Type="http://schemas.openxmlformats.org/officeDocument/2006/relationships/hyperlink" Target="https://www.facebook.com/share/18Jf5CFuvo/" TargetMode="External"/><Relationship Id="rId705" Type="http://schemas.openxmlformats.org/officeDocument/2006/relationships/hyperlink" Target="https://www.facebook.com/share/18iJXPw5aA/" TargetMode="External"/><Relationship Id="rId704" Type="http://schemas.openxmlformats.org/officeDocument/2006/relationships/hyperlink" Target="https://www.facebook.com/share/14hSsZwoGRZ/" TargetMode="External"/><Relationship Id="rId703" Type="http://schemas.openxmlformats.org/officeDocument/2006/relationships/hyperlink" Target="https://www.facebook.com/share/1CtCcxfpvc/" TargetMode="External"/><Relationship Id="rId702" Type="http://schemas.openxmlformats.org/officeDocument/2006/relationships/hyperlink" Target="https://www.facebook.com/share/18boox3vxp/" TargetMode="External"/><Relationship Id="rId1770" Type="http://schemas.openxmlformats.org/officeDocument/2006/relationships/hyperlink" Target="https://www.facebook.com/share/18WaWGEYfh/" TargetMode="External"/><Relationship Id="rId1771" Type="http://schemas.openxmlformats.org/officeDocument/2006/relationships/hyperlink" Target="https://www.facebook.com/share/18WaWGEYfh/" TargetMode="External"/><Relationship Id="rId1772" Type="http://schemas.openxmlformats.org/officeDocument/2006/relationships/hyperlink" Target="https://www.facebook.com/share/18WaWGEYfh/" TargetMode="External"/><Relationship Id="rId1773" Type="http://schemas.openxmlformats.org/officeDocument/2006/relationships/hyperlink" Target="https://www.facebook.com/share/18WaWGEYfh/" TargetMode="External"/><Relationship Id="rId73" Type="http://schemas.openxmlformats.org/officeDocument/2006/relationships/hyperlink" Target="https://www.facebook.com/nga.quyh" TargetMode="External"/><Relationship Id="rId1763" Type="http://schemas.openxmlformats.org/officeDocument/2006/relationships/hyperlink" Target="https://www.facebook.com/share/18ovJtYzt4/" TargetMode="External"/><Relationship Id="rId72" Type="http://schemas.openxmlformats.org/officeDocument/2006/relationships/hyperlink" Target="https://www.facebook.com/Hienbabier3101" TargetMode="External"/><Relationship Id="rId1764" Type="http://schemas.openxmlformats.org/officeDocument/2006/relationships/hyperlink" Target="https://www.facebook.com/share/17ouevuhBY/" TargetMode="External"/><Relationship Id="rId75" Type="http://schemas.openxmlformats.org/officeDocument/2006/relationships/hyperlink" Target="https://www.facebook.com/le.tthanh.714111" TargetMode="External"/><Relationship Id="rId1765" Type="http://schemas.openxmlformats.org/officeDocument/2006/relationships/hyperlink" Target="https://www.facebook.com/share/1FuqfvigTk/" TargetMode="External"/><Relationship Id="rId74" Type="http://schemas.openxmlformats.org/officeDocument/2006/relationships/hyperlink" Target="https://www.facebook.com/nga.quyh" TargetMode="External"/><Relationship Id="rId1766" Type="http://schemas.openxmlformats.org/officeDocument/2006/relationships/hyperlink" Target="https://www.facebook.com/share/1a7VcY7KV3/" TargetMode="External"/><Relationship Id="rId77" Type="http://schemas.openxmlformats.org/officeDocument/2006/relationships/hyperlink" Target="https://www.facebook.com/profile.php?id=100034559618050" TargetMode="External"/><Relationship Id="rId1767" Type="http://schemas.openxmlformats.org/officeDocument/2006/relationships/hyperlink" Target="https://www.facebook.com/share/189YGJo4xd/" TargetMode="External"/><Relationship Id="rId76" Type="http://schemas.openxmlformats.org/officeDocument/2006/relationships/hyperlink" Target="https://www.facebook.com/profile.php?id=100008402494492" TargetMode="External"/><Relationship Id="rId1768" Type="http://schemas.openxmlformats.org/officeDocument/2006/relationships/hyperlink" Target="https://www.facebook.com/share/189YGJo4xd/" TargetMode="External"/><Relationship Id="rId79" Type="http://schemas.openxmlformats.org/officeDocument/2006/relationships/hyperlink" Target="https://www.facebook.com/angelina.d.tran" TargetMode="External"/><Relationship Id="rId1769" Type="http://schemas.openxmlformats.org/officeDocument/2006/relationships/hyperlink" Target="https://www.facebook.com/share/18WaWGEYfh/" TargetMode="External"/><Relationship Id="rId78" Type="http://schemas.openxmlformats.org/officeDocument/2006/relationships/hyperlink" Target="https://www.facebook.com/kieuscons.cochu.5" TargetMode="External"/><Relationship Id="rId71" Type="http://schemas.openxmlformats.org/officeDocument/2006/relationships/hyperlink" Target="https://www.facebook.com/tra.dao.12/" TargetMode="External"/><Relationship Id="rId70" Type="http://schemas.openxmlformats.org/officeDocument/2006/relationships/hyperlink" Target="https://www.facebook.com/ntth.aoisakura" TargetMode="External"/><Relationship Id="rId1760" Type="http://schemas.openxmlformats.org/officeDocument/2006/relationships/hyperlink" Target="https://www.facebook.com/share/1CtCcxfpvc/" TargetMode="External"/><Relationship Id="rId1761" Type="http://schemas.openxmlformats.org/officeDocument/2006/relationships/hyperlink" Target="https://www.facebook.com/share/1EBtQJaWrF/" TargetMode="External"/><Relationship Id="rId1762" Type="http://schemas.openxmlformats.org/officeDocument/2006/relationships/hyperlink" Target="https://www.facebook.com/share/18cf9frP6i/" TargetMode="External"/><Relationship Id="rId62" Type="http://schemas.openxmlformats.org/officeDocument/2006/relationships/hyperlink" Target="http://facebook.com/profile.php" TargetMode="External"/><Relationship Id="rId1312" Type="http://schemas.openxmlformats.org/officeDocument/2006/relationships/hyperlink" Target="https://www.facebook.com/share/18DoqGvdUy/" TargetMode="External"/><Relationship Id="rId1796" Type="http://schemas.openxmlformats.org/officeDocument/2006/relationships/hyperlink" Target="https://www.facebook.com/share/1UWuJf3ES5/" TargetMode="External"/><Relationship Id="rId61" Type="http://schemas.openxmlformats.org/officeDocument/2006/relationships/hyperlink" Target="https://www.facebook.com/yenyen7109" TargetMode="External"/><Relationship Id="rId1313" Type="http://schemas.openxmlformats.org/officeDocument/2006/relationships/hyperlink" Target="https://www.facebook.com/share/1FMAAeUXbu/" TargetMode="External"/><Relationship Id="rId1797" Type="http://schemas.openxmlformats.org/officeDocument/2006/relationships/hyperlink" Target="https://www.facebook.com/share/1UWuJf3ES5/" TargetMode="External"/><Relationship Id="rId64" Type="http://schemas.openxmlformats.org/officeDocument/2006/relationships/hyperlink" Target="https://www.facebook.com/hien.bachthi.9" TargetMode="External"/><Relationship Id="rId1314" Type="http://schemas.openxmlformats.org/officeDocument/2006/relationships/hyperlink" Target="https://www.facebook.com/share/1CXpLK2cxy/" TargetMode="External"/><Relationship Id="rId1798" Type="http://schemas.openxmlformats.org/officeDocument/2006/relationships/hyperlink" Target="https://www.facebook.com/share/1UWuJf3ES5/" TargetMode="External"/><Relationship Id="rId63" Type="http://schemas.openxmlformats.org/officeDocument/2006/relationships/hyperlink" Target="http://facebook.com/profile.php" TargetMode="External"/><Relationship Id="rId1315" Type="http://schemas.openxmlformats.org/officeDocument/2006/relationships/hyperlink" Target="https://www.facebook.com/share/1E4Yiwgmrj/" TargetMode="External"/><Relationship Id="rId1799" Type="http://schemas.openxmlformats.org/officeDocument/2006/relationships/hyperlink" Target="https://www.facebook.com/share/1UWuJf3ES5/" TargetMode="External"/><Relationship Id="rId66" Type="http://schemas.openxmlformats.org/officeDocument/2006/relationships/hyperlink" Target="https://www.facebook.com/giobe.nghean.14" TargetMode="External"/><Relationship Id="rId1316" Type="http://schemas.openxmlformats.org/officeDocument/2006/relationships/hyperlink" Target="https://www.facebook.com/share/1JWpQYNj72/" TargetMode="External"/><Relationship Id="rId65" Type="http://schemas.openxmlformats.org/officeDocument/2006/relationships/hyperlink" Target="https://www.facebook.com/profile.php?id=100014031810826" TargetMode="External"/><Relationship Id="rId1317" Type="http://schemas.openxmlformats.org/officeDocument/2006/relationships/hyperlink" Target="https://www.facebook.com/share/1Ddu6gKtDs/" TargetMode="External"/><Relationship Id="rId68" Type="http://schemas.openxmlformats.org/officeDocument/2006/relationships/hyperlink" Target="https://www.facebook.com/linh.thuy.oc.nhoi" TargetMode="External"/><Relationship Id="rId1318" Type="http://schemas.openxmlformats.org/officeDocument/2006/relationships/hyperlink" Target="https://www.facebook.com/share/1Ddu6gKtDs/" TargetMode="External"/><Relationship Id="rId67" Type="http://schemas.openxmlformats.org/officeDocument/2006/relationships/hyperlink" Target="https://www.facebook.com/profile.php?id=100055517575557" TargetMode="External"/><Relationship Id="rId1319" Type="http://schemas.openxmlformats.org/officeDocument/2006/relationships/hyperlink" Target="https://www.facebook.com/share/18eAWfpSXV/" TargetMode="External"/><Relationship Id="rId729" Type="http://schemas.openxmlformats.org/officeDocument/2006/relationships/hyperlink" Target="https://www.facebook.com/share/1CcoAxAgb7/" TargetMode="External"/><Relationship Id="rId728" Type="http://schemas.openxmlformats.org/officeDocument/2006/relationships/hyperlink" Target="https://www.facebook.com/share/1CcoAxAgb7/" TargetMode="External"/><Relationship Id="rId60" Type="http://schemas.openxmlformats.org/officeDocument/2006/relationships/hyperlink" Target="https://www.facebook.com/Dunglacuocdoi.thuhien" TargetMode="External"/><Relationship Id="rId723" Type="http://schemas.openxmlformats.org/officeDocument/2006/relationships/hyperlink" Target="https://www.facebook.com/share/14bDUZJAxHW/" TargetMode="External"/><Relationship Id="rId722" Type="http://schemas.openxmlformats.org/officeDocument/2006/relationships/hyperlink" Target="https://www.facebook.com/share/1Dg2MXdph5/" TargetMode="External"/><Relationship Id="rId721" Type="http://schemas.openxmlformats.org/officeDocument/2006/relationships/hyperlink" Target="https://www.facebook.com/share/1Dg2MXdph5/" TargetMode="External"/><Relationship Id="rId720" Type="http://schemas.openxmlformats.org/officeDocument/2006/relationships/hyperlink" Target="https://www.facebook.com/m.dggiuu001" TargetMode="External"/><Relationship Id="rId727" Type="http://schemas.openxmlformats.org/officeDocument/2006/relationships/hyperlink" Target="https://www.facebook.com/share/1JACjH39ro/" TargetMode="External"/><Relationship Id="rId726" Type="http://schemas.openxmlformats.org/officeDocument/2006/relationships/hyperlink" Target="https://www.facebook.com/share/1JACjH39ro/" TargetMode="External"/><Relationship Id="rId725" Type="http://schemas.openxmlformats.org/officeDocument/2006/relationships/hyperlink" Target="https://www.facebook.com/share/1AvKTP68qh/" TargetMode="External"/><Relationship Id="rId724" Type="http://schemas.openxmlformats.org/officeDocument/2006/relationships/hyperlink" Target="https://www.facebook.com/share/14bDUZJAxHW/" TargetMode="External"/><Relationship Id="rId69" Type="http://schemas.openxmlformats.org/officeDocument/2006/relationships/hyperlink" Target="https://www.facebook.com/nle.phuong.3" TargetMode="External"/><Relationship Id="rId1790" Type="http://schemas.openxmlformats.org/officeDocument/2006/relationships/hyperlink" Target="https://www.facebook.com/share/1ERZYqTMBA/" TargetMode="External"/><Relationship Id="rId1791" Type="http://schemas.openxmlformats.org/officeDocument/2006/relationships/hyperlink" Target="https://www.facebook.com/share/18snt1Y3Ep/" TargetMode="External"/><Relationship Id="rId1792" Type="http://schemas.openxmlformats.org/officeDocument/2006/relationships/hyperlink" Target="https://www.facebook.com/share/18snt1Y3Ep/" TargetMode="External"/><Relationship Id="rId1793" Type="http://schemas.openxmlformats.org/officeDocument/2006/relationships/hyperlink" Target="https://www.facebook.com/share/1UWuJf3ES5/" TargetMode="External"/><Relationship Id="rId1310" Type="http://schemas.openxmlformats.org/officeDocument/2006/relationships/hyperlink" Target="https://www.facebook.com/share/1FREMhWyFm/" TargetMode="External"/><Relationship Id="rId1794" Type="http://schemas.openxmlformats.org/officeDocument/2006/relationships/hyperlink" Target="https://www.facebook.com/share/1UWuJf3ES5/" TargetMode="External"/><Relationship Id="rId1311" Type="http://schemas.openxmlformats.org/officeDocument/2006/relationships/hyperlink" Target="https://www.facebook.com/share/17NafRvLwq/" TargetMode="External"/><Relationship Id="rId1795" Type="http://schemas.openxmlformats.org/officeDocument/2006/relationships/hyperlink" Target="https://www.facebook.com/share/1UWuJf3ES5/" TargetMode="External"/><Relationship Id="rId51" Type="http://schemas.openxmlformats.org/officeDocument/2006/relationships/hyperlink" Target="https://www.facebook.com/share/1CjuGFS7R4/" TargetMode="External"/><Relationship Id="rId1301" Type="http://schemas.openxmlformats.org/officeDocument/2006/relationships/hyperlink" Target="https://www.facebook.com/share/1B9NLcWY2N/" TargetMode="External"/><Relationship Id="rId1785" Type="http://schemas.openxmlformats.org/officeDocument/2006/relationships/hyperlink" Target="https://www.facebook.com/share/14ZJhNiPLas/" TargetMode="External"/><Relationship Id="rId50" Type="http://schemas.openxmlformats.org/officeDocument/2006/relationships/hyperlink" Target="https://www.facebook.com/share/1NLcBrYjqJ/" TargetMode="External"/><Relationship Id="rId1302" Type="http://schemas.openxmlformats.org/officeDocument/2006/relationships/hyperlink" Target="https://www.facebook.com/share/1B9NLcWY2N/" TargetMode="External"/><Relationship Id="rId1786" Type="http://schemas.openxmlformats.org/officeDocument/2006/relationships/hyperlink" Target="https://www.facebook.com/share/18ngDB8QRB/" TargetMode="External"/><Relationship Id="rId53" Type="http://schemas.openxmlformats.org/officeDocument/2006/relationships/hyperlink" Target="https://www.facebook.com/share/1Ds98gUs1u/" TargetMode="External"/><Relationship Id="rId1303" Type="http://schemas.openxmlformats.org/officeDocument/2006/relationships/hyperlink" Target="https://www.facebook.com/share/18xQ6EMuHr/" TargetMode="External"/><Relationship Id="rId1787" Type="http://schemas.openxmlformats.org/officeDocument/2006/relationships/hyperlink" Target="https://www.facebook.com/share/18ngDB8QRB/" TargetMode="External"/><Relationship Id="rId52" Type="http://schemas.openxmlformats.org/officeDocument/2006/relationships/hyperlink" Target="https://www.facebook.com/share/1Hf12fTfjm/" TargetMode="External"/><Relationship Id="rId1304" Type="http://schemas.openxmlformats.org/officeDocument/2006/relationships/hyperlink" Target="https://www.facebook.com/share/1811JmUqUj/" TargetMode="External"/><Relationship Id="rId1788" Type="http://schemas.openxmlformats.org/officeDocument/2006/relationships/hyperlink" Target="https://www.facebook.com/share/18iSSrbNnJ/" TargetMode="External"/><Relationship Id="rId55" Type="http://schemas.openxmlformats.org/officeDocument/2006/relationships/hyperlink" Target="https://www.facebook.com/phamthi.lananh.56863" TargetMode="External"/><Relationship Id="rId1305" Type="http://schemas.openxmlformats.org/officeDocument/2006/relationships/hyperlink" Target="https://www.facebook.com/share/1DdgjTmMX5/" TargetMode="External"/><Relationship Id="rId1789" Type="http://schemas.openxmlformats.org/officeDocument/2006/relationships/hyperlink" Target="https://www.facebook.com/share/1ERZYqTMBA/" TargetMode="External"/><Relationship Id="rId54" Type="http://schemas.openxmlformats.org/officeDocument/2006/relationships/hyperlink" Target="https://www.facebook.com/quynh.harry.3" TargetMode="External"/><Relationship Id="rId1306" Type="http://schemas.openxmlformats.org/officeDocument/2006/relationships/hyperlink" Target="https://www.facebook.com/share/18Yaaa94zG/" TargetMode="External"/><Relationship Id="rId57" Type="http://schemas.openxmlformats.org/officeDocument/2006/relationships/hyperlink" Target="https://www.facebook.com/linhlum.95" TargetMode="External"/><Relationship Id="rId1307" Type="http://schemas.openxmlformats.org/officeDocument/2006/relationships/hyperlink" Target="https://www.facebook.com/share/1FNk1o5org/" TargetMode="External"/><Relationship Id="rId56" Type="http://schemas.openxmlformats.org/officeDocument/2006/relationships/hyperlink" Target="https://www.facebook.com/phamthi.lananh.56863" TargetMode="External"/><Relationship Id="rId1308" Type="http://schemas.openxmlformats.org/officeDocument/2006/relationships/hyperlink" Target="https://www.facebook.com/share/1EtuB4oGhP/" TargetMode="External"/><Relationship Id="rId1309" Type="http://schemas.openxmlformats.org/officeDocument/2006/relationships/hyperlink" Target="https://www.facebook.com/share/1C1NJSBvSV/" TargetMode="External"/><Relationship Id="rId719" Type="http://schemas.openxmlformats.org/officeDocument/2006/relationships/hyperlink" Target="https://www.facebook.com/share/18FWgMb474/" TargetMode="External"/><Relationship Id="rId718" Type="http://schemas.openxmlformats.org/officeDocument/2006/relationships/hyperlink" Target="https://www.facebook.com/share/18FWgMb474/" TargetMode="External"/><Relationship Id="rId717" Type="http://schemas.openxmlformats.org/officeDocument/2006/relationships/hyperlink" Target="https://www.facebook.com/share/18St9Jg6Ba/" TargetMode="External"/><Relationship Id="rId712" Type="http://schemas.openxmlformats.org/officeDocument/2006/relationships/hyperlink" Target="https://www.facebook.com/share/18SJ7Bkjv9/" TargetMode="External"/><Relationship Id="rId711" Type="http://schemas.openxmlformats.org/officeDocument/2006/relationships/hyperlink" Target="https://www.facebook.com/meichan2212" TargetMode="External"/><Relationship Id="rId710" Type="http://schemas.openxmlformats.org/officeDocument/2006/relationships/hyperlink" Target="https://www.facebook.com/meichan2212" TargetMode="External"/><Relationship Id="rId716" Type="http://schemas.openxmlformats.org/officeDocument/2006/relationships/hyperlink" Target="https://www.facebook.com/share/18St9Jg6Ba/" TargetMode="External"/><Relationship Id="rId715" Type="http://schemas.openxmlformats.org/officeDocument/2006/relationships/hyperlink" Target="https://www.facebook.com/share/1CtiWUicWd/" TargetMode="External"/><Relationship Id="rId714" Type="http://schemas.openxmlformats.org/officeDocument/2006/relationships/hyperlink" Target="https://www.facebook.com/share/14hSsZwoGRZ/" TargetMode="External"/><Relationship Id="rId713" Type="http://schemas.openxmlformats.org/officeDocument/2006/relationships/hyperlink" Target="https://www.facebook.com/share/1GoNjk9PrP/" TargetMode="External"/><Relationship Id="rId59" Type="http://schemas.openxmlformats.org/officeDocument/2006/relationships/hyperlink" Target="https://www.facebook.com/share/1CVFPQcg5J/" TargetMode="External"/><Relationship Id="rId58" Type="http://schemas.openxmlformats.org/officeDocument/2006/relationships/hyperlink" Target="https://www.facebook.com/profile.php" TargetMode="External"/><Relationship Id="rId1780" Type="http://schemas.openxmlformats.org/officeDocument/2006/relationships/hyperlink" Target="https://www.facebook.com/share/1E92ckXU9G/" TargetMode="External"/><Relationship Id="rId1781" Type="http://schemas.openxmlformats.org/officeDocument/2006/relationships/hyperlink" Target="https://www.facebook.com/share/1BE5K8xvAp/" TargetMode="External"/><Relationship Id="rId1782" Type="http://schemas.openxmlformats.org/officeDocument/2006/relationships/hyperlink" Target="https://www.facebook.com/share/1BE5K8xvAp/" TargetMode="External"/><Relationship Id="rId1783" Type="http://schemas.openxmlformats.org/officeDocument/2006/relationships/hyperlink" Target="https://www.facebook.com/share/18jWJUMsdm/" TargetMode="External"/><Relationship Id="rId1300" Type="http://schemas.openxmlformats.org/officeDocument/2006/relationships/hyperlink" Target="https://www.facebook.com/share/1B9NLcWY2N/" TargetMode="External"/><Relationship Id="rId1784" Type="http://schemas.openxmlformats.org/officeDocument/2006/relationships/hyperlink" Target="https://www.facebook.com/share/18jWJUMsdm/" TargetMode="External"/><Relationship Id="rId349" Type="http://schemas.openxmlformats.org/officeDocument/2006/relationships/hyperlink" Target="https://www.facebook.com/profile.php?id=100006539089039" TargetMode="External"/><Relationship Id="rId348" Type="http://schemas.openxmlformats.org/officeDocument/2006/relationships/hyperlink" Target="https://www.facebook.com/profile.php?id=100006539089039" TargetMode="External"/><Relationship Id="rId347" Type="http://schemas.openxmlformats.org/officeDocument/2006/relationships/hyperlink" Target="https://www.facebook.com/profile.php?id=100006539089039" TargetMode="External"/><Relationship Id="rId346" Type="http://schemas.openxmlformats.org/officeDocument/2006/relationships/hyperlink" Target="https://www.facebook.com/profile.php?id=61550872307675" TargetMode="External"/><Relationship Id="rId2260" Type="http://schemas.openxmlformats.org/officeDocument/2006/relationships/hyperlink" Target="https://www.facebook.com/share/19E4BJxBfx/" TargetMode="External"/><Relationship Id="rId341" Type="http://schemas.openxmlformats.org/officeDocument/2006/relationships/hyperlink" Target="https://www.facebook.com/profile.php?id=100037242972472" TargetMode="External"/><Relationship Id="rId2261" Type="http://schemas.openxmlformats.org/officeDocument/2006/relationships/hyperlink" Target="https://www.facebook.com/share/1PeamR1rtx/" TargetMode="External"/><Relationship Id="rId340" Type="http://schemas.openxmlformats.org/officeDocument/2006/relationships/hyperlink" Target="https://www.facebook.com/hau.bich.7777" TargetMode="External"/><Relationship Id="rId2262" Type="http://schemas.openxmlformats.org/officeDocument/2006/relationships/drawing" Target="../drawings/drawing1.xml"/><Relationship Id="rId2263" Type="http://schemas.openxmlformats.org/officeDocument/2006/relationships/vmlDrawing" Target="../drawings/vmlDrawing1.vml"/><Relationship Id="rId345" Type="http://schemas.openxmlformats.org/officeDocument/2006/relationships/hyperlink" Target="https://www.facebook.com/profile.php?id=61550872307675" TargetMode="External"/><Relationship Id="rId2265" Type="http://schemas.openxmlformats.org/officeDocument/2006/relationships/table" Target="../tables/table1.xml"/><Relationship Id="rId344" Type="http://schemas.openxmlformats.org/officeDocument/2006/relationships/hyperlink" Target="https://www.facebook.com/hoang.anhh.7106" TargetMode="External"/><Relationship Id="rId343" Type="http://schemas.openxmlformats.org/officeDocument/2006/relationships/hyperlink" Target="https://www.facebook.com/hoang.anhh.7106" TargetMode="External"/><Relationship Id="rId342" Type="http://schemas.openxmlformats.org/officeDocument/2006/relationships/hyperlink" Target="https://www.facebook.com/profile.php?id=100037242972472" TargetMode="External"/><Relationship Id="rId2258" Type="http://schemas.openxmlformats.org/officeDocument/2006/relationships/hyperlink" Target="https://www.facebook.com/share/1E8uDmku72/" TargetMode="External"/><Relationship Id="rId2259" Type="http://schemas.openxmlformats.org/officeDocument/2006/relationships/hyperlink" Target="https://www.facebook.com/share/1HtjuPa7Zu/" TargetMode="External"/><Relationship Id="rId338" Type="http://schemas.openxmlformats.org/officeDocument/2006/relationships/hyperlink" Target="https://www.facebook.com/soan.nguyenthi.108" TargetMode="External"/><Relationship Id="rId337" Type="http://schemas.openxmlformats.org/officeDocument/2006/relationships/hyperlink" Target="https://www.facebook.com/soan.nguyenthi.108" TargetMode="External"/><Relationship Id="rId336" Type="http://schemas.openxmlformats.org/officeDocument/2006/relationships/hyperlink" Target="https://www.facebook.com/soan.nguyenthi.108" TargetMode="External"/><Relationship Id="rId335" Type="http://schemas.openxmlformats.org/officeDocument/2006/relationships/hyperlink" Target="https://www.facebook.com/hanhtho210619975555" TargetMode="External"/><Relationship Id="rId339" Type="http://schemas.openxmlformats.org/officeDocument/2006/relationships/hyperlink" Target="https://www.facebook.com/hau.bich.7777" TargetMode="External"/><Relationship Id="rId330" Type="http://schemas.openxmlformats.org/officeDocument/2006/relationships/hyperlink" Target="https://www.facebook.com/itsme01112000" TargetMode="External"/><Relationship Id="rId2250" Type="http://schemas.openxmlformats.org/officeDocument/2006/relationships/hyperlink" Target="https://www.facebook.com/share/19cDxRh8W9/" TargetMode="External"/><Relationship Id="rId2251" Type="http://schemas.openxmlformats.org/officeDocument/2006/relationships/hyperlink" Target="https://www.facebook.com/share/19cDxRh8W9/" TargetMode="External"/><Relationship Id="rId2252" Type="http://schemas.openxmlformats.org/officeDocument/2006/relationships/hyperlink" Target="https://www.facebook.com/share/19cDxRh8W9/" TargetMode="External"/><Relationship Id="rId2253" Type="http://schemas.openxmlformats.org/officeDocument/2006/relationships/hyperlink" Target="https://www.facebook.com/share/19cDxRh8W9/" TargetMode="External"/><Relationship Id="rId334" Type="http://schemas.openxmlformats.org/officeDocument/2006/relationships/hyperlink" Target="https://www.facebook.com/hanhtho210619975555" TargetMode="External"/><Relationship Id="rId2254" Type="http://schemas.openxmlformats.org/officeDocument/2006/relationships/hyperlink" Target="https://www.facebook.com/share/1E8uDmku72/" TargetMode="External"/><Relationship Id="rId333" Type="http://schemas.openxmlformats.org/officeDocument/2006/relationships/hyperlink" Target="https://www.facebook.com/share/18U8odTAyk/" TargetMode="External"/><Relationship Id="rId2255" Type="http://schemas.openxmlformats.org/officeDocument/2006/relationships/hyperlink" Target="https://www.facebook.com/share/14kAzCTTRW5/" TargetMode="External"/><Relationship Id="rId332" Type="http://schemas.openxmlformats.org/officeDocument/2006/relationships/hyperlink" Target="https://www.facebook.com/share/18U8odTAyk/" TargetMode="External"/><Relationship Id="rId2256" Type="http://schemas.openxmlformats.org/officeDocument/2006/relationships/hyperlink" Target="https://www.facebook.com/share/1EZ24v5RFB/" TargetMode="External"/><Relationship Id="rId331" Type="http://schemas.openxmlformats.org/officeDocument/2006/relationships/hyperlink" Target="https://www.facebook.com/itsme01112000" TargetMode="External"/><Relationship Id="rId2257" Type="http://schemas.openxmlformats.org/officeDocument/2006/relationships/hyperlink" Target="https://www.facebook.com/share/1DpsLXUmdX/" TargetMode="External"/><Relationship Id="rId370" Type="http://schemas.openxmlformats.org/officeDocument/2006/relationships/hyperlink" Target="https://www.facebook.com/share/17w5iMLwDq/" TargetMode="External"/><Relationship Id="rId369" Type="http://schemas.openxmlformats.org/officeDocument/2006/relationships/hyperlink" Target="https://www.facebook.com/share/17w5iMLwDq/" TargetMode="External"/><Relationship Id="rId368" Type="http://schemas.openxmlformats.org/officeDocument/2006/relationships/hyperlink" Target="https://www.facebook.com/share/17w5iMLwDq/" TargetMode="External"/><Relationship Id="rId363" Type="http://schemas.openxmlformats.org/officeDocument/2006/relationships/hyperlink" Target="https://www.facebook.com/share/14e2CsYrAZ6/" TargetMode="External"/><Relationship Id="rId362" Type="http://schemas.openxmlformats.org/officeDocument/2006/relationships/hyperlink" Target="https://www.facebook.com/share/1BKFSZjPkP/" TargetMode="External"/><Relationship Id="rId361" Type="http://schemas.openxmlformats.org/officeDocument/2006/relationships/hyperlink" Target="https://www.facebook.com/share/1BKFSZjPkP/" TargetMode="External"/><Relationship Id="rId360" Type="http://schemas.openxmlformats.org/officeDocument/2006/relationships/hyperlink" Target="https://www.facebook.com/share/18WtG956fF/" TargetMode="External"/><Relationship Id="rId367" Type="http://schemas.openxmlformats.org/officeDocument/2006/relationships/hyperlink" Target="https://www.facebook.com/share/1HzVAd1hgJ/" TargetMode="External"/><Relationship Id="rId366" Type="http://schemas.openxmlformats.org/officeDocument/2006/relationships/hyperlink" Target="https://www.facebook.com/share/1HzVAd1hgJ/" TargetMode="External"/><Relationship Id="rId365" Type="http://schemas.openxmlformats.org/officeDocument/2006/relationships/hyperlink" Target="https://www.facebook.com/share/1HzVAd1hgJ/" TargetMode="External"/><Relationship Id="rId364" Type="http://schemas.openxmlformats.org/officeDocument/2006/relationships/hyperlink" Target="https://www.facebook.com/share/14e2CsYrAZ6/" TargetMode="External"/><Relationship Id="rId95" Type="http://schemas.openxmlformats.org/officeDocument/2006/relationships/hyperlink" Target="https://www.facebook.com/profile.php?id=100034218013749" TargetMode="External"/><Relationship Id="rId94" Type="http://schemas.openxmlformats.org/officeDocument/2006/relationships/hyperlink" Target="https://www.facebook.com/share/1BVnWN3eAE/" TargetMode="External"/><Relationship Id="rId97" Type="http://schemas.openxmlformats.org/officeDocument/2006/relationships/hyperlink" Target="https://www.facebook.com/share/184BmUWtfL/" TargetMode="External"/><Relationship Id="rId96" Type="http://schemas.openxmlformats.org/officeDocument/2006/relationships/hyperlink" Target="https://www.facebook.com/share/184BmUWtfL/" TargetMode="External"/><Relationship Id="rId99" Type="http://schemas.openxmlformats.org/officeDocument/2006/relationships/hyperlink" Target="https://www.facebook.com/phung.huynh.3762" TargetMode="External"/><Relationship Id="rId98" Type="http://schemas.openxmlformats.org/officeDocument/2006/relationships/hyperlink" Target="https://www.facebook.com/m.dggiuu001" TargetMode="External"/><Relationship Id="rId91" Type="http://schemas.openxmlformats.org/officeDocument/2006/relationships/hyperlink" Target="https://www.facebook.com/chin.cao.56211" TargetMode="External"/><Relationship Id="rId90" Type="http://schemas.openxmlformats.org/officeDocument/2006/relationships/hyperlink" Target="https://www.facebook.com/chin.cao.56211" TargetMode="External"/><Relationship Id="rId93" Type="http://schemas.openxmlformats.org/officeDocument/2006/relationships/hyperlink" Target="https://www.facebook.com/share/14bEMgYCFgs/" TargetMode="External"/><Relationship Id="rId92" Type="http://schemas.openxmlformats.org/officeDocument/2006/relationships/hyperlink" Target="https://www.facebook.com/Huongnhat.tokyo" TargetMode="External"/><Relationship Id="rId359" Type="http://schemas.openxmlformats.org/officeDocument/2006/relationships/hyperlink" Target="https://www.facebook.com/share/18WtG956fF/" TargetMode="External"/><Relationship Id="rId358" Type="http://schemas.openxmlformats.org/officeDocument/2006/relationships/hyperlink" Target="https://www.facebook.com/share/18WtG956fF/" TargetMode="External"/><Relationship Id="rId357" Type="http://schemas.openxmlformats.org/officeDocument/2006/relationships/hyperlink" Target="https://www.facebook.com/share/18WtG956fF/" TargetMode="External"/><Relationship Id="rId352" Type="http://schemas.openxmlformats.org/officeDocument/2006/relationships/hyperlink" Target="https://www.facebook.com/trang.phamngoc.739" TargetMode="External"/><Relationship Id="rId351" Type="http://schemas.openxmlformats.org/officeDocument/2006/relationships/hyperlink" Target="https://www.facebook.com/thao.phan.5667901" TargetMode="External"/><Relationship Id="rId350" Type="http://schemas.openxmlformats.org/officeDocument/2006/relationships/hyperlink" Target="https://www.facebook.com/thao.phan.5667901" TargetMode="External"/><Relationship Id="rId356" Type="http://schemas.openxmlformats.org/officeDocument/2006/relationships/hyperlink" Target="https://www.facebook.com/share/1BArdmgbcU/" TargetMode="External"/><Relationship Id="rId355" Type="http://schemas.openxmlformats.org/officeDocument/2006/relationships/hyperlink" Target="https://www.facebook.com/share/1BArdmgbcU/" TargetMode="External"/><Relationship Id="rId354" Type="http://schemas.openxmlformats.org/officeDocument/2006/relationships/hyperlink" Target="https://www.facebook.com/share/1AGfbwQ8E9/" TargetMode="External"/><Relationship Id="rId353" Type="http://schemas.openxmlformats.org/officeDocument/2006/relationships/hyperlink" Target="https://www.facebook.com/share/1BpTGjwCnp/" TargetMode="External"/><Relationship Id="rId1378" Type="http://schemas.openxmlformats.org/officeDocument/2006/relationships/hyperlink" Target="https://www.facebook.com/share/1c3DPxsS2c/" TargetMode="External"/><Relationship Id="rId2225" Type="http://schemas.openxmlformats.org/officeDocument/2006/relationships/hyperlink" Target="https://www.facebook.com/share/14fnvGxyPYp/" TargetMode="External"/><Relationship Id="rId1379" Type="http://schemas.openxmlformats.org/officeDocument/2006/relationships/hyperlink" Target="https://www.facebook.com/share/1A3MQ9GWRv/" TargetMode="External"/><Relationship Id="rId2226" Type="http://schemas.openxmlformats.org/officeDocument/2006/relationships/hyperlink" Target="https://www.facebook.com/share/1BMNdDB3cJ/" TargetMode="External"/><Relationship Id="rId2227" Type="http://schemas.openxmlformats.org/officeDocument/2006/relationships/hyperlink" Target="https://www.facebook.com/share/1QAmwa4Eom/" TargetMode="External"/><Relationship Id="rId2228" Type="http://schemas.openxmlformats.org/officeDocument/2006/relationships/hyperlink" Target="https://www.facebook.com/share/1QAmwa4Eom/" TargetMode="External"/><Relationship Id="rId2229" Type="http://schemas.openxmlformats.org/officeDocument/2006/relationships/hyperlink" Target="https://www.facebook.com/share/1QAmwa4Eom/" TargetMode="External"/><Relationship Id="rId305" Type="http://schemas.openxmlformats.org/officeDocument/2006/relationships/hyperlink" Target="https://www.facebook.com/share/18V5atZ5Ho/" TargetMode="External"/><Relationship Id="rId789" Type="http://schemas.openxmlformats.org/officeDocument/2006/relationships/hyperlink" Target="https://www.facebook.com/share/1CYbSuXyVk/" TargetMode="External"/><Relationship Id="rId304" Type="http://schemas.openxmlformats.org/officeDocument/2006/relationships/hyperlink" Target="https://www.facebook.com/share/18V5atZ5Ho/" TargetMode="External"/><Relationship Id="rId788" Type="http://schemas.openxmlformats.org/officeDocument/2006/relationships/hyperlink" Target="https://www.facebook.com/share/1Hu44bcf7Z/" TargetMode="External"/><Relationship Id="rId303" Type="http://schemas.openxmlformats.org/officeDocument/2006/relationships/hyperlink" Target="https://www.facebook.com/share/18eAWfpSXV/" TargetMode="External"/><Relationship Id="rId787" Type="http://schemas.openxmlformats.org/officeDocument/2006/relationships/hyperlink" Target="https://www.facebook.com/share/1Hu44bcf7Z/" TargetMode="External"/><Relationship Id="rId302" Type="http://schemas.openxmlformats.org/officeDocument/2006/relationships/hyperlink" Target="https://www.facebook.com/share/18eAWfpSXV/" TargetMode="External"/><Relationship Id="rId786" Type="http://schemas.openxmlformats.org/officeDocument/2006/relationships/hyperlink" Target="https://www.facebook.com/share/1KW554xqyD/" TargetMode="External"/><Relationship Id="rId309" Type="http://schemas.openxmlformats.org/officeDocument/2006/relationships/hyperlink" Target="https://www.facebook.com/share/18CFd9jzMG/" TargetMode="External"/><Relationship Id="rId308" Type="http://schemas.openxmlformats.org/officeDocument/2006/relationships/hyperlink" Target="https://www.facebook.com/share/18CFd9jzMG/" TargetMode="External"/><Relationship Id="rId307" Type="http://schemas.openxmlformats.org/officeDocument/2006/relationships/hyperlink" Target="https://www.facebook.com/share/18V5atZ5Ho/" TargetMode="External"/><Relationship Id="rId306" Type="http://schemas.openxmlformats.org/officeDocument/2006/relationships/hyperlink" Target="https://www.facebook.com/share/18V5atZ5Ho/" TargetMode="External"/><Relationship Id="rId781" Type="http://schemas.openxmlformats.org/officeDocument/2006/relationships/hyperlink" Target="https://www.facebook.com/share/1L63GHmkAe/" TargetMode="External"/><Relationship Id="rId1370" Type="http://schemas.openxmlformats.org/officeDocument/2006/relationships/hyperlink" Target="https://www.facebook.com/share/1MaTey1btg/" TargetMode="External"/><Relationship Id="rId780" Type="http://schemas.openxmlformats.org/officeDocument/2006/relationships/hyperlink" Target="https://www.facebook.com/share/1L63GHmkAe/" TargetMode="External"/><Relationship Id="rId1371" Type="http://schemas.openxmlformats.org/officeDocument/2006/relationships/hyperlink" Target="https://www.facebook.com/share/1HnmKqMEg4/" TargetMode="External"/><Relationship Id="rId1372" Type="http://schemas.openxmlformats.org/officeDocument/2006/relationships/hyperlink" Target="https://www.facebook.com/share/1HnmKqMEg4/" TargetMode="External"/><Relationship Id="rId1373" Type="http://schemas.openxmlformats.org/officeDocument/2006/relationships/hyperlink" Target="https://www.facebook.com/share/18piuwFyKm/" TargetMode="External"/><Relationship Id="rId2220" Type="http://schemas.openxmlformats.org/officeDocument/2006/relationships/hyperlink" Target="https://www.facebook.com/share/18jhQZLMHV/" TargetMode="External"/><Relationship Id="rId301" Type="http://schemas.openxmlformats.org/officeDocument/2006/relationships/hyperlink" Target="https://www.facebook.com/share/18eAWfpSXV/" TargetMode="External"/><Relationship Id="rId785" Type="http://schemas.openxmlformats.org/officeDocument/2006/relationships/hyperlink" Target="https://www.facebook.com/share/1AyCXkFFCR/" TargetMode="External"/><Relationship Id="rId1374" Type="http://schemas.openxmlformats.org/officeDocument/2006/relationships/hyperlink" Target="https://www.facebook.com/share/18piuwFyKm/" TargetMode="External"/><Relationship Id="rId2221" Type="http://schemas.openxmlformats.org/officeDocument/2006/relationships/hyperlink" Target="https://www.facebook.com/share/1HQpkKAV8a/" TargetMode="External"/><Relationship Id="rId300" Type="http://schemas.openxmlformats.org/officeDocument/2006/relationships/hyperlink" Target="https://www.facebook.com/share/18U8odTAyk/" TargetMode="External"/><Relationship Id="rId784" Type="http://schemas.openxmlformats.org/officeDocument/2006/relationships/hyperlink" Target="https://www.facebook.com/share/1EKcyPLr4P/" TargetMode="External"/><Relationship Id="rId1375" Type="http://schemas.openxmlformats.org/officeDocument/2006/relationships/hyperlink" Target="https://www.facebook.com/share/1DzVMAy8pB/" TargetMode="External"/><Relationship Id="rId2222" Type="http://schemas.openxmlformats.org/officeDocument/2006/relationships/hyperlink" Target="https://www.facebook.com/share/17apjAt4Sm/" TargetMode="External"/><Relationship Id="rId783" Type="http://schemas.openxmlformats.org/officeDocument/2006/relationships/hyperlink" Target="https://www.facebook.com/share/18E5sfRSYn/" TargetMode="External"/><Relationship Id="rId1376" Type="http://schemas.openxmlformats.org/officeDocument/2006/relationships/hyperlink" Target="https://www.facebook.com/share/1Gwx8ScyXz/" TargetMode="External"/><Relationship Id="rId2223" Type="http://schemas.openxmlformats.org/officeDocument/2006/relationships/hyperlink" Target="https://www.facebook.com/share/19cDxRh8W9/" TargetMode="External"/><Relationship Id="rId782" Type="http://schemas.openxmlformats.org/officeDocument/2006/relationships/hyperlink" Target="https://www.facebook.com/share/18E5sfRSYn/" TargetMode="External"/><Relationship Id="rId1377" Type="http://schemas.openxmlformats.org/officeDocument/2006/relationships/hyperlink" Target="https://www.facebook.com/share/18YGqCS6w5/" TargetMode="External"/><Relationship Id="rId2224" Type="http://schemas.openxmlformats.org/officeDocument/2006/relationships/hyperlink" Target="https://www.facebook.com/share/1HBWcDfVXs/" TargetMode="External"/><Relationship Id="rId1367" Type="http://schemas.openxmlformats.org/officeDocument/2006/relationships/hyperlink" Target="https://www.facebook.com/share/1D1RgEtsS5/" TargetMode="External"/><Relationship Id="rId2214" Type="http://schemas.openxmlformats.org/officeDocument/2006/relationships/hyperlink" Target="https://www.facebook.com/share/1D9n8Ri5ik/" TargetMode="External"/><Relationship Id="rId1368" Type="http://schemas.openxmlformats.org/officeDocument/2006/relationships/hyperlink" Target="https://www.facebook.com/share/1De5svUcKX/" TargetMode="External"/><Relationship Id="rId2215" Type="http://schemas.openxmlformats.org/officeDocument/2006/relationships/hyperlink" Target="https://www.facebook.com/share/1Dwv3ccixN/" TargetMode="External"/><Relationship Id="rId1369" Type="http://schemas.openxmlformats.org/officeDocument/2006/relationships/hyperlink" Target="https://www.facebook.com/share/1MaTey1btg/" TargetMode="External"/><Relationship Id="rId2216" Type="http://schemas.openxmlformats.org/officeDocument/2006/relationships/hyperlink" Target="https://www.facebook.com/share/1Dwv3ccixN/" TargetMode="External"/><Relationship Id="rId2217" Type="http://schemas.openxmlformats.org/officeDocument/2006/relationships/hyperlink" Target="https://www.facebook.com/share/1Ba7rxpAbV/" TargetMode="External"/><Relationship Id="rId2218" Type="http://schemas.openxmlformats.org/officeDocument/2006/relationships/hyperlink" Target="https://www.facebook.com/share/18x4TEP2Gv/" TargetMode="External"/><Relationship Id="rId2219" Type="http://schemas.openxmlformats.org/officeDocument/2006/relationships/hyperlink" Target="https://www.facebook.com/share/1Ci6yWNmh3/" TargetMode="External"/><Relationship Id="rId778" Type="http://schemas.openxmlformats.org/officeDocument/2006/relationships/hyperlink" Target="https://www.facebook.com/share/1EV9UBkGiX/" TargetMode="External"/><Relationship Id="rId777" Type="http://schemas.openxmlformats.org/officeDocument/2006/relationships/hyperlink" Target="https://www.facebook.com/share/1EV9UBkGiX/" TargetMode="External"/><Relationship Id="rId776" Type="http://schemas.openxmlformats.org/officeDocument/2006/relationships/hyperlink" Target="https://www.facebook.com/share/1AzCic9VJR/" TargetMode="External"/><Relationship Id="rId775" Type="http://schemas.openxmlformats.org/officeDocument/2006/relationships/hyperlink" Target="https://www.facebook.com/share/1AzCic9VJR/" TargetMode="External"/><Relationship Id="rId779" Type="http://schemas.openxmlformats.org/officeDocument/2006/relationships/hyperlink" Target="https://www.facebook.com/share/1EV9UBkGiX/" TargetMode="External"/><Relationship Id="rId770" Type="http://schemas.openxmlformats.org/officeDocument/2006/relationships/hyperlink" Target="https://www.facebook.com/share/1EKfhjKMzC/" TargetMode="External"/><Relationship Id="rId1360" Type="http://schemas.openxmlformats.org/officeDocument/2006/relationships/hyperlink" Target="https://www.facebook.com/share/1EZ24v5RFB/" TargetMode="External"/><Relationship Id="rId1361" Type="http://schemas.openxmlformats.org/officeDocument/2006/relationships/hyperlink" Target="https://www.facebook.com/share/18cyiBJW2A/" TargetMode="External"/><Relationship Id="rId1362" Type="http://schemas.openxmlformats.org/officeDocument/2006/relationships/hyperlink" Target="https://www.facebook.com/share/1GQEGpRwD5/" TargetMode="External"/><Relationship Id="rId774" Type="http://schemas.openxmlformats.org/officeDocument/2006/relationships/hyperlink" Target="https://www.facebook.com/share/18GdUtKFfT/" TargetMode="External"/><Relationship Id="rId1363" Type="http://schemas.openxmlformats.org/officeDocument/2006/relationships/hyperlink" Target="https://www.facebook.com/share/1Cn3vgBB3i/" TargetMode="External"/><Relationship Id="rId2210" Type="http://schemas.openxmlformats.org/officeDocument/2006/relationships/hyperlink" Target="https://www.facebook.com/share/18ovJtYzt4/" TargetMode="External"/><Relationship Id="rId773" Type="http://schemas.openxmlformats.org/officeDocument/2006/relationships/hyperlink" Target="https://www.facebook.com/share/1KmJALpNyd/" TargetMode="External"/><Relationship Id="rId1364" Type="http://schemas.openxmlformats.org/officeDocument/2006/relationships/hyperlink" Target="https://www.facebook.com/share/18aztJehbz/" TargetMode="External"/><Relationship Id="rId2211" Type="http://schemas.openxmlformats.org/officeDocument/2006/relationships/hyperlink" Target="https://www.facebook.com/share/18rVvGWVUY/" TargetMode="External"/><Relationship Id="rId772" Type="http://schemas.openxmlformats.org/officeDocument/2006/relationships/hyperlink" Target="https://www.facebook.com/share/1EKfhjKMzC/" TargetMode="External"/><Relationship Id="rId1365" Type="http://schemas.openxmlformats.org/officeDocument/2006/relationships/hyperlink" Target="https://www.facebook.com/share/17cbbwByUH/" TargetMode="External"/><Relationship Id="rId2212" Type="http://schemas.openxmlformats.org/officeDocument/2006/relationships/hyperlink" Target="https://www.facebook.com/share/1BSVsj3CiX/" TargetMode="External"/><Relationship Id="rId771" Type="http://schemas.openxmlformats.org/officeDocument/2006/relationships/hyperlink" Target="https://www.facebook.com/share/1EKfhjKMzC/" TargetMode="External"/><Relationship Id="rId1366" Type="http://schemas.openxmlformats.org/officeDocument/2006/relationships/hyperlink" Target="https://www.facebook.com/share/1BAf2c7jHg/" TargetMode="External"/><Relationship Id="rId2213" Type="http://schemas.openxmlformats.org/officeDocument/2006/relationships/hyperlink" Target="https://www.facebook.com/share/1DpsLXUmdX/" TargetMode="External"/><Relationship Id="rId2247" Type="http://schemas.openxmlformats.org/officeDocument/2006/relationships/hyperlink" Target="https://www.facebook.com/share/1PeamR1rtx/" TargetMode="External"/><Relationship Id="rId2248" Type="http://schemas.openxmlformats.org/officeDocument/2006/relationships/hyperlink" Target="https://www.facebook.com/share/1PeamR1rtx/" TargetMode="External"/><Relationship Id="rId2249" Type="http://schemas.openxmlformats.org/officeDocument/2006/relationships/hyperlink" Target="https://www.facebook.com/share/19cDxRh8W9/" TargetMode="External"/><Relationship Id="rId327" Type="http://schemas.openxmlformats.org/officeDocument/2006/relationships/hyperlink" Target="https://www.facebook.com/profile.php?id=100034218013749" TargetMode="External"/><Relationship Id="rId326" Type="http://schemas.openxmlformats.org/officeDocument/2006/relationships/hyperlink" Target="https://www.facebook.com/profile.php?id=100034218013749" TargetMode="External"/><Relationship Id="rId325" Type="http://schemas.openxmlformats.org/officeDocument/2006/relationships/hyperlink" Target="https://www.facebook.com/share/1WynSNUvYA/" TargetMode="External"/><Relationship Id="rId324" Type="http://schemas.openxmlformats.org/officeDocument/2006/relationships/hyperlink" Target="https://www.facebook.com/profile.php?id=100016762638666" TargetMode="External"/><Relationship Id="rId329" Type="http://schemas.openxmlformats.org/officeDocument/2006/relationships/hyperlink" Target="https://www.facebook.com/havi.phamthi.33" TargetMode="External"/><Relationship Id="rId1390" Type="http://schemas.openxmlformats.org/officeDocument/2006/relationships/hyperlink" Target="https://www.facebook.com/share/1bQgXnrvbx/" TargetMode="External"/><Relationship Id="rId328" Type="http://schemas.openxmlformats.org/officeDocument/2006/relationships/hyperlink" Target="https://www.facebook.com/havi.phamthi.33" TargetMode="External"/><Relationship Id="rId1391" Type="http://schemas.openxmlformats.org/officeDocument/2006/relationships/hyperlink" Target="https://www.facebook.com/share/1bQgXnrvbx/" TargetMode="External"/><Relationship Id="rId1392" Type="http://schemas.openxmlformats.org/officeDocument/2006/relationships/hyperlink" Target="https://www.facebook.com/share/1bQgXnrvbx/" TargetMode="External"/><Relationship Id="rId1393" Type="http://schemas.openxmlformats.org/officeDocument/2006/relationships/hyperlink" Target="https://www.facebook.com/share/1bQgXnrvbx/" TargetMode="External"/><Relationship Id="rId2240" Type="http://schemas.openxmlformats.org/officeDocument/2006/relationships/hyperlink" Target="https://www.facebook.com/share/1JPAnqH3pm/" TargetMode="External"/><Relationship Id="rId1394" Type="http://schemas.openxmlformats.org/officeDocument/2006/relationships/hyperlink" Target="https://www.facebook.com/share/19rdj16KD7/" TargetMode="External"/><Relationship Id="rId2241" Type="http://schemas.openxmlformats.org/officeDocument/2006/relationships/hyperlink" Target="https://www.facebook.com/share/1JPAnqH3pm/" TargetMode="External"/><Relationship Id="rId1395" Type="http://schemas.openxmlformats.org/officeDocument/2006/relationships/hyperlink" Target="https://www.facebook.com/share/19rdj16KD7/" TargetMode="External"/><Relationship Id="rId2242" Type="http://schemas.openxmlformats.org/officeDocument/2006/relationships/hyperlink" Target="https://www.facebook.com/share/19E4BJxBfx/" TargetMode="External"/><Relationship Id="rId323" Type="http://schemas.openxmlformats.org/officeDocument/2006/relationships/hyperlink" Target="https://www.facebook.com/profile.php?id=100016762638666" TargetMode="External"/><Relationship Id="rId1396" Type="http://schemas.openxmlformats.org/officeDocument/2006/relationships/hyperlink" Target="https://www.facebook.com/share/1EB3BiuKed/" TargetMode="External"/><Relationship Id="rId2243" Type="http://schemas.openxmlformats.org/officeDocument/2006/relationships/hyperlink" Target="https://www.facebook.com/share/19E4BJxBfx/" TargetMode="External"/><Relationship Id="rId322" Type="http://schemas.openxmlformats.org/officeDocument/2006/relationships/hyperlink" Target="https://www.facebook.com/ut.hao.777" TargetMode="External"/><Relationship Id="rId1397" Type="http://schemas.openxmlformats.org/officeDocument/2006/relationships/hyperlink" Target="https://www.facebook.com/share/1H5w6KE9BD/" TargetMode="External"/><Relationship Id="rId2244" Type="http://schemas.openxmlformats.org/officeDocument/2006/relationships/hyperlink" Target="https://www.facebook.com/share/19E4BJxBfx/" TargetMode="External"/><Relationship Id="rId321" Type="http://schemas.openxmlformats.org/officeDocument/2006/relationships/hyperlink" Target="https://www.facebook.com/ut.hao.777" TargetMode="External"/><Relationship Id="rId1398" Type="http://schemas.openxmlformats.org/officeDocument/2006/relationships/hyperlink" Target="https://www.facebook.com/share/1H5w6KE9BD/" TargetMode="External"/><Relationship Id="rId2245" Type="http://schemas.openxmlformats.org/officeDocument/2006/relationships/hyperlink" Target="https://www.facebook.com/share/1PeamR1rtx/" TargetMode="External"/><Relationship Id="rId320" Type="http://schemas.openxmlformats.org/officeDocument/2006/relationships/hyperlink" Target="https://www.facebook.com/profile.php?id=100008951794453" TargetMode="External"/><Relationship Id="rId1399" Type="http://schemas.openxmlformats.org/officeDocument/2006/relationships/hyperlink" Target="https://www.facebook.com/share/18TzX38M5Y/" TargetMode="External"/><Relationship Id="rId2246" Type="http://schemas.openxmlformats.org/officeDocument/2006/relationships/hyperlink" Target="https://www.facebook.com/share/1PeamR1rtx/" TargetMode="External"/><Relationship Id="rId1389" Type="http://schemas.openxmlformats.org/officeDocument/2006/relationships/hyperlink" Target="https://www.facebook.com/share/1bQgXnrvbx/" TargetMode="External"/><Relationship Id="rId2236" Type="http://schemas.openxmlformats.org/officeDocument/2006/relationships/hyperlink" Target="https://www.facebook.com/share/17eeeBGbLa/" TargetMode="External"/><Relationship Id="rId2237" Type="http://schemas.openxmlformats.org/officeDocument/2006/relationships/hyperlink" Target="https://www.facebook.com/share/1JUgkCkHWc/" TargetMode="External"/><Relationship Id="rId2238" Type="http://schemas.openxmlformats.org/officeDocument/2006/relationships/hyperlink" Target="https://www.facebook.com/share/17apjAt4Sm/" TargetMode="External"/><Relationship Id="rId2239" Type="http://schemas.openxmlformats.org/officeDocument/2006/relationships/hyperlink" Target="https://www.facebook.com/share/18YxcpWmuc/" TargetMode="External"/><Relationship Id="rId316" Type="http://schemas.openxmlformats.org/officeDocument/2006/relationships/hyperlink" Target="https://www.facebook.com/share/181MeUHP52/" TargetMode="External"/><Relationship Id="rId315" Type="http://schemas.openxmlformats.org/officeDocument/2006/relationships/hyperlink" Target="https://www.facebook.com/profile.php?id=61576325116102" TargetMode="External"/><Relationship Id="rId799" Type="http://schemas.openxmlformats.org/officeDocument/2006/relationships/hyperlink" Target="https://www.facebook.com/share/1GHqyeepJr/" TargetMode="External"/><Relationship Id="rId314" Type="http://schemas.openxmlformats.org/officeDocument/2006/relationships/hyperlink" Target="https://www.facebook.com/share/1CDF9GJv3c/" TargetMode="External"/><Relationship Id="rId798" Type="http://schemas.openxmlformats.org/officeDocument/2006/relationships/hyperlink" Target="https://www.facebook.com/share/1GHqyeepJr/" TargetMode="External"/><Relationship Id="rId313" Type="http://schemas.openxmlformats.org/officeDocument/2006/relationships/hyperlink" Target="https://www.facebook.com/share/1DMeh29c5j/" TargetMode="External"/><Relationship Id="rId797" Type="http://schemas.openxmlformats.org/officeDocument/2006/relationships/hyperlink" Target="https://www.facebook.com/share/1GHqyeepJr/" TargetMode="External"/><Relationship Id="rId319" Type="http://schemas.openxmlformats.org/officeDocument/2006/relationships/hyperlink" Target="https://www.facebook.com/profile.php?id=100008951794453" TargetMode="External"/><Relationship Id="rId318" Type="http://schemas.openxmlformats.org/officeDocument/2006/relationships/hyperlink" Target="https://www.facebook.com/thanhvan2802" TargetMode="External"/><Relationship Id="rId317" Type="http://schemas.openxmlformats.org/officeDocument/2006/relationships/hyperlink" Target="https://www.facebook.com/share/181MeUHP52/" TargetMode="External"/><Relationship Id="rId1380" Type="http://schemas.openxmlformats.org/officeDocument/2006/relationships/hyperlink" Target="https://www.facebook.com/share/1GpsRnttMR/" TargetMode="External"/><Relationship Id="rId792" Type="http://schemas.openxmlformats.org/officeDocument/2006/relationships/hyperlink" Target="https://www.facebook.com/share/1DzVMAy8pB/" TargetMode="External"/><Relationship Id="rId1381" Type="http://schemas.openxmlformats.org/officeDocument/2006/relationships/hyperlink" Target="https://www.facebook.com/share/1ERyvCU4yC/" TargetMode="External"/><Relationship Id="rId791" Type="http://schemas.openxmlformats.org/officeDocument/2006/relationships/hyperlink" Target="https://www.facebook.com/share/1L63GHmkAe/" TargetMode="External"/><Relationship Id="rId1382" Type="http://schemas.openxmlformats.org/officeDocument/2006/relationships/hyperlink" Target="https://www.facebook.com/share/1CtCcxfpvc/" TargetMode="External"/><Relationship Id="rId790" Type="http://schemas.openxmlformats.org/officeDocument/2006/relationships/hyperlink" Target="https://www.facebook.com/share/1L63GHmkAe/" TargetMode="External"/><Relationship Id="rId1383" Type="http://schemas.openxmlformats.org/officeDocument/2006/relationships/hyperlink" Target="https://www.facebook.com/share/1B1a5hUFSi/" TargetMode="External"/><Relationship Id="rId2230" Type="http://schemas.openxmlformats.org/officeDocument/2006/relationships/hyperlink" Target="https://www.facebook.com/share/1Bo87w89QK/" TargetMode="External"/><Relationship Id="rId1384" Type="http://schemas.openxmlformats.org/officeDocument/2006/relationships/hyperlink" Target="https://www.facebook.com/share/14gLWUz2iYs/" TargetMode="External"/><Relationship Id="rId2231" Type="http://schemas.openxmlformats.org/officeDocument/2006/relationships/hyperlink" Target="https://www.facebook.com/share/18jqP4nWX3/" TargetMode="External"/><Relationship Id="rId312" Type="http://schemas.openxmlformats.org/officeDocument/2006/relationships/hyperlink" Target="https://www.facebook.com/share/1DpGV8qe7Z/" TargetMode="External"/><Relationship Id="rId796" Type="http://schemas.openxmlformats.org/officeDocument/2006/relationships/hyperlink" Target="https://www.facebook.com/share/1GHqyeepJr/" TargetMode="External"/><Relationship Id="rId1385" Type="http://schemas.openxmlformats.org/officeDocument/2006/relationships/hyperlink" Target="https://www.facebook.com/share/1H2TWBu2DW/" TargetMode="External"/><Relationship Id="rId2232" Type="http://schemas.openxmlformats.org/officeDocument/2006/relationships/hyperlink" Target="https://www.facebook.com/share/17ra2wX2VA/" TargetMode="External"/><Relationship Id="rId311" Type="http://schemas.openxmlformats.org/officeDocument/2006/relationships/hyperlink" Target="https://www.facebook.com/share/1DpGV8qe7Z/" TargetMode="External"/><Relationship Id="rId795" Type="http://schemas.openxmlformats.org/officeDocument/2006/relationships/hyperlink" Target="https://www.facebook.com/share/1EZ24v5RFB/" TargetMode="External"/><Relationship Id="rId1386" Type="http://schemas.openxmlformats.org/officeDocument/2006/relationships/hyperlink" Target="https://www.facebook.com/share/1861p2Xun3/" TargetMode="External"/><Relationship Id="rId2233" Type="http://schemas.openxmlformats.org/officeDocument/2006/relationships/hyperlink" Target="https://www.facebook.com/share/1G6BZZSfvq/" TargetMode="External"/><Relationship Id="rId310" Type="http://schemas.openxmlformats.org/officeDocument/2006/relationships/hyperlink" Target="https://www.facebook.com/share/18U8odTAyk/" TargetMode="External"/><Relationship Id="rId794" Type="http://schemas.openxmlformats.org/officeDocument/2006/relationships/hyperlink" Target="https://www.facebook.com/share/1Cn3vgBB3i/" TargetMode="External"/><Relationship Id="rId1387" Type="http://schemas.openxmlformats.org/officeDocument/2006/relationships/hyperlink" Target="https://www.facebook.com/share/1bQgXnrvbx/" TargetMode="External"/><Relationship Id="rId2234" Type="http://schemas.openxmlformats.org/officeDocument/2006/relationships/hyperlink" Target="https://www.facebook.com/share/1G6BZZSfvq/" TargetMode="External"/><Relationship Id="rId793" Type="http://schemas.openxmlformats.org/officeDocument/2006/relationships/hyperlink" Target="https://www.facebook.com/share/1E6fKwy5ke/" TargetMode="External"/><Relationship Id="rId1388" Type="http://schemas.openxmlformats.org/officeDocument/2006/relationships/hyperlink" Target="https://www.facebook.com/share/1bQgXnrvbx/" TargetMode="External"/><Relationship Id="rId2235" Type="http://schemas.openxmlformats.org/officeDocument/2006/relationships/hyperlink" Target="https://www.facebook.com/share/1G6BZZSfvq/" TargetMode="External"/><Relationship Id="rId297" Type="http://schemas.openxmlformats.org/officeDocument/2006/relationships/hyperlink" Target="https://www.facebook.com/share/18CFd9jzMG/" TargetMode="External"/><Relationship Id="rId296" Type="http://schemas.openxmlformats.org/officeDocument/2006/relationships/hyperlink" Target="https://www.facebook.com/share/1AtgcGoDTg/" TargetMode="External"/><Relationship Id="rId295" Type="http://schemas.openxmlformats.org/officeDocument/2006/relationships/hyperlink" Target="https://www.facebook.com/share/1AsD5zMarV/" TargetMode="External"/><Relationship Id="rId294" Type="http://schemas.openxmlformats.org/officeDocument/2006/relationships/hyperlink" Target="https://www.facebook.com/share/17CKfbh5AB/" TargetMode="External"/><Relationship Id="rId299" Type="http://schemas.openxmlformats.org/officeDocument/2006/relationships/hyperlink" Target="https://www.facebook.com/share/1JRjGvQXei/" TargetMode="External"/><Relationship Id="rId298" Type="http://schemas.openxmlformats.org/officeDocument/2006/relationships/hyperlink" Target="https://www.facebook.com/share/1DLmWEpiNv/" TargetMode="External"/><Relationship Id="rId271" Type="http://schemas.openxmlformats.org/officeDocument/2006/relationships/hyperlink" Target="https://www.facebook.com/share/17CKfbh5AB/" TargetMode="External"/><Relationship Id="rId270" Type="http://schemas.openxmlformats.org/officeDocument/2006/relationships/hyperlink" Target="https://www.facebook.com/share/17CKfbh5AB/" TargetMode="External"/><Relationship Id="rId269" Type="http://schemas.openxmlformats.org/officeDocument/2006/relationships/hyperlink" Target="https://www.facebook.com/share/17CKfbh5AB/" TargetMode="External"/><Relationship Id="rId264" Type="http://schemas.openxmlformats.org/officeDocument/2006/relationships/hyperlink" Target="https://www.facebook.com/share/1DTcc9BqkR/" TargetMode="External"/><Relationship Id="rId263" Type="http://schemas.openxmlformats.org/officeDocument/2006/relationships/hyperlink" Target="https://www.facebook.com/share/1DTcc9BqkR/" TargetMode="External"/><Relationship Id="rId262" Type="http://schemas.openxmlformats.org/officeDocument/2006/relationships/hyperlink" Target="https://www.facebook.com/share/16pcwQrFT2/" TargetMode="External"/><Relationship Id="rId261" Type="http://schemas.openxmlformats.org/officeDocument/2006/relationships/hyperlink" Target="https://www.facebook.com/share/16pcwQrFT2/" TargetMode="External"/><Relationship Id="rId268" Type="http://schemas.openxmlformats.org/officeDocument/2006/relationships/hyperlink" Target="https://www.facebook.com/share/17CKfbh5AB/" TargetMode="External"/><Relationship Id="rId267" Type="http://schemas.openxmlformats.org/officeDocument/2006/relationships/hyperlink" Target="https://www.facebook.com/share/189KiPb34K/" TargetMode="External"/><Relationship Id="rId266" Type="http://schemas.openxmlformats.org/officeDocument/2006/relationships/hyperlink" Target="https://www.facebook.com/share/1DAvfzH1Dc/" TargetMode="External"/><Relationship Id="rId265" Type="http://schemas.openxmlformats.org/officeDocument/2006/relationships/hyperlink" Target="https://www.facebook.com/share/1DTcc9BqkR/" TargetMode="External"/><Relationship Id="rId260" Type="http://schemas.openxmlformats.org/officeDocument/2006/relationships/hyperlink" Target="https://www.facebook.com/share/16pcwQrFT2/" TargetMode="External"/><Relationship Id="rId259" Type="http://schemas.openxmlformats.org/officeDocument/2006/relationships/hyperlink" Target="https://www.facebook.com/share/16pcwQrFT2/" TargetMode="External"/><Relationship Id="rId258" Type="http://schemas.openxmlformats.org/officeDocument/2006/relationships/hyperlink" Target="https://www.facebook.com/share/16pcwQrFT2/" TargetMode="External"/><Relationship Id="rId253" Type="http://schemas.openxmlformats.org/officeDocument/2006/relationships/hyperlink" Target="https://www.facebook.com/share/18MvsGjdCR/" TargetMode="External"/><Relationship Id="rId252" Type="http://schemas.openxmlformats.org/officeDocument/2006/relationships/hyperlink" Target="https://www.facebook.com/share/1DkLZKVmvg/" TargetMode="External"/><Relationship Id="rId251" Type="http://schemas.openxmlformats.org/officeDocument/2006/relationships/hyperlink" Target="https://www.facebook.com/share/1BEr2JRq8m/" TargetMode="External"/><Relationship Id="rId250" Type="http://schemas.openxmlformats.org/officeDocument/2006/relationships/hyperlink" Target="https://www.facebook.com/share/1BEr2JRq8m/" TargetMode="External"/><Relationship Id="rId257" Type="http://schemas.openxmlformats.org/officeDocument/2006/relationships/hyperlink" Target="https://www.facebook.com/share/18MvsGjdCR/" TargetMode="External"/><Relationship Id="rId256" Type="http://schemas.openxmlformats.org/officeDocument/2006/relationships/hyperlink" Target="https://www.facebook.com/share/18MvsGjdCR/" TargetMode="External"/><Relationship Id="rId255" Type="http://schemas.openxmlformats.org/officeDocument/2006/relationships/hyperlink" Target="https://www.facebook.com/share/18MvsGjdCR/" TargetMode="External"/><Relationship Id="rId254" Type="http://schemas.openxmlformats.org/officeDocument/2006/relationships/hyperlink" Target="https://www.facebook.com/share/18MvsGjdCR/" TargetMode="External"/><Relationship Id="rId293" Type="http://schemas.openxmlformats.org/officeDocument/2006/relationships/hyperlink" Target="https://www.facebook.com/share/1DbYqkGw2y/" TargetMode="External"/><Relationship Id="rId292" Type="http://schemas.openxmlformats.org/officeDocument/2006/relationships/hyperlink" Target="https://www.facebook.com/share/1CtCcxfpvc/" TargetMode="External"/><Relationship Id="rId291" Type="http://schemas.openxmlformats.org/officeDocument/2006/relationships/hyperlink" Target="https://www.facebook.com/share/1CtCcxfpvc/" TargetMode="External"/><Relationship Id="rId290" Type="http://schemas.openxmlformats.org/officeDocument/2006/relationships/hyperlink" Target="https://www.facebook.com/share/1CtCcxfpvc/" TargetMode="External"/><Relationship Id="rId286" Type="http://schemas.openxmlformats.org/officeDocument/2006/relationships/hyperlink" Target="https://www.facebook.com/share/1FXqceeAP6/" TargetMode="External"/><Relationship Id="rId285" Type="http://schemas.openxmlformats.org/officeDocument/2006/relationships/hyperlink" Target="https://www.facebook.com/share/1FXqceeAP6/" TargetMode="External"/><Relationship Id="rId284" Type="http://schemas.openxmlformats.org/officeDocument/2006/relationships/hyperlink" Target="https://www.facebook.com/share/1FXqceeAP6/" TargetMode="External"/><Relationship Id="rId283" Type="http://schemas.openxmlformats.org/officeDocument/2006/relationships/hyperlink" Target="https://www.facebook.com/share/1FXqceeAP6/" TargetMode="External"/><Relationship Id="rId289" Type="http://schemas.openxmlformats.org/officeDocument/2006/relationships/hyperlink" Target="https://www.facebook.com/share/1FXqceeAP6/" TargetMode="External"/><Relationship Id="rId288" Type="http://schemas.openxmlformats.org/officeDocument/2006/relationships/hyperlink" Target="https://www.facebook.com/share/1FXqceeAP6/" TargetMode="External"/><Relationship Id="rId287" Type="http://schemas.openxmlformats.org/officeDocument/2006/relationships/hyperlink" Target="https://www.facebook.com/share/1FXqceeAP6/" TargetMode="External"/><Relationship Id="rId282" Type="http://schemas.openxmlformats.org/officeDocument/2006/relationships/hyperlink" Target="https://www.facebook.com/share/1FRWL6oweC/" TargetMode="External"/><Relationship Id="rId281" Type="http://schemas.openxmlformats.org/officeDocument/2006/relationships/hyperlink" Target="https://www.facebook.com/share/1FRWL6oweC/" TargetMode="External"/><Relationship Id="rId280" Type="http://schemas.openxmlformats.org/officeDocument/2006/relationships/hyperlink" Target="https://www.facebook.com/share/1FRWL6oweC/" TargetMode="External"/><Relationship Id="rId275" Type="http://schemas.openxmlformats.org/officeDocument/2006/relationships/hyperlink" Target="https://www.facebook.com/share/1Vr7N7RvQ8/" TargetMode="External"/><Relationship Id="rId274" Type="http://schemas.openxmlformats.org/officeDocument/2006/relationships/hyperlink" Target="https://www.facebook.com/share/17CKfbh5AB/" TargetMode="External"/><Relationship Id="rId273" Type="http://schemas.openxmlformats.org/officeDocument/2006/relationships/hyperlink" Target="https://www.facebook.com/share/17CKfbh5AB/" TargetMode="External"/><Relationship Id="rId272" Type="http://schemas.openxmlformats.org/officeDocument/2006/relationships/hyperlink" Target="https://www.facebook.com/share/17CKfbh5AB/" TargetMode="External"/><Relationship Id="rId279" Type="http://schemas.openxmlformats.org/officeDocument/2006/relationships/hyperlink" Target="https://www.facebook.com/share/1FRWL6oweC/" TargetMode="External"/><Relationship Id="rId278" Type="http://schemas.openxmlformats.org/officeDocument/2006/relationships/hyperlink" Target="https://www.facebook.com/share/1FRWL6oweC/" TargetMode="External"/><Relationship Id="rId277" Type="http://schemas.openxmlformats.org/officeDocument/2006/relationships/hyperlink" Target="https://www.facebook.com/share/1Vr7N7RvQ8/" TargetMode="External"/><Relationship Id="rId276" Type="http://schemas.openxmlformats.org/officeDocument/2006/relationships/hyperlink" Target="https://www.facebook.com/share/1Vr7N7RvQ8/" TargetMode="External"/><Relationship Id="rId1851" Type="http://schemas.openxmlformats.org/officeDocument/2006/relationships/hyperlink" Target="https://www.facebook.com/share/14hQAQufgjK/" TargetMode="External"/><Relationship Id="rId1852" Type="http://schemas.openxmlformats.org/officeDocument/2006/relationships/hyperlink" Target="https://www.facebook.com/share/14hQAQufgjK/" TargetMode="External"/><Relationship Id="rId1853" Type="http://schemas.openxmlformats.org/officeDocument/2006/relationships/hyperlink" Target="https://www.facebook.com/share/1Ku8ouonzf/" TargetMode="External"/><Relationship Id="rId1854" Type="http://schemas.openxmlformats.org/officeDocument/2006/relationships/hyperlink" Target="https://www.facebook.com/share/1Ku8ouonzf/" TargetMode="External"/><Relationship Id="rId1855" Type="http://schemas.openxmlformats.org/officeDocument/2006/relationships/hyperlink" Target="https://www.facebook.com/share/1CP8EqVSow/" TargetMode="External"/><Relationship Id="rId1856" Type="http://schemas.openxmlformats.org/officeDocument/2006/relationships/hyperlink" Target="https://www.facebook.com/share/1CP8EqVSow/" TargetMode="External"/><Relationship Id="rId1857" Type="http://schemas.openxmlformats.org/officeDocument/2006/relationships/hyperlink" Target="https://www.facebook.com/share/1E9WZ1iS5X/" TargetMode="External"/><Relationship Id="rId1858" Type="http://schemas.openxmlformats.org/officeDocument/2006/relationships/hyperlink" Target="https://www.facebook.com/share/1E9WZ1iS5X/" TargetMode="External"/><Relationship Id="rId1859" Type="http://schemas.openxmlformats.org/officeDocument/2006/relationships/hyperlink" Target="https://www.facebook.com/share/1EFX9Pucgt/" TargetMode="External"/><Relationship Id="rId1850" Type="http://schemas.openxmlformats.org/officeDocument/2006/relationships/hyperlink" Target="https://www.facebook.com/share/1XfokEeZNY/" TargetMode="External"/><Relationship Id="rId1840" Type="http://schemas.openxmlformats.org/officeDocument/2006/relationships/hyperlink" Target="https://www.facebook.com/share/1HkGe8hsGi/" TargetMode="External"/><Relationship Id="rId1841" Type="http://schemas.openxmlformats.org/officeDocument/2006/relationships/hyperlink" Target="https://www.facebook.com/share/1CeQbdmhWA/" TargetMode="External"/><Relationship Id="rId1842" Type="http://schemas.openxmlformats.org/officeDocument/2006/relationships/hyperlink" Target="https://www.facebook.com/share/19uMT26GY7/" TargetMode="External"/><Relationship Id="rId1843" Type="http://schemas.openxmlformats.org/officeDocument/2006/relationships/hyperlink" Target="https://www.facebook.com/share/19uMT26GY7/" TargetMode="External"/><Relationship Id="rId1844" Type="http://schemas.openxmlformats.org/officeDocument/2006/relationships/hyperlink" Target="https://www.facebook.com/share/14ayBSUXbWH/" TargetMode="External"/><Relationship Id="rId1845" Type="http://schemas.openxmlformats.org/officeDocument/2006/relationships/hyperlink" Target="https://www.facebook.com/share/1Dr2ejXLkG/" TargetMode="External"/><Relationship Id="rId1846" Type="http://schemas.openxmlformats.org/officeDocument/2006/relationships/hyperlink" Target="https://www.facebook.com/share/1Dr2ejXLkG/" TargetMode="External"/><Relationship Id="rId1847" Type="http://schemas.openxmlformats.org/officeDocument/2006/relationships/hyperlink" Target="https://www.facebook.com/share/1Dr2ejXLkG/" TargetMode="External"/><Relationship Id="rId1848" Type="http://schemas.openxmlformats.org/officeDocument/2006/relationships/hyperlink" Target="https://www.facebook.com/share/14ayBSUXbWH/" TargetMode="External"/><Relationship Id="rId1849" Type="http://schemas.openxmlformats.org/officeDocument/2006/relationships/hyperlink" Target="https://www.facebook.com/share/1XfokEeZNY/" TargetMode="External"/><Relationship Id="rId1873" Type="http://schemas.openxmlformats.org/officeDocument/2006/relationships/hyperlink" Target="https://www.facebook.com/share/1B8b4PEFB9/" TargetMode="External"/><Relationship Id="rId1874" Type="http://schemas.openxmlformats.org/officeDocument/2006/relationships/hyperlink" Target="https://www.facebook.com/share/1B8b4PEFB9/" TargetMode="External"/><Relationship Id="rId1875" Type="http://schemas.openxmlformats.org/officeDocument/2006/relationships/hyperlink" Target="https://www.facebook.com/share/1CcDaqQMBM/" TargetMode="External"/><Relationship Id="rId1876" Type="http://schemas.openxmlformats.org/officeDocument/2006/relationships/hyperlink" Target="https://www.facebook.com/share/1CcDaqQMBM/" TargetMode="External"/><Relationship Id="rId1877" Type="http://schemas.openxmlformats.org/officeDocument/2006/relationships/hyperlink" Target="https://www.facebook.com/share/1BLtPpTJR2/" TargetMode="External"/><Relationship Id="rId1878" Type="http://schemas.openxmlformats.org/officeDocument/2006/relationships/hyperlink" Target="https://www.facebook.com/share/1BLtPpTJR2/" TargetMode="External"/><Relationship Id="rId1879" Type="http://schemas.openxmlformats.org/officeDocument/2006/relationships/hyperlink" Target="https://www.facebook.com/share/1M3zwW4hr4/" TargetMode="External"/><Relationship Id="rId1870" Type="http://schemas.openxmlformats.org/officeDocument/2006/relationships/hyperlink" Target="https://www.facebook.com/share/18vjJfiXyy/" TargetMode="External"/><Relationship Id="rId1871" Type="http://schemas.openxmlformats.org/officeDocument/2006/relationships/hyperlink" Target="https://www.facebook.com/share/1CDG8bH4LZ/" TargetMode="External"/><Relationship Id="rId1872" Type="http://schemas.openxmlformats.org/officeDocument/2006/relationships/hyperlink" Target="https://www.facebook.com/share/1CDG8bH4LZ/" TargetMode="External"/><Relationship Id="rId1862" Type="http://schemas.openxmlformats.org/officeDocument/2006/relationships/hyperlink" Target="https://www.facebook.com/share/1CRzoz2Zyb/" TargetMode="External"/><Relationship Id="rId1863" Type="http://schemas.openxmlformats.org/officeDocument/2006/relationships/hyperlink" Target="https://www.facebook.com/share/1VpjTaHdfC/" TargetMode="External"/><Relationship Id="rId1864" Type="http://schemas.openxmlformats.org/officeDocument/2006/relationships/hyperlink" Target="https://www.facebook.com/share/1VpjTaHdfC/" TargetMode="External"/><Relationship Id="rId1865" Type="http://schemas.openxmlformats.org/officeDocument/2006/relationships/hyperlink" Target="https://www.facebook.com/share/18X5S6EWPr/" TargetMode="External"/><Relationship Id="rId1866" Type="http://schemas.openxmlformats.org/officeDocument/2006/relationships/hyperlink" Target="https://www.facebook.com/share/18X5S6EWPr/" TargetMode="External"/><Relationship Id="rId1867" Type="http://schemas.openxmlformats.org/officeDocument/2006/relationships/hyperlink" Target="https://www.facebook.com/share/17QWUgGKBC/" TargetMode="External"/><Relationship Id="rId1868" Type="http://schemas.openxmlformats.org/officeDocument/2006/relationships/hyperlink" Target="https://www.facebook.com/share/17QWUgGKBC/" TargetMode="External"/><Relationship Id="rId1869" Type="http://schemas.openxmlformats.org/officeDocument/2006/relationships/hyperlink" Target="https://www.facebook.com/share/18vjJfiXyy/" TargetMode="External"/><Relationship Id="rId1860" Type="http://schemas.openxmlformats.org/officeDocument/2006/relationships/hyperlink" Target="https://www.facebook.com/share/1EFX9Pucgt/" TargetMode="External"/><Relationship Id="rId1861" Type="http://schemas.openxmlformats.org/officeDocument/2006/relationships/hyperlink" Target="https://www.facebook.com/share/1CRzoz2Zyb/" TargetMode="External"/><Relationship Id="rId1810" Type="http://schemas.openxmlformats.org/officeDocument/2006/relationships/hyperlink" Target="https://www.facebook.com/share/1JAsciHCqk/" TargetMode="External"/><Relationship Id="rId1811" Type="http://schemas.openxmlformats.org/officeDocument/2006/relationships/hyperlink" Target="https://www.facebook.com/share/1K3JqMyVcS/" TargetMode="External"/><Relationship Id="rId1812" Type="http://schemas.openxmlformats.org/officeDocument/2006/relationships/hyperlink" Target="https://www.facebook.com/share/1EZ24v5RFB/" TargetMode="External"/><Relationship Id="rId1813" Type="http://schemas.openxmlformats.org/officeDocument/2006/relationships/hyperlink" Target="https://www.facebook.com/share/1Bro8pm94b/" TargetMode="External"/><Relationship Id="rId1814" Type="http://schemas.openxmlformats.org/officeDocument/2006/relationships/hyperlink" Target="https://www.facebook.com/share/1EJXzyNxnz/" TargetMode="External"/><Relationship Id="rId1815" Type="http://schemas.openxmlformats.org/officeDocument/2006/relationships/hyperlink" Target="https://www.facebook.com/share/1Be3Heaqcq/" TargetMode="External"/><Relationship Id="rId1816" Type="http://schemas.openxmlformats.org/officeDocument/2006/relationships/hyperlink" Target="https://www.facebook.com/share/1DtwkU72s2/" TargetMode="External"/><Relationship Id="rId1817" Type="http://schemas.openxmlformats.org/officeDocument/2006/relationships/hyperlink" Target="https://www.facebook.com/share/18cyiBJW2A/" TargetMode="External"/><Relationship Id="rId1818" Type="http://schemas.openxmlformats.org/officeDocument/2006/relationships/hyperlink" Target="https://www.facebook.com/share/1HGq4Pugi5/" TargetMode="External"/><Relationship Id="rId1819" Type="http://schemas.openxmlformats.org/officeDocument/2006/relationships/hyperlink" Target="https://www.facebook.com/share/1E5vwnhTCC/" TargetMode="External"/><Relationship Id="rId1800" Type="http://schemas.openxmlformats.org/officeDocument/2006/relationships/hyperlink" Target="https://www.facebook.com/share/1UWuJf3ES5/" TargetMode="External"/><Relationship Id="rId1801" Type="http://schemas.openxmlformats.org/officeDocument/2006/relationships/hyperlink" Target="https://www.facebook.com/share/1EnuCr8MrB/" TargetMode="External"/><Relationship Id="rId1802" Type="http://schemas.openxmlformats.org/officeDocument/2006/relationships/hyperlink" Target="https://www.facebook.com/share/1EnuCr8MrB/" TargetMode="External"/><Relationship Id="rId1803" Type="http://schemas.openxmlformats.org/officeDocument/2006/relationships/hyperlink" Target="https://www.facebook.com/share/1AwAssEDjE/" TargetMode="External"/><Relationship Id="rId1804" Type="http://schemas.openxmlformats.org/officeDocument/2006/relationships/hyperlink" Target="https://www.facebook.com/share/1BZPRhH72x/" TargetMode="External"/><Relationship Id="rId1805" Type="http://schemas.openxmlformats.org/officeDocument/2006/relationships/hyperlink" Target="https://www.facebook.com/share/1BZPRhH72x/" TargetMode="External"/><Relationship Id="rId1806" Type="http://schemas.openxmlformats.org/officeDocument/2006/relationships/hyperlink" Target="https://www.facebook.com/share/18WhveLfWV/" TargetMode="External"/><Relationship Id="rId1807" Type="http://schemas.openxmlformats.org/officeDocument/2006/relationships/hyperlink" Target="https://www.facebook.com/share/18tbV9tDdS/" TargetMode="External"/><Relationship Id="rId1808" Type="http://schemas.openxmlformats.org/officeDocument/2006/relationships/hyperlink" Target="https://www.facebook.com/share/19q1ziX2Zk/" TargetMode="External"/><Relationship Id="rId1809" Type="http://schemas.openxmlformats.org/officeDocument/2006/relationships/hyperlink" Target="https://www.facebook.com/share/1ZcXFzcxEr/" TargetMode="External"/><Relationship Id="rId1830" Type="http://schemas.openxmlformats.org/officeDocument/2006/relationships/hyperlink" Target="https://www.facebook.com/share/18ZnTdc7Xa/" TargetMode="External"/><Relationship Id="rId1831" Type="http://schemas.openxmlformats.org/officeDocument/2006/relationships/hyperlink" Target="https://www.facebook.com/share/14bU32JeTtQ/" TargetMode="External"/><Relationship Id="rId1832" Type="http://schemas.openxmlformats.org/officeDocument/2006/relationships/hyperlink" Target="https://www.facebook.com/share/1BFiA2wDfP/" TargetMode="External"/><Relationship Id="rId1833" Type="http://schemas.openxmlformats.org/officeDocument/2006/relationships/hyperlink" Target="https://www.facebook.com/share/1CMXjdAyEA/" TargetMode="External"/><Relationship Id="rId1834" Type="http://schemas.openxmlformats.org/officeDocument/2006/relationships/hyperlink" Target="https://www.facebook.com/share/1AYoqgVJ6k/" TargetMode="External"/><Relationship Id="rId1835" Type="http://schemas.openxmlformats.org/officeDocument/2006/relationships/hyperlink" Target="https://www.facebook.com/share/1BFLafHF6n/" TargetMode="External"/><Relationship Id="rId1836" Type="http://schemas.openxmlformats.org/officeDocument/2006/relationships/hyperlink" Target="https://www.facebook.com/share/1B3QQAqPCG/" TargetMode="External"/><Relationship Id="rId1837" Type="http://schemas.openxmlformats.org/officeDocument/2006/relationships/hyperlink" Target="https://www.facebook.com/share/186idembtz/" TargetMode="External"/><Relationship Id="rId1838" Type="http://schemas.openxmlformats.org/officeDocument/2006/relationships/hyperlink" Target="https://www.facebook.com/share/1bHiBXsrz6/" TargetMode="External"/><Relationship Id="rId1839" Type="http://schemas.openxmlformats.org/officeDocument/2006/relationships/hyperlink" Target="https://www.facebook.com/share/1HrZ9ouia6/" TargetMode="External"/><Relationship Id="rId1820" Type="http://schemas.openxmlformats.org/officeDocument/2006/relationships/hyperlink" Target="https://www.facebook.com/share/1iwGwemRET/" TargetMode="External"/><Relationship Id="rId1821" Type="http://schemas.openxmlformats.org/officeDocument/2006/relationships/hyperlink" Target="https://www.facebook.com/share/1GBt12etQF/" TargetMode="External"/><Relationship Id="rId1822" Type="http://schemas.openxmlformats.org/officeDocument/2006/relationships/hyperlink" Target="https://www.facebook.com/share/14d15JGKikG/" TargetMode="External"/><Relationship Id="rId1823" Type="http://schemas.openxmlformats.org/officeDocument/2006/relationships/hyperlink" Target="https://www.facebook.com/share/1BGf5oiNj4/" TargetMode="External"/><Relationship Id="rId1824" Type="http://schemas.openxmlformats.org/officeDocument/2006/relationships/hyperlink" Target="https://www.facebook.com/share/1AwAssEDjE/" TargetMode="External"/><Relationship Id="rId1825" Type="http://schemas.openxmlformats.org/officeDocument/2006/relationships/hyperlink" Target="https://www.facebook.com/share/1Duompw2fY/" TargetMode="External"/><Relationship Id="rId1826" Type="http://schemas.openxmlformats.org/officeDocument/2006/relationships/hyperlink" Target="https://www.facebook.com/share/1CL9rw21Zt/" TargetMode="External"/><Relationship Id="rId1827" Type="http://schemas.openxmlformats.org/officeDocument/2006/relationships/hyperlink" Target="https://www.facebook.com/share/1A1jQDP7CA/" TargetMode="External"/><Relationship Id="rId1828" Type="http://schemas.openxmlformats.org/officeDocument/2006/relationships/hyperlink" Target="https://www.facebook.com/share/1bQnyPpLpq/" TargetMode="External"/><Relationship Id="rId1829" Type="http://schemas.openxmlformats.org/officeDocument/2006/relationships/hyperlink" Target="https://www.facebook.com/share/1Ba7rxpAbV/" TargetMode="External"/><Relationship Id="rId1455" Type="http://schemas.openxmlformats.org/officeDocument/2006/relationships/hyperlink" Target="https://www.facebook.com/share/1JM5WZRk1V/" TargetMode="External"/><Relationship Id="rId1456" Type="http://schemas.openxmlformats.org/officeDocument/2006/relationships/hyperlink" Target="https://www.facebook.com/share/1ChiYL7AFn/" TargetMode="External"/><Relationship Id="rId1457" Type="http://schemas.openxmlformats.org/officeDocument/2006/relationships/hyperlink" Target="https://www.facebook.com/share/1D5iRV3qD2/" TargetMode="External"/><Relationship Id="rId1458" Type="http://schemas.openxmlformats.org/officeDocument/2006/relationships/hyperlink" Target="https://www.facebook.com/share/1D5iRV3qD2/" TargetMode="External"/><Relationship Id="rId1459" Type="http://schemas.openxmlformats.org/officeDocument/2006/relationships/hyperlink" Target="https://www.facebook.com/share/1D5iRV3qD2/" TargetMode="External"/><Relationship Id="rId629" Type="http://schemas.openxmlformats.org/officeDocument/2006/relationships/hyperlink" Target="https://www.facebook.com/share/18boox3vxp/" TargetMode="External"/><Relationship Id="rId624" Type="http://schemas.openxmlformats.org/officeDocument/2006/relationships/hyperlink" Target="https://www.facebook.com/share/18HNhpD7VF/" TargetMode="External"/><Relationship Id="rId623" Type="http://schemas.openxmlformats.org/officeDocument/2006/relationships/hyperlink" Target="https://www.facebook.com/share/18HNhpD7VF/" TargetMode="External"/><Relationship Id="rId622" Type="http://schemas.openxmlformats.org/officeDocument/2006/relationships/hyperlink" Target="https://www.facebook.com/share/18HNhpD7VF/" TargetMode="External"/><Relationship Id="rId621" Type="http://schemas.openxmlformats.org/officeDocument/2006/relationships/hyperlink" Target="https://www.facebook.com/share/1EZ24v5RFB/" TargetMode="External"/><Relationship Id="rId628" Type="http://schemas.openxmlformats.org/officeDocument/2006/relationships/hyperlink" Target="https://www.facebook.com/share/1JbnKjuq2H/" TargetMode="External"/><Relationship Id="rId627" Type="http://schemas.openxmlformats.org/officeDocument/2006/relationships/hyperlink" Target="https://www.facebook.com/share/18bYkQ9tZw/" TargetMode="External"/><Relationship Id="rId626" Type="http://schemas.openxmlformats.org/officeDocument/2006/relationships/hyperlink" Target="https://www.facebook.com/share/1bcu5nEQEs/" TargetMode="External"/><Relationship Id="rId625" Type="http://schemas.openxmlformats.org/officeDocument/2006/relationships/hyperlink" Target="https://www.facebook.com/share/1bcu5nEQEs/" TargetMode="External"/><Relationship Id="rId1450" Type="http://schemas.openxmlformats.org/officeDocument/2006/relationships/hyperlink" Target="https://www.facebook.com/share/1E3sSWjZcR/" TargetMode="External"/><Relationship Id="rId620" Type="http://schemas.openxmlformats.org/officeDocument/2006/relationships/hyperlink" Target="https://www.facebook.com/share/1Cn3vgBB3i/" TargetMode="External"/><Relationship Id="rId1451" Type="http://schemas.openxmlformats.org/officeDocument/2006/relationships/hyperlink" Target="https://www.facebook.com/share/18vh5rv9xs/" TargetMode="External"/><Relationship Id="rId1452" Type="http://schemas.openxmlformats.org/officeDocument/2006/relationships/hyperlink" Target="https://www.facebook.com/share/1FXxBRCRK6/" TargetMode="External"/><Relationship Id="rId1453" Type="http://schemas.openxmlformats.org/officeDocument/2006/relationships/hyperlink" Target="https://www.facebook.com/share/1CMXjdAyEA/" TargetMode="External"/><Relationship Id="rId1454" Type="http://schemas.openxmlformats.org/officeDocument/2006/relationships/hyperlink" Target="https://www.facebook.com/share/1JM5WZRk1V/" TargetMode="External"/><Relationship Id="rId1444" Type="http://schemas.openxmlformats.org/officeDocument/2006/relationships/hyperlink" Target="https://www.facebook.com/share/1C6tMexfKV/" TargetMode="External"/><Relationship Id="rId1445" Type="http://schemas.openxmlformats.org/officeDocument/2006/relationships/hyperlink" Target="https://www.facebook.com/share/1AsBZb17om/" TargetMode="External"/><Relationship Id="rId1446" Type="http://schemas.openxmlformats.org/officeDocument/2006/relationships/hyperlink" Target="https://www.facebook.com/share/18fA29F5Ra/" TargetMode="External"/><Relationship Id="rId1447" Type="http://schemas.openxmlformats.org/officeDocument/2006/relationships/hyperlink" Target="https://www.facebook.com/share/18d6Nao8dA/" TargetMode="External"/><Relationship Id="rId1448" Type="http://schemas.openxmlformats.org/officeDocument/2006/relationships/hyperlink" Target="https://www.facebook.com/share/14bU32JeTtQ/" TargetMode="External"/><Relationship Id="rId1449" Type="http://schemas.openxmlformats.org/officeDocument/2006/relationships/hyperlink" Target="https://www.facebook.com/share/1E3sSWjZcR/" TargetMode="External"/><Relationship Id="rId619" Type="http://schemas.openxmlformats.org/officeDocument/2006/relationships/hyperlink" Target="https://www.facebook.com/share/1C8YfDMZoV/" TargetMode="External"/><Relationship Id="rId618" Type="http://schemas.openxmlformats.org/officeDocument/2006/relationships/hyperlink" Target="https://www.facebook.com/profile.php?id=100028331620651" TargetMode="External"/><Relationship Id="rId613" Type="http://schemas.openxmlformats.org/officeDocument/2006/relationships/hyperlink" Target="https://www.facebook.com/share/1CbKfVgkJ2/" TargetMode="External"/><Relationship Id="rId612" Type="http://schemas.openxmlformats.org/officeDocument/2006/relationships/hyperlink" Target="https://www.facebook.com/share/1ArXqxRFPC/" TargetMode="External"/><Relationship Id="rId611" Type="http://schemas.openxmlformats.org/officeDocument/2006/relationships/hyperlink" Target="https://www.facebook.com/share/1ArXqxRFPC/" TargetMode="External"/><Relationship Id="rId610" Type="http://schemas.openxmlformats.org/officeDocument/2006/relationships/hyperlink" Target="https://www.facebook.com/profile.php?id=100048831948107" TargetMode="External"/><Relationship Id="rId617" Type="http://schemas.openxmlformats.org/officeDocument/2006/relationships/hyperlink" Target="https://www.facebook.com/share/1CetKNeCtE/" TargetMode="External"/><Relationship Id="rId616" Type="http://schemas.openxmlformats.org/officeDocument/2006/relationships/hyperlink" Target="https://www.facebook.com/share/18ECb1p3Ci/" TargetMode="External"/><Relationship Id="rId615" Type="http://schemas.openxmlformats.org/officeDocument/2006/relationships/hyperlink" Target="https://www.facebook.com/share/18ECb1p3Ci/" TargetMode="External"/><Relationship Id="rId614" Type="http://schemas.openxmlformats.org/officeDocument/2006/relationships/hyperlink" Target="https://www.facebook.com/share/1CbKfVgkJ2/" TargetMode="External"/><Relationship Id="rId1440" Type="http://schemas.openxmlformats.org/officeDocument/2006/relationships/hyperlink" Target="https://www.facebook.com/share/1EWutUbTpL/" TargetMode="External"/><Relationship Id="rId1441" Type="http://schemas.openxmlformats.org/officeDocument/2006/relationships/hyperlink" Target="https://www.facebook.com/share/1EWutUbTpL/" TargetMode="External"/><Relationship Id="rId1442" Type="http://schemas.openxmlformats.org/officeDocument/2006/relationships/hyperlink" Target="https://www.facebook.com/share/1FjcHeSJmq/" TargetMode="External"/><Relationship Id="rId1443" Type="http://schemas.openxmlformats.org/officeDocument/2006/relationships/hyperlink" Target="https://www.facebook.com/share/1FjcHeSJmq/" TargetMode="External"/><Relationship Id="rId1477" Type="http://schemas.openxmlformats.org/officeDocument/2006/relationships/hyperlink" Target="https://www.facebook.com/share/1CZMp2gCG8/" TargetMode="External"/><Relationship Id="rId1478" Type="http://schemas.openxmlformats.org/officeDocument/2006/relationships/hyperlink" Target="https://www.facebook.com/share/185hdv4jX6/" TargetMode="External"/><Relationship Id="rId1479" Type="http://schemas.openxmlformats.org/officeDocument/2006/relationships/hyperlink" Target="https://www.facebook.com/share/1D5iRV3qD2/" TargetMode="External"/><Relationship Id="rId646" Type="http://schemas.openxmlformats.org/officeDocument/2006/relationships/hyperlink" Target="https://www.facebook.com/share/18QcNz3q2r/" TargetMode="External"/><Relationship Id="rId645" Type="http://schemas.openxmlformats.org/officeDocument/2006/relationships/hyperlink" Target="https://www.facebook.com/share/1bgeuinth8/" TargetMode="External"/><Relationship Id="rId644" Type="http://schemas.openxmlformats.org/officeDocument/2006/relationships/hyperlink" Target="https://www.facebook.com/share/1Awncrqr6P/" TargetMode="External"/><Relationship Id="rId643" Type="http://schemas.openxmlformats.org/officeDocument/2006/relationships/hyperlink" Target="https://www.facebook.com/share/1Awncrqr6P/" TargetMode="External"/><Relationship Id="rId649" Type="http://schemas.openxmlformats.org/officeDocument/2006/relationships/hyperlink" Target="https://www.facebook.com/share/1BKFVaQPaB/" TargetMode="External"/><Relationship Id="rId648" Type="http://schemas.openxmlformats.org/officeDocument/2006/relationships/hyperlink" Target="https://www.facebook.com/share/1BKFVaQPaB/" TargetMode="External"/><Relationship Id="rId647" Type="http://schemas.openxmlformats.org/officeDocument/2006/relationships/hyperlink" Target="https://www.facebook.com/share/18QcNz3q2r/" TargetMode="External"/><Relationship Id="rId1470" Type="http://schemas.openxmlformats.org/officeDocument/2006/relationships/hyperlink" Target="https://www.facebook.com/share/18eC9r5ZXa/" TargetMode="External"/><Relationship Id="rId1471" Type="http://schemas.openxmlformats.org/officeDocument/2006/relationships/hyperlink" Target="https://www.facebook.com/share/15sqGZz5R5r/" TargetMode="External"/><Relationship Id="rId1472" Type="http://schemas.openxmlformats.org/officeDocument/2006/relationships/hyperlink" Target="https://www.facebook.com/share/15sqGZz5R5r/" TargetMode="External"/><Relationship Id="rId642" Type="http://schemas.openxmlformats.org/officeDocument/2006/relationships/hyperlink" Target="https://www.facebook.com/share/1E6fKwy5ke/" TargetMode="External"/><Relationship Id="rId1473" Type="http://schemas.openxmlformats.org/officeDocument/2006/relationships/hyperlink" Target="https://www.facebook.com/share/15sqGZz5R5r/" TargetMode="External"/><Relationship Id="rId641" Type="http://schemas.openxmlformats.org/officeDocument/2006/relationships/hyperlink" Target="https://www.facebook.com/share/178iWoKeou/" TargetMode="External"/><Relationship Id="rId1474" Type="http://schemas.openxmlformats.org/officeDocument/2006/relationships/hyperlink" Target="https://www.facebook.com/share/18D7LfCLMb/" TargetMode="External"/><Relationship Id="rId640" Type="http://schemas.openxmlformats.org/officeDocument/2006/relationships/hyperlink" Target="https://www.facebook.com/share/18Jf5CFuvo/" TargetMode="External"/><Relationship Id="rId1475" Type="http://schemas.openxmlformats.org/officeDocument/2006/relationships/hyperlink" Target="https://www.facebook.com/share/18D7LfCLMb/" TargetMode="External"/><Relationship Id="rId1476" Type="http://schemas.openxmlformats.org/officeDocument/2006/relationships/hyperlink" Target="https://www.facebook.com/share/18D7LfCLMb/" TargetMode="External"/><Relationship Id="rId1466" Type="http://schemas.openxmlformats.org/officeDocument/2006/relationships/hyperlink" Target="https://www.facebook.com/share/1B9LLSFUzL/" TargetMode="External"/><Relationship Id="rId1467" Type="http://schemas.openxmlformats.org/officeDocument/2006/relationships/hyperlink" Target="https://www.facebook.com/share/1EquFGLus1/" TargetMode="External"/><Relationship Id="rId1468" Type="http://schemas.openxmlformats.org/officeDocument/2006/relationships/hyperlink" Target="https://www.facebook.com/share/1EquFGLus1/" TargetMode="External"/><Relationship Id="rId1469" Type="http://schemas.openxmlformats.org/officeDocument/2006/relationships/hyperlink" Target="https://www.facebook.com/share/18eC9r5ZXa/" TargetMode="External"/><Relationship Id="rId635" Type="http://schemas.openxmlformats.org/officeDocument/2006/relationships/hyperlink" Target="https://www.facebook.com/share/1EBLjFiYt9/" TargetMode="External"/><Relationship Id="rId634" Type="http://schemas.openxmlformats.org/officeDocument/2006/relationships/hyperlink" Target="https://www.facebook.com/share/1EBLjFiYt9/" TargetMode="External"/><Relationship Id="rId633" Type="http://schemas.openxmlformats.org/officeDocument/2006/relationships/hyperlink" Target="https://www.facebook.com/share/1HvazyYYAy/" TargetMode="External"/><Relationship Id="rId632" Type="http://schemas.openxmlformats.org/officeDocument/2006/relationships/hyperlink" Target="https://www.facebook.com/share/1HvazyYYAy/" TargetMode="External"/><Relationship Id="rId639" Type="http://schemas.openxmlformats.org/officeDocument/2006/relationships/hyperlink" Target="https://www.facebook.com/share/18Jf5CFuvo/" TargetMode="External"/><Relationship Id="rId638" Type="http://schemas.openxmlformats.org/officeDocument/2006/relationships/hyperlink" Target="https://www.facebook.com/share/1H6HJNkCEJ/" TargetMode="External"/><Relationship Id="rId637" Type="http://schemas.openxmlformats.org/officeDocument/2006/relationships/hyperlink" Target="https://www.facebook.com/share/1H6HJNkCEJ/" TargetMode="External"/><Relationship Id="rId636" Type="http://schemas.openxmlformats.org/officeDocument/2006/relationships/hyperlink" Target="https://www.facebook.com/share/1Cavxcv1jx/" TargetMode="External"/><Relationship Id="rId1460" Type="http://schemas.openxmlformats.org/officeDocument/2006/relationships/hyperlink" Target="https://www.facebook.com/share/1D5iRV3qD2/" TargetMode="External"/><Relationship Id="rId1461" Type="http://schemas.openxmlformats.org/officeDocument/2006/relationships/hyperlink" Target="https://www.facebook.com/share/1ChH3hACUY/" TargetMode="External"/><Relationship Id="rId631" Type="http://schemas.openxmlformats.org/officeDocument/2006/relationships/hyperlink" Target="https://www.facebook.com/share/18UEXm5Z6U/" TargetMode="External"/><Relationship Id="rId1462" Type="http://schemas.openxmlformats.org/officeDocument/2006/relationships/hyperlink" Target="https://www.facebook.com/share/14ZJhNiPLas/" TargetMode="External"/><Relationship Id="rId630" Type="http://schemas.openxmlformats.org/officeDocument/2006/relationships/hyperlink" Target="https://www.facebook.com/share/18UEXm5Z6U/" TargetMode="External"/><Relationship Id="rId1463" Type="http://schemas.openxmlformats.org/officeDocument/2006/relationships/hyperlink" Target="https://www.facebook.com/share/14ZJhNiPLas/" TargetMode="External"/><Relationship Id="rId1464" Type="http://schemas.openxmlformats.org/officeDocument/2006/relationships/hyperlink" Target="https://www.facebook.com/share/1BMQswtSMK/" TargetMode="External"/><Relationship Id="rId1465" Type="http://schemas.openxmlformats.org/officeDocument/2006/relationships/hyperlink" Target="https://www.facebook.com/share/1B9LLSFUzL/" TargetMode="External"/><Relationship Id="rId1411" Type="http://schemas.openxmlformats.org/officeDocument/2006/relationships/hyperlink" Target="https://www.facebook.com/share/18zthNA9Xn/" TargetMode="External"/><Relationship Id="rId1895" Type="http://schemas.openxmlformats.org/officeDocument/2006/relationships/hyperlink" Target="https://www.facebook.com/share/18pzvT6vNq/" TargetMode="External"/><Relationship Id="rId1412" Type="http://schemas.openxmlformats.org/officeDocument/2006/relationships/hyperlink" Target="https://www.facebook.com/share/1DhNbBFKDj/" TargetMode="External"/><Relationship Id="rId1896" Type="http://schemas.openxmlformats.org/officeDocument/2006/relationships/hyperlink" Target="https://www.facebook.com/share/1BLtPpTJR2/" TargetMode="External"/><Relationship Id="rId1413" Type="http://schemas.openxmlformats.org/officeDocument/2006/relationships/hyperlink" Target="https://www.facebook.com/share/1DhNbBFKDj/" TargetMode="External"/><Relationship Id="rId1897" Type="http://schemas.openxmlformats.org/officeDocument/2006/relationships/hyperlink" Target="https://www.facebook.com/share/1B9eXpfuMf/" TargetMode="External"/><Relationship Id="rId1414" Type="http://schemas.openxmlformats.org/officeDocument/2006/relationships/hyperlink" Target="https://www.facebook.com/share/1DhNbBFKDj/" TargetMode="External"/><Relationship Id="rId1898" Type="http://schemas.openxmlformats.org/officeDocument/2006/relationships/hyperlink" Target="https://www.facebook.com/share/1B9eXpfuMf/" TargetMode="External"/><Relationship Id="rId1415" Type="http://schemas.openxmlformats.org/officeDocument/2006/relationships/hyperlink" Target="https://www.facebook.com/share/1AtSkuTojj/" TargetMode="External"/><Relationship Id="rId1899" Type="http://schemas.openxmlformats.org/officeDocument/2006/relationships/hyperlink" Target="https://www.facebook.com/share/1JGQMV4kVg/" TargetMode="External"/><Relationship Id="rId1416" Type="http://schemas.openxmlformats.org/officeDocument/2006/relationships/hyperlink" Target="https://www.facebook.com/share/1AtSkuTojj/" TargetMode="External"/><Relationship Id="rId1417" Type="http://schemas.openxmlformats.org/officeDocument/2006/relationships/hyperlink" Target="https://www.facebook.com/share/1AtSkuTojj/" TargetMode="External"/><Relationship Id="rId1418" Type="http://schemas.openxmlformats.org/officeDocument/2006/relationships/hyperlink" Target="https://www.facebook.com/share/18GZ2V4aQA/" TargetMode="External"/><Relationship Id="rId1419" Type="http://schemas.openxmlformats.org/officeDocument/2006/relationships/hyperlink" Target="https://www.facebook.com/share/1861p2Xun3/" TargetMode="External"/><Relationship Id="rId1890" Type="http://schemas.openxmlformats.org/officeDocument/2006/relationships/hyperlink" Target="https://www.facebook.com/share/1BFPMUNu5c/" TargetMode="External"/><Relationship Id="rId1891" Type="http://schemas.openxmlformats.org/officeDocument/2006/relationships/hyperlink" Target="https://www.facebook.com/share/18yakgKdpu/" TargetMode="External"/><Relationship Id="rId1892" Type="http://schemas.openxmlformats.org/officeDocument/2006/relationships/hyperlink" Target="https://www.facebook.com/share/18yakgKdpu/" TargetMode="External"/><Relationship Id="rId1893" Type="http://schemas.openxmlformats.org/officeDocument/2006/relationships/hyperlink" Target="https://www.facebook.com/share/1QssBcVfMb/" TargetMode="External"/><Relationship Id="rId1410" Type="http://schemas.openxmlformats.org/officeDocument/2006/relationships/hyperlink" Target="https://www.facebook.com/share/14kwcFTsoCJ/" TargetMode="External"/><Relationship Id="rId1894" Type="http://schemas.openxmlformats.org/officeDocument/2006/relationships/hyperlink" Target="https://www.facebook.com/share/1QssBcVfMb/" TargetMode="External"/><Relationship Id="rId1400" Type="http://schemas.openxmlformats.org/officeDocument/2006/relationships/hyperlink" Target="https://www.facebook.com/share/18TzX38M5Y/" TargetMode="External"/><Relationship Id="rId1884" Type="http://schemas.openxmlformats.org/officeDocument/2006/relationships/hyperlink" Target="https://www.facebook.com/share/1M3zwW4hr4/" TargetMode="External"/><Relationship Id="rId1401" Type="http://schemas.openxmlformats.org/officeDocument/2006/relationships/hyperlink" Target="https://www.facebook.com/share/18TzX38M5Y/" TargetMode="External"/><Relationship Id="rId1885" Type="http://schemas.openxmlformats.org/officeDocument/2006/relationships/hyperlink" Target="https://www.facebook.com/share/1M3zwW4hr4/" TargetMode="External"/><Relationship Id="rId1402" Type="http://schemas.openxmlformats.org/officeDocument/2006/relationships/hyperlink" Target="https://www.facebook.com/share/18KWm6vekQ/" TargetMode="External"/><Relationship Id="rId1886" Type="http://schemas.openxmlformats.org/officeDocument/2006/relationships/hyperlink" Target="https://www.facebook.com/share/1M3zwW4hr4/" TargetMode="External"/><Relationship Id="rId1403" Type="http://schemas.openxmlformats.org/officeDocument/2006/relationships/hyperlink" Target="https://www.facebook.com/share/1AmjHmcL7U/" TargetMode="External"/><Relationship Id="rId1887" Type="http://schemas.openxmlformats.org/officeDocument/2006/relationships/hyperlink" Target="https://www.facebook.com/share/18WhPXbttX/" TargetMode="External"/><Relationship Id="rId1404" Type="http://schemas.openxmlformats.org/officeDocument/2006/relationships/hyperlink" Target="https://www.facebook.com/share/1HBwfJ6MsK/" TargetMode="External"/><Relationship Id="rId1888" Type="http://schemas.openxmlformats.org/officeDocument/2006/relationships/hyperlink" Target="https://www.facebook.com/share/18WhPXbttX/" TargetMode="External"/><Relationship Id="rId1405" Type="http://schemas.openxmlformats.org/officeDocument/2006/relationships/hyperlink" Target="https://www.facebook.com/share/1HBwfJ6MsK/" TargetMode="External"/><Relationship Id="rId1889" Type="http://schemas.openxmlformats.org/officeDocument/2006/relationships/hyperlink" Target="https://www.facebook.com/share/1BFPMUNu5c/" TargetMode="External"/><Relationship Id="rId1406" Type="http://schemas.openxmlformats.org/officeDocument/2006/relationships/hyperlink" Target="https://www.facebook.com/share/1HBwfJ6MsK/" TargetMode="External"/><Relationship Id="rId1407" Type="http://schemas.openxmlformats.org/officeDocument/2006/relationships/hyperlink" Target="https://www.facebook.com/share/18rWtm8okg/" TargetMode="External"/><Relationship Id="rId1408" Type="http://schemas.openxmlformats.org/officeDocument/2006/relationships/hyperlink" Target="https://www.facebook.com/share/18rWtm8okg/" TargetMode="External"/><Relationship Id="rId1409" Type="http://schemas.openxmlformats.org/officeDocument/2006/relationships/hyperlink" Target="https://www.facebook.com/share/18rWtm8okg/" TargetMode="External"/><Relationship Id="rId1880" Type="http://schemas.openxmlformats.org/officeDocument/2006/relationships/hyperlink" Target="https://www.facebook.com/share/1M3zwW4hr4/" TargetMode="External"/><Relationship Id="rId1881" Type="http://schemas.openxmlformats.org/officeDocument/2006/relationships/hyperlink" Target="https://www.facebook.com/share/1M3zwW4hr4/" TargetMode="External"/><Relationship Id="rId1882" Type="http://schemas.openxmlformats.org/officeDocument/2006/relationships/hyperlink" Target="https://www.facebook.com/share/1M3zwW4hr4/" TargetMode="External"/><Relationship Id="rId1883" Type="http://schemas.openxmlformats.org/officeDocument/2006/relationships/hyperlink" Target="https://www.facebook.com/share/1M3zwW4hr4/" TargetMode="External"/><Relationship Id="rId1433" Type="http://schemas.openxmlformats.org/officeDocument/2006/relationships/hyperlink" Target="https://www.facebook.com/share/1B3pwGEkrE/" TargetMode="External"/><Relationship Id="rId1434" Type="http://schemas.openxmlformats.org/officeDocument/2006/relationships/hyperlink" Target="https://www.facebook.com/share/1EQQ2UZYmD/" TargetMode="External"/><Relationship Id="rId1435" Type="http://schemas.openxmlformats.org/officeDocument/2006/relationships/hyperlink" Target="https://www.facebook.com/share/1DhNbBFKDj/" TargetMode="External"/><Relationship Id="rId1436" Type="http://schemas.openxmlformats.org/officeDocument/2006/relationships/hyperlink" Target="https://www.facebook.com/share/1DhNbBFKDj/" TargetMode="External"/><Relationship Id="rId1437" Type="http://schemas.openxmlformats.org/officeDocument/2006/relationships/hyperlink" Target="https://www.facebook.com/share/1DhNbBFKDj/" TargetMode="External"/><Relationship Id="rId1438" Type="http://schemas.openxmlformats.org/officeDocument/2006/relationships/hyperlink" Target="https://www.facebook.com/share/1DhNbBFKDj/" TargetMode="External"/><Relationship Id="rId1439" Type="http://schemas.openxmlformats.org/officeDocument/2006/relationships/hyperlink" Target="https://www.facebook.com/share/1EWutUbTpL/" TargetMode="External"/><Relationship Id="rId609" Type="http://schemas.openxmlformats.org/officeDocument/2006/relationships/hyperlink" Target="https://www.facebook.com/share/14aQ2nJk4Ts/" TargetMode="External"/><Relationship Id="rId608" Type="http://schemas.openxmlformats.org/officeDocument/2006/relationships/hyperlink" Target="https://www.facebook.com/share/1JkxuLgYQR/" TargetMode="External"/><Relationship Id="rId607" Type="http://schemas.openxmlformats.org/officeDocument/2006/relationships/hyperlink" Target="https://www.facebook.com/pham.mun.52643821" TargetMode="External"/><Relationship Id="rId602" Type="http://schemas.openxmlformats.org/officeDocument/2006/relationships/hyperlink" Target="https://www.facebook.com/share/1NFHZ7tsTn/" TargetMode="External"/><Relationship Id="rId601" Type="http://schemas.openxmlformats.org/officeDocument/2006/relationships/hyperlink" Target="https://www.facebook.com/meichan2212" TargetMode="External"/><Relationship Id="rId600" Type="http://schemas.openxmlformats.org/officeDocument/2006/relationships/hyperlink" Target="https://www.facebook.com/share/1AzEcJu6wD/" TargetMode="External"/><Relationship Id="rId606" Type="http://schemas.openxmlformats.org/officeDocument/2006/relationships/hyperlink" Target="https://www.facebook.com/share/18bYkQ9tZw/" TargetMode="External"/><Relationship Id="rId605" Type="http://schemas.openxmlformats.org/officeDocument/2006/relationships/hyperlink" Target="https://www.facebook.com/share/18bYkQ9tZw/" TargetMode="External"/><Relationship Id="rId604" Type="http://schemas.openxmlformats.org/officeDocument/2006/relationships/hyperlink" Target="https://www.facebook.com/share/14ZV1UcL9Fd/" TargetMode="External"/><Relationship Id="rId603" Type="http://schemas.openxmlformats.org/officeDocument/2006/relationships/hyperlink" Target="https://www.facebook.com/share/1AxfZL7VAe/" TargetMode="External"/><Relationship Id="rId1430" Type="http://schemas.openxmlformats.org/officeDocument/2006/relationships/hyperlink" Target="https://www.facebook.com/share/1E5vwnhTCC/" TargetMode="External"/><Relationship Id="rId1431" Type="http://schemas.openxmlformats.org/officeDocument/2006/relationships/hyperlink" Target="https://www.facebook.com/share/1E5vwnhTCC/" TargetMode="External"/><Relationship Id="rId1432" Type="http://schemas.openxmlformats.org/officeDocument/2006/relationships/hyperlink" Target="https://www.facebook.com/share/1E5vwnhTCC/" TargetMode="External"/><Relationship Id="rId1422" Type="http://schemas.openxmlformats.org/officeDocument/2006/relationships/hyperlink" Target="https://www.facebook.com/share/1Cizt1UGqy/" TargetMode="External"/><Relationship Id="rId1423" Type="http://schemas.openxmlformats.org/officeDocument/2006/relationships/hyperlink" Target="https://www.facebook.com/share/1Capd2jYfk/" TargetMode="External"/><Relationship Id="rId1424" Type="http://schemas.openxmlformats.org/officeDocument/2006/relationships/hyperlink" Target="https://www.facebook.com/share/18QqVSU64H/" TargetMode="External"/><Relationship Id="rId1425" Type="http://schemas.openxmlformats.org/officeDocument/2006/relationships/hyperlink" Target="https://www.facebook.com/share/18QqVSU64H/" TargetMode="External"/><Relationship Id="rId1426" Type="http://schemas.openxmlformats.org/officeDocument/2006/relationships/hyperlink" Target="https://www.facebook.com/share/1LeFxRDk7j/" TargetMode="External"/><Relationship Id="rId1427" Type="http://schemas.openxmlformats.org/officeDocument/2006/relationships/hyperlink" Target="https://www.facebook.com/share/1LeFxRDk7j/" TargetMode="External"/><Relationship Id="rId1428" Type="http://schemas.openxmlformats.org/officeDocument/2006/relationships/hyperlink" Target="https://www.facebook.com/share/1LeFxRDk7j/" TargetMode="External"/><Relationship Id="rId1429" Type="http://schemas.openxmlformats.org/officeDocument/2006/relationships/hyperlink" Target="https://www.facebook.com/share/1E5vwnhTCC/" TargetMode="External"/><Relationship Id="rId1420" Type="http://schemas.openxmlformats.org/officeDocument/2006/relationships/hyperlink" Target="https://www.facebook.com/share/1CiUqRLbcY/" TargetMode="External"/><Relationship Id="rId1421" Type="http://schemas.openxmlformats.org/officeDocument/2006/relationships/hyperlink" Target="https://www.facebook.com/share/1CiUqRLbcY/" TargetMode="External"/><Relationship Id="rId1059" Type="http://schemas.openxmlformats.org/officeDocument/2006/relationships/hyperlink" Target="https://www.facebook.com/share/1LANzUPr2B/" TargetMode="External"/><Relationship Id="rId228" Type="http://schemas.openxmlformats.org/officeDocument/2006/relationships/hyperlink" Target="https://www.facebook.com/share/183YEj8tMP/" TargetMode="External"/><Relationship Id="rId227" Type="http://schemas.openxmlformats.org/officeDocument/2006/relationships/hyperlink" Target="https://www.facebook.com/share/1BW9pGS46g/" TargetMode="External"/><Relationship Id="rId226" Type="http://schemas.openxmlformats.org/officeDocument/2006/relationships/hyperlink" Target="https://www.facebook.com/share/18Qej2Zu6y/" TargetMode="External"/><Relationship Id="rId225" Type="http://schemas.openxmlformats.org/officeDocument/2006/relationships/hyperlink" Target="https://www.facebook.com/share/18Qej2Zu6y/" TargetMode="External"/><Relationship Id="rId229" Type="http://schemas.openxmlformats.org/officeDocument/2006/relationships/hyperlink" Target="https://www.facebook.com/con.g.doc.5" TargetMode="External"/><Relationship Id="rId1050" Type="http://schemas.openxmlformats.org/officeDocument/2006/relationships/hyperlink" Target="https://www.facebook.com/share/1BKFSZjPkP/" TargetMode="External"/><Relationship Id="rId220" Type="http://schemas.openxmlformats.org/officeDocument/2006/relationships/hyperlink" Target="https://www.facebook.com/share/171UWtqxn7/" TargetMode="External"/><Relationship Id="rId1051" Type="http://schemas.openxmlformats.org/officeDocument/2006/relationships/hyperlink" Target="https://www.facebook.com/htrazf" TargetMode="External"/><Relationship Id="rId1052" Type="http://schemas.openxmlformats.org/officeDocument/2006/relationships/hyperlink" Target="https://www.facebook.com/share/1HikNfPCh3/" TargetMode="External"/><Relationship Id="rId1053" Type="http://schemas.openxmlformats.org/officeDocument/2006/relationships/hyperlink" Target="https://www.facebook.com/share/1CqgCxaWNi/" TargetMode="External"/><Relationship Id="rId1054" Type="http://schemas.openxmlformats.org/officeDocument/2006/relationships/hyperlink" Target="https://www.facebook.com/share/1CqgCxaWNi/" TargetMode="External"/><Relationship Id="rId224" Type="http://schemas.openxmlformats.org/officeDocument/2006/relationships/hyperlink" Target="https://www.facebook.com/share/1CetKNeCtE/" TargetMode="External"/><Relationship Id="rId1055" Type="http://schemas.openxmlformats.org/officeDocument/2006/relationships/hyperlink" Target="https://www.facebook.com/share/1LANzUPr2B/" TargetMode="External"/><Relationship Id="rId223" Type="http://schemas.openxmlformats.org/officeDocument/2006/relationships/hyperlink" Target="https://www.facebook.com/share/18D2cjUHjs/" TargetMode="External"/><Relationship Id="rId1056" Type="http://schemas.openxmlformats.org/officeDocument/2006/relationships/hyperlink" Target="https://www.facebook.com/share/1LANzUPr2B/" TargetMode="External"/><Relationship Id="rId222" Type="http://schemas.openxmlformats.org/officeDocument/2006/relationships/hyperlink" Target="https://www.facebook.com/share/1DW16Kxh93/" TargetMode="External"/><Relationship Id="rId1057" Type="http://schemas.openxmlformats.org/officeDocument/2006/relationships/hyperlink" Target="https://www.facebook.com/share/1LANzUPr2B/" TargetMode="External"/><Relationship Id="rId221" Type="http://schemas.openxmlformats.org/officeDocument/2006/relationships/hyperlink" Target="https://www.facebook.com/share/1HTs6AEBrx/" TargetMode="External"/><Relationship Id="rId1058" Type="http://schemas.openxmlformats.org/officeDocument/2006/relationships/hyperlink" Target="https://www.facebook.com/share/1LANzUPr2B/" TargetMode="External"/><Relationship Id="rId1048" Type="http://schemas.openxmlformats.org/officeDocument/2006/relationships/hyperlink" Target="https://www.facebook.com/share/18dqaSseJ5/" TargetMode="External"/><Relationship Id="rId1049" Type="http://schemas.openxmlformats.org/officeDocument/2006/relationships/hyperlink" Target="https://www.facebook.com/share/18dqaSseJ5/" TargetMode="External"/><Relationship Id="rId217" Type="http://schemas.openxmlformats.org/officeDocument/2006/relationships/hyperlink" Target="https://www.facebook.com/share/1P8fTTbpuq/" TargetMode="External"/><Relationship Id="rId216" Type="http://schemas.openxmlformats.org/officeDocument/2006/relationships/hyperlink" Target="https://www.facebook.com/share/1doDScYS3A/" TargetMode="External"/><Relationship Id="rId215" Type="http://schemas.openxmlformats.org/officeDocument/2006/relationships/hyperlink" Target="https://www.facebook.com/share/18bM8kagGk/" TargetMode="External"/><Relationship Id="rId699" Type="http://schemas.openxmlformats.org/officeDocument/2006/relationships/hyperlink" Target="https://www.facebook.com/share/1AH3vwWW6a/" TargetMode="External"/><Relationship Id="rId214" Type="http://schemas.openxmlformats.org/officeDocument/2006/relationships/hyperlink" Target="https://www.facebook.com/share/1EA3N6VZHh/" TargetMode="External"/><Relationship Id="rId698" Type="http://schemas.openxmlformats.org/officeDocument/2006/relationships/hyperlink" Target="https://www.facebook.com/share/1E8uDmku72/" TargetMode="External"/><Relationship Id="rId219" Type="http://schemas.openxmlformats.org/officeDocument/2006/relationships/hyperlink" Target="https://www.facebook.com/share/1B7vuz3xum/" TargetMode="External"/><Relationship Id="rId218" Type="http://schemas.openxmlformats.org/officeDocument/2006/relationships/hyperlink" Target="https://www.facebook.com/share/1AYsczqjVa/" TargetMode="External"/><Relationship Id="rId693" Type="http://schemas.openxmlformats.org/officeDocument/2006/relationships/hyperlink" Target="https://www.facebook.com/share/17UgU7RxD9/" TargetMode="External"/><Relationship Id="rId1040" Type="http://schemas.openxmlformats.org/officeDocument/2006/relationships/hyperlink" Target="https://www.facebook.com/share/1BZbjVJxfB/" TargetMode="External"/><Relationship Id="rId692" Type="http://schemas.openxmlformats.org/officeDocument/2006/relationships/hyperlink" Target="https://www.facebook.com/share/17UgU7RxD9/" TargetMode="External"/><Relationship Id="rId1041" Type="http://schemas.openxmlformats.org/officeDocument/2006/relationships/hyperlink" Target="https://www.facebook.com/share/1AzEcJu6wD/" TargetMode="External"/><Relationship Id="rId691" Type="http://schemas.openxmlformats.org/officeDocument/2006/relationships/hyperlink" Target="https://www.facebook.com/share/1E76CZurg4/" TargetMode="External"/><Relationship Id="rId1042" Type="http://schemas.openxmlformats.org/officeDocument/2006/relationships/hyperlink" Target="https://www.facebook.com/share/1AzEcJu6wD/" TargetMode="External"/><Relationship Id="rId690" Type="http://schemas.openxmlformats.org/officeDocument/2006/relationships/hyperlink" Target="https://www.facebook.com/share/18dqaSseJ5/" TargetMode="External"/><Relationship Id="rId1043" Type="http://schemas.openxmlformats.org/officeDocument/2006/relationships/hyperlink" Target="https://www.facebook.com/share/1E76CZurg4/" TargetMode="External"/><Relationship Id="rId213" Type="http://schemas.openxmlformats.org/officeDocument/2006/relationships/hyperlink" Target="https://www.facebook.com/profile.php?id=100048924420984" TargetMode="External"/><Relationship Id="rId697" Type="http://schemas.openxmlformats.org/officeDocument/2006/relationships/hyperlink" Target="https://www.facebook.com/profile.php?id=61576325116102" TargetMode="External"/><Relationship Id="rId1044" Type="http://schemas.openxmlformats.org/officeDocument/2006/relationships/hyperlink" Target="https://www.facebook.com/share/1E76CZurg4/" TargetMode="External"/><Relationship Id="rId212" Type="http://schemas.openxmlformats.org/officeDocument/2006/relationships/hyperlink" Target="https://www.facebook.com/share/1CCurnNdQg/" TargetMode="External"/><Relationship Id="rId696" Type="http://schemas.openxmlformats.org/officeDocument/2006/relationships/hyperlink" Target="https://www.facebook.com/share/18Y9rTt9GH/" TargetMode="External"/><Relationship Id="rId1045" Type="http://schemas.openxmlformats.org/officeDocument/2006/relationships/hyperlink" Target="https://www.facebook.com/share/18LcG72mQT/" TargetMode="External"/><Relationship Id="rId211" Type="http://schemas.openxmlformats.org/officeDocument/2006/relationships/hyperlink" Target="https://www.facebook.com/share/1AsSUmzeNB/" TargetMode="External"/><Relationship Id="rId695" Type="http://schemas.openxmlformats.org/officeDocument/2006/relationships/hyperlink" Target="https://www.facebook.com/share/1CCurnNdQg/" TargetMode="External"/><Relationship Id="rId1046" Type="http://schemas.openxmlformats.org/officeDocument/2006/relationships/hyperlink" Target="https://www.facebook.com/share/18LcG72mQT/" TargetMode="External"/><Relationship Id="rId210" Type="http://schemas.openxmlformats.org/officeDocument/2006/relationships/hyperlink" Target="https://www.facebook.com/share/1FEG1B4Pco/" TargetMode="External"/><Relationship Id="rId694" Type="http://schemas.openxmlformats.org/officeDocument/2006/relationships/hyperlink" Target="https://www.facebook.com/share/1CS1TUhrxP/" TargetMode="External"/><Relationship Id="rId1047" Type="http://schemas.openxmlformats.org/officeDocument/2006/relationships/hyperlink" Target="https://www.facebook.com/share/18LcG72mQT/" TargetMode="External"/><Relationship Id="rId249" Type="http://schemas.openxmlformats.org/officeDocument/2006/relationships/hyperlink" Target="https://www.facebook.com/share/181MeUHP52/" TargetMode="External"/><Relationship Id="rId248" Type="http://schemas.openxmlformats.org/officeDocument/2006/relationships/hyperlink" Target="https://www.facebook.com/share/1B56g9Mg67/" TargetMode="External"/><Relationship Id="rId247" Type="http://schemas.openxmlformats.org/officeDocument/2006/relationships/hyperlink" Target="https://www.facebook.com/share/1CtJFt5RSx/" TargetMode="External"/><Relationship Id="rId1070" Type="http://schemas.openxmlformats.org/officeDocument/2006/relationships/hyperlink" Target="https://www.facebook.com/share/18awZ6aTns/" TargetMode="External"/><Relationship Id="rId1071" Type="http://schemas.openxmlformats.org/officeDocument/2006/relationships/hyperlink" Target="https://www.facebook.com/share/16w38LHfLv/" TargetMode="External"/><Relationship Id="rId1072" Type="http://schemas.openxmlformats.org/officeDocument/2006/relationships/hyperlink" Target="https://www.facebook.com/share/16w38LHfLv/" TargetMode="External"/><Relationship Id="rId242" Type="http://schemas.openxmlformats.org/officeDocument/2006/relationships/hyperlink" Target="https://www.facebook.com/share/1Az8wwEdS2/" TargetMode="External"/><Relationship Id="rId1073" Type="http://schemas.openxmlformats.org/officeDocument/2006/relationships/hyperlink" Target="https://www.facebook.com/share/16w38LHfLv/" TargetMode="External"/><Relationship Id="rId241" Type="http://schemas.openxmlformats.org/officeDocument/2006/relationships/hyperlink" Target="https://www.facebook.com/share/18X8PbxWEf/" TargetMode="External"/><Relationship Id="rId1074" Type="http://schemas.openxmlformats.org/officeDocument/2006/relationships/hyperlink" Target="https://www.facebook.com/share/16w38LHfLv/" TargetMode="External"/><Relationship Id="rId240" Type="http://schemas.openxmlformats.org/officeDocument/2006/relationships/hyperlink" Target="https://www.facebook.com/share/1GUNHfu6nU/" TargetMode="External"/><Relationship Id="rId1075" Type="http://schemas.openxmlformats.org/officeDocument/2006/relationships/hyperlink" Target="https://www.facebook.com/share/16w38LHfLv/" TargetMode="External"/><Relationship Id="rId1076" Type="http://schemas.openxmlformats.org/officeDocument/2006/relationships/hyperlink" Target="https://www.facebook.com/share/18boox3vxp/" TargetMode="External"/><Relationship Id="rId246" Type="http://schemas.openxmlformats.org/officeDocument/2006/relationships/hyperlink" Target="https://www.facebook.com/share/1Eb33oCgGJ/" TargetMode="External"/><Relationship Id="rId1077" Type="http://schemas.openxmlformats.org/officeDocument/2006/relationships/hyperlink" Target="https://www.facebook.com/share/18boox3vxp/" TargetMode="External"/><Relationship Id="rId245" Type="http://schemas.openxmlformats.org/officeDocument/2006/relationships/hyperlink" Target="https://www.facebook.com/share/1Eb33oCgGJ/" TargetMode="External"/><Relationship Id="rId1078" Type="http://schemas.openxmlformats.org/officeDocument/2006/relationships/hyperlink" Target="https://www.facebook.com/share/18boox3vxp/" TargetMode="External"/><Relationship Id="rId244" Type="http://schemas.openxmlformats.org/officeDocument/2006/relationships/hyperlink" Target="https://www.facebook.com/share/17dtSW4aia/" TargetMode="External"/><Relationship Id="rId1079" Type="http://schemas.openxmlformats.org/officeDocument/2006/relationships/hyperlink" Target="https://www.facebook.com/share/18boox3vxp/" TargetMode="External"/><Relationship Id="rId243" Type="http://schemas.openxmlformats.org/officeDocument/2006/relationships/hyperlink" Target="https://www.facebook.com/share/1ZtFwn4jRS/" TargetMode="External"/><Relationship Id="rId239" Type="http://schemas.openxmlformats.org/officeDocument/2006/relationships/hyperlink" Target="https://www.facebook.com/share/18aKzq4eyd/" TargetMode="External"/><Relationship Id="rId238" Type="http://schemas.openxmlformats.org/officeDocument/2006/relationships/hyperlink" Target="https://www.facebook.com/share/1Au526jRD8/" TargetMode="External"/><Relationship Id="rId237" Type="http://schemas.openxmlformats.org/officeDocument/2006/relationships/hyperlink" Target="https://www.facebook.com/share/17tXp8HeJV/" TargetMode="External"/><Relationship Id="rId236" Type="http://schemas.openxmlformats.org/officeDocument/2006/relationships/hyperlink" Target="https://www.facebook.com/kim.a.kimanh" TargetMode="External"/><Relationship Id="rId1060" Type="http://schemas.openxmlformats.org/officeDocument/2006/relationships/hyperlink" Target="https://www.facebook.com/share/1LANzUPr2B/" TargetMode="External"/><Relationship Id="rId1061" Type="http://schemas.openxmlformats.org/officeDocument/2006/relationships/hyperlink" Target="https://www.facebook.com/share/1LANzUPr2B/" TargetMode="External"/><Relationship Id="rId231" Type="http://schemas.openxmlformats.org/officeDocument/2006/relationships/hyperlink" Target="https://www.facebook.com/share/1LjHnBkCNB/" TargetMode="External"/><Relationship Id="rId1062" Type="http://schemas.openxmlformats.org/officeDocument/2006/relationships/hyperlink" Target="https://www.facebook.com/share/1LANzUPr2B/" TargetMode="External"/><Relationship Id="rId230" Type="http://schemas.openxmlformats.org/officeDocument/2006/relationships/hyperlink" Target="https://www.facebook.com/share/1DpqAnaBRK/" TargetMode="External"/><Relationship Id="rId1063" Type="http://schemas.openxmlformats.org/officeDocument/2006/relationships/hyperlink" Target="https://www.facebook.com/share/1LANzUPr2B/" TargetMode="External"/><Relationship Id="rId1064" Type="http://schemas.openxmlformats.org/officeDocument/2006/relationships/hyperlink" Target="https://www.facebook.com/share/1KxWF7khx3/" TargetMode="External"/><Relationship Id="rId1065" Type="http://schemas.openxmlformats.org/officeDocument/2006/relationships/hyperlink" Target="https://www.facebook.com/share/1KxWF7khx3/" TargetMode="External"/><Relationship Id="rId235" Type="http://schemas.openxmlformats.org/officeDocument/2006/relationships/hyperlink" Target="https://www.facebook.com/share/1AzKp7fSji/" TargetMode="External"/><Relationship Id="rId1066" Type="http://schemas.openxmlformats.org/officeDocument/2006/relationships/hyperlink" Target="https://www.facebook.com/share/1EZ24v5RFB/" TargetMode="External"/><Relationship Id="rId234" Type="http://schemas.openxmlformats.org/officeDocument/2006/relationships/hyperlink" Target="https://www.facebook.com/share/1AzKp7fSji/" TargetMode="External"/><Relationship Id="rId1067" Type="http://schemas.openxmlformats.org/officeDocument/2006/relationships/hyperlink" Target="https://www.facebook.com/share/17AguGKEwa/" TargetMode="External"/><Relationship Id="rId233" Type="http://schemas.openxmlformats.org/officeDocument/2006/relationships/hyperlink" Target="https://www.facebook.com/share/1NLcBrYjqJ/" TargetMode="External"/><Relationship Id="rId1068" Type="http://schemas.openxmlformats.org/officeDocument/2006/relationships/hyperlink" Target="https://www.facebook.com/share/18awZ6aTns/" TargetMode="External"/><Relationship Id="rId232" Type="http://schemas.openxmlformats.org/officeDocument/2006/relationships/hyperlink" Target="https://www.facebook.com/tho.huyen.56829" TargetMode="External"/><Relationship Id="rId1069" Type="http://schemas.openxmlformats.org/officeDocument/2006/relationships/hyperlink" Target="https://www.facebook.com/share/18awZ6aTns/" TargetMode="External"/><Relationship Id="rId1015" Type="http://schemas.openxmlformats.org/officeDocument/2006/relationships/hyperlink" Target="https://www.facebook.com/share/14h7S9gBuLr/" TargetMode="External"/><Relationship Id="rId1499" Type="http://schemas.openxmlformats.org/officeDocument/2006/relationships/hyperlink" Target="https://www.facebook.com/share/1CtciL7E8E/" TargetMode="External"/><Relationship Id="rId1016" Type="http://schemas.openxmlformats.org/officeDocument/2006/relationships/hyperlink" Target="https://www.facebook.com/share/14h7S9gBuLr/" TargetMode="External"/><Relationship Id="rId1017" Type="http://schemas.openxmlformats.org/officeDocument/2006/relationships/hyperlink" Target="https://www.facebook.com/share/1E92ckXU9G/" TargetMode="External"/><Relationship Id="rId1018" Type="http://schemas.openxmlformats.org/officeDocument/2006/relationships/hyperlink" Target="https://www.facebook.com/share/1E92ckXU9G/" TargetMode="External"/><Relationship Id="rId1019" Type="http://schemas.openxmlformats.org/officeDocument/2006/relationships/hyperlink" Target="https://www.facebook.com/share/1E92ckXU9G/" TargetMode="External"/><Relationship Id="rId668" Type="http://schemas.openxmlformats.org/officeDocument/2006/relationships/hyperlink" Target="https://www.facebook.com/share/1AzEcJu6wD/" TargetMode="External"/><Relationship Id="rId667" Type="http://schemas.openxmlformats.org/officeDocument/2006/relationships/hyperlink" Target="https://www.facebook.com/share/18boox3vxp/" TargetMode="External"/><Relationship Id="rId666" Type="http://schemas.openxmlformats.org/officeDocument/2006/relationships/hyperlink" Target="https://www.facebook.com/share/18boox3vxp/" TargetMode="External"/><Relationship Id="rId665" Type="http://schemas.openxmlformats.org/officeDocument/2006/relationships/hyperlink" Target="https://www.facebook.com/profile.php?id=100014304249016" TargetMode="External"/><Relationship Id="rId669" Type="http://schemas.openxmlformats.org/officeDocument/2006/relationships/hyperlink" Target="https://www.facebook.com/share/18MAuQgaJ5/" TargetMode="External"/><Relationship Id="rId1490" Type="http://schemas.openxmlformats.org/officeDocument/2006/relationships/hyperlink" Target="https://www.facebook.com/share/1Gk4wfSDyc/" TargetMode="External"/><Relationship Id="rId660" Type="http://schemas.openxmlformats.org/officeDocument/2006/relationships/hyperlink" Target="https://www.facebook.com/share/1CVF8WPmaj/" TargetMode="External"/><Relationship Id="rId1491" Type="http://schemas.openxmlformats.org/officeDocument/2006/relationships/hyperlink" Target="https://www.facebook.com/share/1Gk4wfSDyc/" TargetMode="External"/><Relationship Id="rId1492" Type="http://schemas.openxmlformats.org/officeDocument/2006/relationships/hyperlink" Target="https://www.facebook.com/share/18h61E9686/" TargetMode="External"/><Relationship Id="rId1493" Type="http://schemas.openxmlformats.org/officeDocument/2006/relationships/hyperlink" Target="https://www.facebook.com/share/18h61E9686/" TargetMode="External"/><Relationship Id="rId1010" Type="http://schemas.openxmlformats.org/officeDocument/2006/relationships/hyperlink" Target="https://www.facebook.com/share/1B4DnGFvGp/" TargetMode="External"/><Relationship Id="rId1494" Type="http://schemas.openxmlformats.org/officeDocument/2006/relationships/hyperlink" Target="https://www.facebook.com/share/1B2mqv7Rqm/" TargetMode="External"/><Relationship Id="rId664" Type="http://schemas.openxmlformats.org/officeDocument/2006/relationships/hyperlink" Target="https://www.facebook.com/share/1ApHfEfEJX/" TargetMode="External"/><Relationship Id="rId1011" Type="http://schemas.openxmlformats.org/officeDocument/2006/relationships/hyperlink" Target="https://www.facebook.com/share/1B4DnGFvGp/" TargetMode="External"/><Relationship Id="rId1495" Type="http://schemas.openxmlformats.org/officeDocument/2006/relationships/hyperlink" Target="https://www.facebook.com/share/1B2mqv7Rqm/" TargetMode="External"/><Relationship Id="rId663" Type="http://schemas.openxmlformats.org/officeDocument/2006/relationships/hyperlink" Target="https://www.facebook.com/share/1JLuXk68ZT/" TargetMode="External"/><Relationship Id="rId1012" Type="http://schemas.openxmlformats.org/officeDocument/2006/relationships/hyperlink" Target="https://www.facebook.com/share/14h7S9gBuLr/" TargetMode="External"/><Relationship Id="rId1496" Type="http://schemas.openxmlformats.org/officeDocument/2006/relationships/hyperlink" Target="https://www.facebook.com/share/1B2mqv7Rqm/" TargetMode="External"/><Relationship Id="rId662" Type="http://schemas.openxmlformats.org/officeDocument/2006/relationships/hyperlink" Target="https://www.facebook.com/share/1AH3vwWW6a/" TargetMode="External"/><Relationship Id="rId1013" Type="http://schemas.openxmlformats.org/officeDocument/2006/relationships/hyperlink" Target="https://www.facebook.com/share/14h7S9gBuLr/" TargetMode="External"/><Relationship Id="rId1497" Type="http://schemas.openxmlformats.org/officeDocument/2006/relationships/hyperlink" Target="https://www.facebook.com/share/1B2mqv7Rqm/" TargetMode="External"/><Relationship Id="rId661" Type="http://schemas.openxmlformats.org/officeDocument/2006/relationships/hyperlink" Target="https://www.facebook.com/share/1CVF8WPmaj/" TargetMode="External"/><Relationship Id="rId1014" Type="http://schemas.openxmlformats.org/officeDocument/2006/relationships/hyperlink" Target="https://www.facebook.com/share/14h7S9gBuLr/" TargetMode="External"/><Relationship Id="rId1498" Type="http://schemas.openxmlformats.org/officeDocument/2006/relationships/hyperlink" Target="https://www.facebook.com/share/1BKCBUHLHG/" TargetMode="External"/><Relationship Id="rId1004" Type="http://schemas.openxmlformats.org/officeDocument/2006/relationships/hyperlink" Target="https://www.facebook.com/share/18gmFHuC1y/" TargetMode="External"/><Relationship Id="rId1488" Type="http://schemas.openxmlformats.org/officeDocument/2006/relationships/hyperlink" Target="https://www.facebook.com/share/1Ck3cKbdo9/" TargetMode="External"/><Relationship Id="rId1005" Type="http://schemas.openxmlformats.org/officeDocument/2006/relationships/hyperlink" Target="https://www.facebook.com/share/18gmFHuC1y/" TargetMode="External"/><Relationship Id="rId1489" Type="http://schemas.openxmlformats.org/officeDocument/2006/relationships/hyperlink" Target="https://www.facebook.com/share/18boox3vxp/" TargetMode="External"/><Relationship Id="rId1006" Type="http://schemas.openxmlformats.org/officeDocument/2006/relationships/hyperlink" Target="https://www.facebook.com/share/1Drw1b5q9W/" TargetMode="External"/><Relationship Id="rId1007" Type="http://schemas.openxmlformats.org/officeDocument/2006/relationships/hyperlink" Target="https://www.facebook.com/share/1Drw1b5q9W/" TargetMode="External"/><Relationship Id="rId1008" Type="http://schemas.openxmlformats.org/officeDocument/2006/relationships/hyperlink" Target="https://www.facebook.com/share/14dXRHmFczS/" TargetMode="External"/><Relationship Id="rId1009" Type="http://schemas.openxmlformats.org/officeDocument/2006/relationships/hyperlink" Target="https://www.facebook.com/share/1B4DnGFvGp/" TargetMode="External"/><Relationship Id="rId657" Type="http://schemas.openxmlformats.org/officeDocument/2006/relationships/hyperlink" Target="https://www.facebook.com/share/1EZ24v5RFB/" TargetMode="External"/><Relationship Id="rId656" Type="http://schemas.openxmlformats.org/officeDocument/2006/relationships/hyperlink" Target="https://www.facebook.com/share/1EZ24v5RFB/" TargetMode="External"/><Relationship Id="rId655" Type="http://schemas.openxmlformats.org/officeDocument/2006/relationships/hyperlink" Target="https://www.facebook.com/share/1Cavxcv1jx/" TargetMode="External"/><Relationship Id="rId654" Type="http://schemas.openxmlformats.org/officeDocument/2006/relationships/hyperlink" Target="https://www.facebook.com/share/1Cavxcv1jx/" TargetMode="External"/><Relationship Id="rId659" Type="http://schemas.openxmlformats.org/officeDocument/2006/relationships/hyperlink" Target="https://www.facebook.com/share/1CVF8WPmaj/" TargetMode="External"/><Relationship Id="rId658" Type="http://schemas.openxmlformats.org/officeDocument/2006/relationships/hyperlink" Target="https://www.facebook.com/soan.nguyenthi.108" TargetMode="External"/><Relationship Id="rId1480" Type="http://schemas.openxmlformats.org/officeDocument/2006/relationships/hyperlink" Target="https://www.facebook.com/share/1D5iRV3qD2/" TargetMode="External"/><Relationship Id="rId1481" Type="http://schemas.openxmlformats.org/officeDocument/2006/relationships/hyperlink" Target="https://www.facebook.com/share/1D5iRV3qD2/" TargetMode="External"/><Relationship Id="rId1482" Type="http://schemas.openxmlformats.org/officeDocument/2006/relationships/hyperlink" Target="https://www.facebook.com/share/1D5iRV3qD2/" TargetMode="External"/><Relationship Id="rId1483" Type="http://schemas.openxmlformats.org/officeDocument/2006/relationships/hyperlink" Target="https://www.facebook.com/share/18jWJUMsdm/" TargetMode="External"/><Relationship Id="rId653" Type="http://schemas.openxmlformats.org/officeDocument/2006/relationships/hyperlink" Target="https://www.facebook.com/share/18bnPLVN4Y/" TargetMode="External"/><Relationship Id="rId1000" Type="http://schemas.openxmlformats.org/officeDocument/2006/relationships/hyperlink" Target="https://www.facebook.com/share/1EHXz48UTB/" TargetMode="External"/><Relationship Id="rId1484" Type="http://schemas.openxmlformats.org/officeDocument/2006/relationships/hyperlink" Target="https://www.facebook.com/share/18jWJUMsdm/" TargetMode="External"/><Relationship Id="rId652" Type="http://schemas.openxmlformats.org/officeDocument/2006/relationships/hyperlink" Target="https://www.facebook.com/share/1HvxF22VbZ/" TargetMode="External"/><Relationship Id="rId1001" Type="http://schemas.openxmlformats.org/officeDocument/2006/relationships/hyperlink" Target="https://www.facebook.com/share/1EHXz48UTB/" TargetMode="External"/><Relationship Id="rId1485" Type="http://schemas.openxmlformats.org/officeDocument/2006/relationships/hyperlink" Target="https://www.facebook.com/share/18jWJUMsdm/" TargetMode="External"/><Relationship Id="rId651" Type="http://schemas.openxmlformats.org/officeDocument/2006/relationships/hyperlink" Target="https://www.facebook.com/share/1HvxF22VbZ/" TargetMode="External"/><Relationship Id="rId1002" Type="http://schemas.openxmlformats.org/officeDocument/2006/relationships/hyperlink" Target="https://www.facebook.com/share/18gmFHuC1y/" TargetMode="External"/><Relationship Id="rId1486" Type="http://schemas.openxmlformats.org/officeDocument/2006/relationships/hyperlink" Target="https://www.facebook.com/share/1Ck3cKbdo9/" TargetMode="External"/><Relationship Id="rId650" Type="http://schemas.openxmlformats.org/officeDocument/2006/relationships/hyperlink" Target="https://www.facebook.com/share/1KFaHMXL62/" TargetMode="External"/><Relationship Id="rId1003" Type="http://schemas.openxmlformats.org/officeDocument/2006/relationships/hyperlink" Target="https://www.facebook.com/share/18gmFHuC1y/" TargetMode="External"/><Relationship Id="rId1487" Type="http://schemas.openxmlformats.org/officeDocument/2006/relationships/hyperlink" Target="https://www.facebook.com/share/1Ck3cKbdo9/" TargetMode="External"/><Relationship Id="rId1037" Type="http://schemas.openxmlformats.org/officeDocument/2006/relationships/hyperlink" Target="https://www.facebook.com/share/1Ddu6gKtDs/" TargetMode="External"/><Relationship Id="rId1038" Type="http://schemas.openxmlformats.org/officeDocument/2006/relationships/hyperlink" Target="https://www.facebook.com/share/1Ddu6gKtDs/" TargetMode="External"/><Relationship Id="rId1039" Type="http://schemas.openxmlformats.org/officeDocument/2006/relationships/hyperlink" Target="https://www.facebook.com/share/1Ddu6gKtDs/" TargetMode="External"/><Relationship Id="rId206" Type="http://schemas.openxmlformats.org/officeDocument/2006/relationships/hyperlink" Target="https://www.facebook.com/share/1GnvgU6v4B/" TargetMode="External"/><Relationship Id="rId205" Type="http://schemas.openxmlformats.org/officeDocument/2006/relationships/hyperlink" Target="https://www.facebook.com/share/1CwbamSYv9/" TargetMode="External"/><Relationship Id="rId689" Type="http://schemas.openxmlformats.org/officeDocument/2006/relationships/hyperlink" Target="https://www.facebook.com/share/18boox3vxp/" TargetMode="External"/><Relationship Id="rId204" Type="http://schemas.openxmlformats.org/officeDocument/2006/relationships/hyperlink" Target="https://www.facebook.com/share/16aK5P8NqS/" TargetMode="External"/><Relationship Id="rId688" Type="http://schemas.openxmlformats.org/officeDocument/2006/relationships/hyperlink" Target="https://www.facebook.com/profile.php?id=61576325116102" TargetMode="External"/><Relationship Id="rId203" Type="http://schemas.openxmlformats.org/officeDocument/2006/relationships/hyperlink" Target="https://www.facebook.com/share/1CdY1kfiAD/" TargetMode="External"/><Relationship Id="rId687" Type="http://schemas.openxmlformats.org/officeDocument/2006/relationships/hyperlink" Target="https://www.facebook.com/share/1TCXQdGyHu/" TargetMode="External"/><Relationship Id="rId209" Type="http://schemas.openxmlformats.org/officeDocument/2006/relationships/hyperlink" Target="https://www.facebook.com/share/15eQaiaMF3L/" TargetMode="External"/><Relationship Id="rId208" Type="http://schemas.openxmlformats.org/officeDocument/2006/relationships/hyperlink" Target="https://www.facebook.com/share/14bEdjTeGKH/" TargetMode="External"/><Relationship Id="rId207" Type="http://schemas.openxmlformats.org/officeDocument/2006/relationships/hyperlink" Target="https://www.facebook.com/share/18VM4WJPV7/" TargetMode="External"/><Relationship Id="rId682" Type="http://schemas.openxmlformats.org/officeDocument/2006/relationships/hyperlink" Target="https://www.facebook.com/share/1CgYnnpdKD/" TargetMode="External"/><Relationship Id="rId681" Type="http://schemas.openxmlformats.org/officeDocument/2006/relationships/hyperlink" Target="https://www.facebook.com/share/1c3DPxsS2c/" TargetMode="External"/><Relationship Id="rId1030" Type="http://schemas.openxmlformats.org/officeDocument/2006/relationships/hyperlink" Target="https://www.facebook.com/share/1Gq4jdSJh3/" TargetMode="External"/><Relationship Id="rId680" Type="http://schemas.openxmlformats.org/officeDocument/2006/relationships/hyperlink" Target="https://www.facebook.com/share/1Cd59PWxLb/" TargetMode="External"/><Relationship Id="rId1031" Type="http://schemas.openxmlformats.org/officeDocument/2006/relationships/hyperlink" Target="https://www.facebook.com/share/1Gq4jdSJh3/" TargetMode="External"/><Relationship Id="rId1032" Type="http://schemas.openxmlformats.org/officeDocument/2006/relationships/hyperlink" Target="https://www.facebook.com/share/1Gq4jdSJh3/" TargetMode="External"/><Relationship Id="rId202" Type="http://schemas.openxmlformats.org/officeDocument/2006/relationships/hyperlink" Target="https://www.facebook.com/share/1TG9MuRy13/" TargetMode="External"/><Relationship Id="rId686" Type="http://schemas.openxmlformats.org/officeDocument/2006/relationships/hyperlink" Target="https://www.facebook.com/share/18eAWfpSXV/" TargetMode="External"/><Relationship Id="rId1033" Type="http://schemas.openxmlformats.org/officeDocument/2006/relationships/hyperlink" Target="https://www.facebook.com/share/1Capd2jYfk/" TargetMode="External"/><Relationship Id="rId201" Type="http://schemas.openxmlformats.org/officeDocument/2006/relationships/hyperlink" Target="https://www.facebook.com/share/1GFVuaM7ZC/" TargetMode="External"/><Relationship Id="rId685" Type="http://schemas.openxmlformats.org/officeDocument/2006/relationships/hyperlink" Target="https://www.facebook.com/share/1CqxBBY32C/" TargetMode="External"/><Relationship Id="rId1034" Type="http://schemas.openxmlformats.org/officeDocument/2006/relationships/hyperlink" Target="https://www.facebook.com/share/1Capd2jYfk/" TargetMode="External"/><Relationship Id="rId200" Type="http://schemas.openxmlformats.org/officeDocument/2006/relationships/hyperlink" Target="https://www.facebook.com/share/1YseKsm9nT/" TargetMode="External"/><Relationship Id="rId684" Type="http://schemas.openxmlformats.org/officeDocument/2006/relationships/hyperlink" Target="https://www.facebook.com/share/1QfVSEJJ5A/" TargetMode="External"/><Relationship Id="rId1035" Type="http://schemas.openxmlformats.org/officeDocument/2006/relationships/hyperlink" Target="https://www.facebook.com/share/1BxhrMGM3h/" TargetMode="External"/><Relationship Id="rId683" Type="http://schemas.openxmlformats.org/officeDocument/2006/relationships/hyperlink" Target="https://www.facebook.com/share/1EZ24v5RFB/" TargetMode="External"/><Relationship Id="rId1036" Type="http://schemas.openxmlformats.org/officeDocument/2006/relationships/hyperlink" Target="https://www.facebook.com/share/1Ddu6gKtDs/" TargetMode="External"/><Relationship Id="rId1026" Type="http://schemas.openxmlformats.org/officeDocument/2006/relationships/hyperlink" Target="https://www.facebook.com/share/17T43UfoEu/" TargetMode="External"/><Relationship Id="rId1027" Type="http://schemas.openxmlformats.org/officeDocument/2006/relationships/hyperlink" Target="https://www.facebook.com/share/1E92ckXU9G/" TargetMode="External"/><Relationship Id="rId1028" Type="http://schemas.openxmlformats.org/officeDocument/2006/relationships/hyperlink" Target="https://www.facebook.com/share/1E92ckXU9G/" TargetMode="External"/><Relationship Id="rId1029" Type="http://schemas.openxmlformats.org/officeDocument/2006/relationships/hyperlink" Target="https://www.facebook.com/share/1Gq4jdSJh3/" TargetMode="External"/><Relationship Id="rId679" Type="http://schemas.openxmlformats.org/officeDocument/2006/relationships/hyperlink" Target="https://www.facebook.com/share/18W5HzCkgh/" TargetMode="External"/><Relationship Id="rId678" Type="http://schemas.openxmlformats.org/officeDocument/2006/relationships/hyperlink" Target="https://www.facebook.com/share/1e6PnmCpnn/" TargetMode="External"/><Relationship Id="rId677" Type="http://schemas.openxmlformats.org/officeDocument/2006/relationships/hyperlink" Target="https://www.facebook.com/share/178iWoKeou/" TargetMode="External"/><Relationship Id="rId676" Type="http://schemas.openxmlformats.org/officeDocument/2006/relationships/hyperlink" Target="https://www.facebook.com/share/1E8uDmku72/" TargetMode="External"/><Relationship Id="rId671" Type="http://schemas.openxmlformats.org/officeDocument/2006/relationships/hyperlink" Target="https://www.facebook.com/share/18MAuQgaJ5/" TargetMode="External"/><Relationship Id="rId670" Type="http://schemas.openxmlformats.org/officeDocument/2006/relationships/hyperlink" Target="https://www.facebook.com/share/18MAuQgaJ5/" TargetMode="External"/><Relationship Id="rId1020" Type="http://schemas.openxmlformats.org/officeDocument/2006/relationships/hyperlink" Target="https://www.facebook.com/share/1E92ckXU9G/" TargetMode="External"/><Relationship Id="rId1021" Type="http://schemas.openxmlformats.org/officeDocument/2006/relationships/hyperlink" Target="https://www.facebook.com/share/1E92ckXU9G/" TargetMode="External"/><Relationship Id="rId675" Type="http://schemas.openxmlformats.org/officeDocument/2006/relationships/hyperlink" Target="https://www.facebook.com/profile.php?id=100008702644577" TargetMode="External"/><Relationship Id="rId1022" Type="http://schemas.openxmlformats.org/officeDocument/2006/relationships/hyperlink" Target="https://www.facebook.com/share/1E92ckXU9G/" TargetMode="External"/><Relationship Id="rId674" Type="http://schemas.openxmlformats.org/officeDocument/2006/relationships/hyperlink" Target="https://www.facebook.com/share/1Cn3vgBB3i/" TargetMode="External"/><Relationship Id="rId1023" Type="http://schemas.openxmlformats.org/officeDocument/2006/relationships/hyperlink" Target="https://www.facebook.com/share/1E92ckXU9G/" TargetMode="External"/><Relationship Id="rId673" Type="http://schemas.openxmlformats.org/officeDocument/2006/relationships/hyperlink" Target="https://www.facebook.com/htrazf" TargetMode="External"/><Relationship Id="rId1024" Type="http://schemas.openxmlformats.org/officeDocument/2006/relationships/hyperlink" Target="https://www.facebook.com/share/1E92ckXU9G/" TargetMode="External"/><Relationship Id="rId672" Type="http://schemas.openxmlformats.org/officeDocument/2006/relationships/hyperlink" Target="https://www.facebook.com/htrazf" TargetMode="External"/><Relationship Id="rId1025" Type="http://schemas.openxmlformats.org/officeDocument/2006/relationships/hyperlink" Target="https://www.facebook.com/share/17T43UfoEu/" TargetMode="External"/><Relationship Id="rId190" Type="http://schemas.openxmlformats.org/officeDocument/2006/relationships/hyperlink" Target="https://www.facebook.com/profile.php?id=100037242972472" TargetMode="External"/><Relationship Id="rId194" Type="http://schemas.openxmlformats.org/officeDocument/2006/relationships/hyperlink" Target="https://www.facebook.com/share/1DrdMbuCed/" TargetMode="External"/><Relationship Id="rId193" Type="http://schemas.openxmlformats.org/officeDocument/2006/relationships/hyperlink" Target="https://www.facebook.com/share/18VPhC7aPt/" TargetMode="External"/><Relationship Id="rId192" Type="http://schemas.openxmlformats.org/officeDocument/2006/relationships/hyperlink" Target="https://www.facebook.com/share/18USNN5Ncs/" TargetMode="External"/><Relationship Id="rId191" Type="http://schemas.openxmlformats.org/officeDocument/2006/relationships/hyperlink" Target="https://www.facebook.com/share/18Ti8JtHbH/" TargetMode="External"/><Relationship Id="rId187" Type="http://schemas.openxmlformats.org/officeDocument/2006/relationships/hyperlink" Target="https://www.facebook.com/share/18JPXQyUr5/" TargetMode="External"/><Relationship Id="rId186" Type="http://schemas.openxmlformats.org/officeDocument/2006/relationships/hyperlink" Target="https://www.facebook.com/share/1Pp6U9UoBq/" TargetMode="External"/><Relationship Id="rId185" Type="http://schemas.openxmlformats.org/officeDocument/2006/relationships/hyperlink" Target="https://www.facebook.com/share/1DPpmwMjkB/" TargetMode="External"/><Relationship Id="rId184" Type="http://schemas.openxmlformats.org/officeDocument/2006/relationships/hyperlink" Target="https://www.facebook.com/share/1HCfw2Am5a/" TargetMode="External"/><Relationship Id="rId189" Type="http://schemas.openxmlformats.org/officeDocument/2006/relationships/hyperlink" Target="https://www.facebook.com/share/1BEjswV4KA/" TargetMode="External"/><Relationship Id="rId188" Type="http://schemas.openxmlformats.org/officeDocument/2006/relationships/hyperlink" Target="https://www.facebook.com/profile.php?id=100037242972472" TargetMode="External"/><Relationship Id="rId183" Type="http://schemas.openxmlformats.org/officeDocument/2006/relationships/hyperlink" Target="https://www.facebook.com/share/1LgSRbAfuA/" TargetMode="External"/><Relationship Id="rId182" Type="http://schemas.openxmlformats.org/officeDocument/2006/relationships/hyperlink" Target="https://www.facebook.com/share/1B1yYxL3UJ/" TargetMode="External"/><Relationship Id="rId181" Type="http://schemas.openxmlformats.org/officeDocument/2006/relationships/hyperlink" Target="https://www.facebook.com/share/185JWdwdkL/" TargetMode="External"/><Relationship Id="rId180" Type="http://schemas.openxmlformats.org/officeDocument/2006/relationships/hyperlink" Target="https://www.facebook.com/profile.php?id=61581534937440" TargetMode="External"/><Relationship Id="rId176" Type="http://schemas.openxmlformats.org/officeDocument/2006/relationships/hyperlink" Target="https://www.facebook.com/share/1Cf46pVYWx/" TargetMode="External"/><Relationship Id="rId175" Type="http://schemas.openxmlformats.org/officeDocument/2006/relationships/hyperlink" Target="https://www.facebook.com/share/1buS1FWDvs/" TargetMode="External"/><Relationship Id="rId174" Type="http://schemas.openxmlformats.org/officeDocument/2006/relationships/hyperlink" Target="https://www.facebook.com/share/1Cv4ctbn2W/" TargetMode="External"/><Relationship Id="rId173" Type="http://schemas.openxmlformats.org/officeDocument/2006/relationships/hyperlink" Target="https://www.facebook.com/share/1BwESoMpKp/" TargetMode="External"/><Relationship Id="rId179" Type="http://schemas.openxmlformats.org/officeDocument/2006/relationships/hyperlink" Target="https://www.facebook.com/profile.php?id=100008402494492" TargetMode="External"/><Relationship Id="rId178" Type="http://schemas.openxmlformats.org/officeDocument/2006/relationships/hyperlink" Target="https://www.facebook.com/share/1JMDHXcfmv/" TargetMode="External"/><Relationship Id="rId177" Type="http://schemas.openxmlformats.org/officeDocument/2006/relationships/hyperlink" Target="https://www.facebook.com/share/1CJaXPJ5aQ/" TargetMode="External"/><Relationship Id="rId1910" Type="http://schemas.openxmlformats.org/officeDocument/2006/relationships/hyperlink" Target="https://www.facebook.com/share/1E8uDmku72/" TargetMode="External"/><Relationship Id="rId1911" Type="http://schemas.openxmlformats.org/officeDocument/2006/relationships/hyperlink" Target="https://www.facebook.com/share/1E8uDmku72/" TargetMode="External"/><Relationship Id="rId1912" Type="http://schemas.openxmlformats.org/officeDocument/2006/relationships/hyperlink" Target="https://www.facebook.com/share/1HxP9a8SnX/" TargetMode="External"/><Relationship Id="rId1913" Type="http://schemas.openxmlformats.org/officeDocument/2006/relationships/hyperlink" Target="https://www.facebook.com/share/1HxP9a8SnX/" TargetMode="External"/><Relationship Id="rId1914" Type="http://schemas.openxmlformats.org/officeDocument/2006/relationships/hyperlink" Target="https://www.facebook.com/share/18rs1Wqocx/" TargetMode="External"/><Relationship Id="rId1915" Type="http://schemas.openxmlformats.org/officeDocument/2006/relationships/hyperlink" Target="https://www.facebook.com/share/1EKrPuUQEj/" TargetMode="External"/><Relationship Id="rId1916" Type="http://schemas.openxmlformats.org/officeDocument/2006/relationships/hyperlink" Target="https://www.facebook.com/share/18qDaSKcU4/" TargetMode="External"/><Relationship Id="rId1917" Type="http://schemas.openxmlformats.org/officeDocument/2006/relationships/hyperlink" Target="https://www.facebook.com/share/18qDaSKcU4/" TargetMode="External"/><Relationship Id="rId1918" Type="http://schemas.openxmlformats.org/officeDocument/2006/relationships/hyperlink" Target="https://www.facebook.com/share/1B1Gzf3YJP/" TargetMode="External"/><Relationship Id="rId1919" Type="http://schemas.openxmlformats.org/officeDocument/2006/relationships/hyperlink" Target="https://www.facebook.com/share/1B1Gzf3YJP/" TargetMode="External"/><Relationship Id="rId1900" Type="http://schemas.openxmlformats.org/officeDocument/2006/relationships/hyperlink" Target="https://www.facebook.com/share/1JGQMV4kVg/" TargetMode="External"/><Relationship Id="rId1901" Type="http://schemas.openxmlformats.org/officeDocument/2006/relationships/hyperlink" Target="https://www.facebook.com/share/1JGQMV4kVg/" TargetMode="External"/><Relationship Id="rId1902" Type="http://schemas.openxmlformats.org/officeDocument/2006/relationships/hyperlink" Target="https://www.facebook.com/share/1JGQMV4kVg/" TargetMode="External"/><Relationship Id="rId1903" Type="http://schemas.openxmlformats.org/officeDocument/2006/relationships/hyperlink" Target="https://www.facebook.com/share/1KYn66tEEN/" TargetMode="External"/><Relationship Id="rId1904" Type="http://schemas.openxmlformats.org/officeDocument/2006/relationships/hyperlink" Target="https://www.facebook.com/share/1KYn66tEEN/" TargetMode="External"/><Relationship Id="rId1905" Type="http://schemas.openxmlformats.org/officeDocument/2006/relationships/hyperlink" Target="https://www.facebook.com/share/19DkqyybMK/" TargetMode="External"/><Relationship Id="rId1906" Type="http://schemas.openxmlformats.org/officeDocument/2006/relationships/hyperlink" Target="https://www.facebook.com/share/19DkqyybMK/" TargetMode="External"/><Relationship Id="rId1907" Type="http://schemas.openxmlformats.org/officeDocument/2006/relationships/hyperlink" Target="https://www.facebook.com/share/19DkqyybMK/" TargetMode="External"/><Relationship Id="rId1908" Type="http://schemas.openxmlformats.org/officeDocument/2006/relationships/hyperlink" Target="https://www.facebook.com/share/1G6i4Q9XhT/" TargetMode="External"/><Relationship Id="rId1909" Type="http://schemas.openxmlformats.org/officeDocument/2006/relationships/hyperlink" Target="https://www.facebook.com/share/1E8uDmku72/" TargetMode="External"/><Relationship Id="rId198" Type="http://schemas.openxmlformats.org/officeDocument/2006/relationships/hyperlink" Target="https://www.facebook.com/share/1DRB6DLUQz/" TargetMode="External"/><Relationship Id="rId197" Type="http://schemas.openxmlformats.org/officeDocument/2006/relationships/hyperlink" Target="https://www.facebook.com/share/1AxJ2BYNjp/" TargetMode="External"/><Relationship Id="rId196" Type="http://schemas.openxmlformats.org/officeDocument/2006/relationships/hyperlink" Target="https://www.facebook.com/share/14XmBGjXk6y/" TargetMode="External"/><Relationship Id="rId195" Type="http://schemas.openxmlformats.org/officeDocument/2006/relationships/hyperlink" Target="https://www.facebook.com/pretty.huongx" TargetMode="External"/><Relationship Id="rId199" Type="http://schemas.openxmlformats.org/officeDocument/2006/relationships/hyperlink" Target="https://www.facebook.com/share/1B3RgQiK6E/" TargetMode="External"/><Relationship Id="rId150" Type="http://schemas.openxmlformats.org/officeDocument/2006/relationships/hyperlink" Target="https://www.facebook.com/share/1CbKfVgkJ2/" TargetMode="External"/><Relationship Id="rId149" Type="http://schemas.openxmlformats.org/officeDocument/2006/relationships/hyperlink" Target="https://www.facebook.com/share/1CbKfVgkJ2/" TargetMode="External"/><Relationship Id="rId148" Type="http://schemas.openxmlformats.org/officeDocument/2006/relationships/hyperlink" Target="https://www.facebook.com/share/1CbKfVgkJ2/" TargetMode="External"/><Relationship Id="rId1090" Type="http://schemas.openxmlformats.org/officeDocument/2006/relationships/hyperlink" Target="https://www.facebook.com/share/18NDLeTSvX/" TargetMode="External"/><Relationship Id="rId1091" Type="http://schemas.openxmlformats.org/officeDocument/2006/relationships/hyperlink" Target="https://www.facebook.com/share/18NDLeTSvX/" TargetMode="External"/><Relationship Id="rId1092" Type="http://schemas.openxmlformats.org/officeDocument/2006/relationships/hyperlink" Target="https://www.facebook.com/share/1GwKZpNoVR/" TargetMode="External"/><Relationship Id="rId1093" Type="http://schemas.openxmlformats.org/officeDocument/2006/relationships/hyperlink" Target="https://www.facebook.com/share/14c8aR4sijM/" TargetMode="External"/><Relationship Id="rId1094" Type="http://schemas.openxmlformats.org/officeDocument/2006/relationships/hyperlink" Target="https://www.facebook.com/share/1CyzyqiTbn/" TargetMode="External"/><Relationship Id="rId143" Type="http://schemas.openxmlformats.org/officeDocument/2006/relationships/hyperlink" Target="https://www.facebook.com/share/1D4dn1jhgX/" TargetMode="External"/><Relationship Id="rId1095" Type="http://schemas.openxmlformats.org/officeDocument/2006/relationships/hyperlink" Target="https://www.facebook.com/share/1D5FNq918g/" TargetMode="External"/><Relationship Id="rId142" Type="http://schemas.openxmlformats.org/officeDocument/2006/relationships/hyperlink" Target="https://www.facebook.com/share/1D4dn1jhgX/" TargetMode="External"/><Relationship Id="rId1096" Type="http://schemas.openxmlformats.org/officeDocument/2006/relationships/hyperlink" Target="https://www.facebook.com/share/1D5FNq918g/" TargetMode="External"/><Relationship Id="rId141" Type="http://schemas.openxmlformats.org/officeDocument/2006/relationships/hyperlink" Target="https://www.facebook.com/share/1ShKp9oKHY/" TargetMode="External"/><Relationship Id="rId1097" Type="http://schemas.openxmlformats.org/officeDocument/2006/relationships/hyperlink" Target="https://www.facebook.com/share/1D5FNq918g/" TargetMode="External"/><Relationship Id="rId140" Type="http://schemas.openxmlformats.org/officeDocument/2006/relationships/hyperlink" Target="https://www.facebook.com/share/1DszgjSVJ8/" TargetMode="External"/><Relationship Id="rId1098" Type="http://schemas.openxmlformats.org/officeDocument/2006/relationships/hyperlink" Target="https://www.facebook.com/share/1D5FNq918g/" TargetMode="External"/><Relationship Id="rId147" Type="http://schemas.openxmlformats.org/officeDocument/2006/relationships/hyperlink" Target="https://www.facebook.com/meichan2212" TargetMode="External"/><Relationship Id="rId1099" Type="http://schemas.openxmlformats.org/officeDocument/2006/relationships/hyperlink" Target="https://www.facebook.com/share/1D5FNq918g/" TargetMode="External"/><Relationship Id="rId146" Type="http://schemas.openxmlformats.org/officeDocument/2006/relationships/hyperlink" Target="https://www.facebook.com/share/18Jf5CFuvo/" TargetMode="External"/><Relationship Id="rId145" Type="http://schemas.openxmlformats.org/officeDocument/2006/relationships/hyperlink" Target="https://www.facebook.com/share/18Jf5CFuvo/" TargetMode="External"/><Relationship Id="rId144" Type="http://schemas.openxmlformats.org/officeDocument/2006/relationships/hyperlink" Target="https://www.facebook.com/share/1AvZMZeHjr/" TargetMode="External"/><Relationship Id="rId139" Type="http://schemas.openxmlformats.org/officeDocument/2006/relationships/hyperlink" Target="https://www.facebook.com/share/1DszgjSVJ8/" TargetMode="External"/><Relationship Id="rId138" Type="http://schemas.openxmlformats.org/officeDocument/2006/relationships/hyperlink" Target="https://www.facebook.com/share/1JMDHXcfmv/" TargetMode="External"/><Relationship Id="rId137" Type="http://schemas.openxmlformats.org/officeDocument/2006/relationships/hyperlink" Target="https://www.facebook.com/share/1CX8bcv19k/" TargetMode="External"/><Relationship Id="rId1080" Type="http://schemas.openxmlformats.org/officeDocument/2006/relationships/hyperlink" Target="https://www.facebook.com/share/18eAWfpSXV/" TargetMode="External"/><Relationship Id="rId1081" Type="http://schemas.openxmlformats.org/officeDocument/2006/relationships/hyperlink" Target="https://www.facebook.com/share/18eAWfpSXV/" TargetMode="External"/><Relationship Id="rId1082" Type="http://schemas.openxmlformats.org/officeDocument/2006/relationships/hyperlink" Target="https://www.facebook.com/share/18eWwC9xkj/" TargetMode="External"/><Relationship Id="rId1083" Type="http://schemas.openxmlformats.org/officeDocument/2006/relationships/hyperlink" Target="https://www.facebook.com/share/18eWwC9xkj/" TargetMode="External"/><Relationship Id="rId132" Type="http://schemas.openxmlformats.org/officeDocument/2006/relationships/hyperlink" Target="https://www.facebook.com/hau.bich.7777" TargetMode="External"/><Relationship Id="rId1084" Type="http://schemas.openxmlformats.org/officeDocument/2006/relationships/hyperlink" Target="https://www.facebook.com/share/18iJXPw5aA/" TargetMode="External"/><Relationship Id="rId131" Type="http://schemas.openxmlformats.org/officeDocument/2006/relationships/hyperlink" Target="https://www.facebook.com/profile.php?id=100026145288640" TargetMode="External"/><Relationship Id="rId1085" Type="http://schemas.openxmlformats.org/officeDocument/2006/relationships/hyperlink" Target="https://www.facebook.com/share/18iJXPw5aA/" TargetMode="External"/><Relationship Id="rId130" Type="http://schemas.openxmlformats.org/officeDocument/2006/relationships/hyperlink" Target="https://www.facebook.com/nguyet.duong.7315" TargetMode="External"/><Relationship Id="rId1086" Type="http://schemas.openxmlformats.org/officeDocument/2006/relationships/hyperlink" Target="https://www.facebook.com/share/1CCeWQfBru/" TargetMode="External"/><Relationship Id="rId1087" Type="http://schemas.openxmlformats.org/officeDocument/2006/relationships/hyperlink" Target="https://www.facebook.com/share/1DfhQrib9d/" TargetMode="External"/><Relationship Id="rId136" Type="http://schemas.openxmlformats.org/officeDocument/2006/relationships/hyperlink" Target="https://www.facebook.com/thienplu" TargetMode="External"/><Relationship Id="rId1088" Type="http://schemas.openxmlformats.org/officeDocument/2006/relationships/hyperlink" Target="https://www.facebook.com/share/14XMtwmxsBV/" TargetMode="External"/><Relationship Id="rId135" Type="http://schemas.openxmlformats.org/officeDocument/2006/relationships/hyperlink" Target="https://www.facebook.com/meu.sica.9" TargetMode="External"/><Relationship Id="rId1089" Type="http://schemas.openxmlformats.org/officeDocument/2006/relationships/hyperlink" Target="https://www.facebook.com/share/18NDLeTSvX/" TargetMode="External"/><Relationship Id="rId134" Type="http://schemas.openxmlformats.org/officeDocument/2006/relationships/hyperlink" Target="https://www.facebook.com/lehoanganh8668" TargetMode="External"/><Relationship Id="rId133" Type="http://schemas.openxmlformats.org/officeDocument/2006/relationships/hyperlink" Target="https://www.facebook.com/hoangoanh.242" TargetMode="External"/><Relationship Id="rId172" Type="http://schemas.openxmlformats.org/officeDocument/2006/relationships/hyperlink" Target="https://www.facebook.com/share/18DoYNLTjW/" TargetMode="External"/><Relationship Id="rId171" Type="http://schemas.openxmlformats.org/officeDocument/2006/relationships/hyperlink" Target="https://www.facebook.com/share/1CkkzDy17z/" TargetMode="External"/><Relationship Id="rId170" Type="http://schemas.openxmlformats.org/officeDocument/2006/relationships/hyperlink" Target="https://www.facebook.com/share/1CkkzDy17z/" TargetMode="External"/><Relationship Id="rId165" Type="http://schemas.openxmlformats.org/officeDocument/2006/relationships/hyperlink" Target="https://www.facebook.com/share/1ahkRZJ7z3/" TargetMode="External"/><Relationship Id="rId164" Type="http://schemas.openxmlformats.org/officeDocument/2006/relationships/hyperlink" Target="https://www.facebook.com/share/1ahkRZJ7z3/" TargetMode="External"/><Relationship Id="rId163" Type="http://schemas.openxmlformats.org/officeDocument/2006/relationships/hyperlink" Target="https://www.facebook.com/share/185JWdwdkL/" TargetMode="External"/><Relationship Id="rId162" Type="http://schemas.openxmlformats.org/officeDocument/2006/relationships/hyperlink" Target="https://www.facebook.com/Huongnhat.tokyo" TargetMode="External"/><Relationship Id="rId169" Type="http://schemas.openxmlformats.org/officeDocument/2006/relationships/hyperlink" Target="https://www.facebook.com/share/1CS9Hnj3PP/" TargetMode="External"/><Relationship Id="rId168" Type="http://schemas.openxmlformats.org/officeDocument/2006/relationships/hyperlink" Target="https://www.facebook.com/share/1ShKp9oKHY/" TargetMode="External"/><Relationship Id="rId167" Type="http://schemas.openxmlformats.org/officeDocument/2006/relationships/hyperlink" Target="https://www.facebook.com/share/1HB3rZHkm2/" TargetMode="External"/><Relationship Id="rId166" Type="http://schemas.openxmlformats.org/officeDocument/2006/relationships/hyperlink" Target="https://www.facebook.com/hongruby.nguyen.73" TargetMode="External"/><Relationship Id="rId161" Type="http://schemas.openxmlformats.org/officeDocument/2006/relationships/hyperlink" Target="https://www.facebook.com/Huongnhat.tokyo" TargetMode="External"/><Relationship Id="rId160" Type="http://schemas.openxmlformats.org/officeDocument/2006/relationships/hyperlink" Target="https://www.facebook.com/share/1DwQq1j1hu/" TargetMode="External"/><Relationship Id="rId159" Type="http://schemas.openxmlformats.org/officeDocument/2006/relationships/hyperlink" Target="https://www.facebook.com/share/1DwQq1j1hu/" TargetMode="External"/><Relationship Id="rId154" Type="http://schemas.openxmlformats.org/officeDocument/2006/relationships/hyperlink" Target="https://www.facebook.com/share/1YseKsm9nT/" TargetMode="External"/><Relationship Id="rId153" Type="http://schemas.openxmlformats.org/officeDocument/2006/relationships/hyperlink" Target="https://www.facebook.com/share/1CbKfVgkJ2/" TargetMode="External"/><Relationship Id="rId152" Type="http://schemas.openxmlformats.org/officeDocument/2006/relationships/hyperlink" Target="https://www.facebook.com/share/1CbKfVgkJ2/" TargetMode="External"/><Relationship Id="rId151" Type="http://schemas.openxmlformats.org/officeDocument/2006/relationships/hyperlink" Target="https://www.facebook.com/share/1CbKfVgkJ2/" TargetMode="External"/><Relationship Id="rId158" Type="http://schemas.openxmlformats.org/officeDocument/2006/relationships/hyperlink" Target="https://www.facebook.com/share/1DwQq1j1hu/" TargetMode="External"/><Relationship Id="rId157" Type="http://schemas.openxmlformats.org/officeDocument/2006/relationships/hyperlink" Target="https://www.facebook.com/share/1DwQq1j1hu/" TargetMode="External"/><Relationship Id="rId156" Type="http://schemas.openxmlformats.org/officeDocument/2006/relationships/hyperlink" Target="https://www.facebook.com/share/1DwQq1j1hu/" TargetMode="External"/><Relationship Id="rId155" Type="http://schemas.openxmlformats.org/officeDocument/2006/relationships/hyperlink" Target="https://www.facebook.com/share/1DwQq1j1hu/" TargetMode="External"/><Relationship Id="rId1972" Type="http://schemas.openxmlformats.org/officeDocument/2006/relationships/hyperlink" Target="https://www.facebook.com/share/17rKZcfghn/" TargetMode="External"/><Relationship Id="rId1973" Type="http://schemas.openxmlformats.org/officeDocument/2006/relationships/hyperlink" Target="https://www.facebook.com/share/1XfokEeZNY/" TargetMode="External"/><Relationship Id="rId1974" Type="http://schemas.openxmlformats.org/officeDocument/2006/relationships/hyperlink" Target="https://www.facebook.com/share/1D2sNMS3YZ/" TargetMode="External"/><Relationship Id="rId1975" Type="http://schemas.openxmlformats.org/officeDocument/2006/relationships/hyperlink" Target="https://www.facebook.com/share/1Exz5bAqDS/" TargetMode="External"/><Relationship Id="rId1976" Type="http://schemas.openxmlformats.org/officeDocument/2006/relationships/hyperlink" Target="https://www.facebook.com/share/1D9n8Ri5ik/" TargetMode="External"/><Relationship Id="rId1977" Type="http://schemas.openxmlformats.org/officeDocument/2006/relationships/hyperlink" Target="https://www.facebook.com/share/1BKyd1Tzyf/" TargetMode="External"/><Relationship Id="rId1978" Type="http://schemas.openxmlformats.org/officeDocument/2006/relationships/hyperlink" Target="https://www.facebook.com/share/1BFPMUNu5c/" TargetMode="External"/><Relationship Id="rId1979" Type="http://schemas.openxmlformats.org/officeDocument/2006/relationships/hyperlink" Target="https://www.facebook.com/share/17c6hUmXXK/" TargetMode="External"/><Relationship Id="rId1970" Type="http://schemas.openxmlformats.org/officeDocument/2006/relationships/hyperlink" Target="https://www.facebook.com/share/1EKrPuUQEj/" TargetMode="External"/><Relationship Id="rId1971" Type="http://schemas.openxmlformats.org/officeDocument/2006/relationships/hyperlink" Target="https://www.facebook.com/share/181dQ48q7H/" TargetMode="External"/><Relationship Id="rId1961" Type="http://schemas.openxmlformats.org/officeDocument/2006/relationships/hyperlink" Target="https://www.facebook.com/share/18VjqWHnSi/" TargetMode="External"/><Relationship Id="rId1962" Type="http://schemas.openxmlformats.org/officeDocument/2006/relationships/hyperlink" Target="https://www.facebook.com/share/17r9WGwYPX/" TargetMode="External"/><Relationship Id="rId1963" Type="http://schemas.openxmlformats.org/officeDocument/2006/relationships/hyperlink" Target="https://www.facebook.com/share/1GrvNWAAjX/" TargetMode="External"/><Relationship Id="rId1964" Type="http://schemas.openxmlformats.org/officeDocument/2006/relationships/hyperlink" Target="https://www.facebook.com/share/1BYYzQkYKV/" TargetMode="External"/><Relationship Id="rId1965" Type="http://schemas.openxmlformats.org/officeDocument/2006/relationships/hyperlink" Target="https://www.facebook.com/share/1Dyw9QvAcA/" TargetMode="External"/><Relationship Id="rId1966" Type="http://schemas.openxmlformats.org/officeDocument/2006/relationships/hyperlink" Target="https://www.facebook.com/share/14cYcjQZury/" TargetMode="External"/><Relationship Id="rId1967" Type="http://schemas.openxmlformats.org/officeDocument/2006/relationships/hyperlink" Target="https://www.facebook.com/share/1BKFXk8wce/" TargetMode="External"/><Relationship Id="rId1968" Type="http://schemas.openxmlformats.org/officeDocument/2006/relationships/hyperlink" Target="https://www.facebook.com/share/1EYPuzZ3Uo/" TargetMode="External"/><Relationship Id="rId1969" Type="http://schemas.openxmlformats.org/officeDocument/2006/relationships/hyperlink" Target="https://www.facebook.com/share/1CxxoiXgpG/" TargetMode="External"/><Relationship Id="rId1960" Type="http://schemas.openxmlformats.org/officeDocument/2006/relationships/hyperlink" Target="https://www.facebook.com/share/1BGfGySqEX/" TargetMode="External"/><Relationship Id="rId1510" Type="http://schemas.openxmlformats.org/officeDocument/2006/relationships/hyperlink" Target="https://www.facebook.com/share/1EZ24v5RFB/" TargetMode="External"/><Relationship Id="rId1994" Type="http://schemas.openxmlformats.org/officeDocument/2006/relationships/hyperlink" Target="https://www.facebook.com/share/1DtQ3BdYgT/" TargetMode="External"/><Relationship Id="rId1511" Type="http://schemas.openxmlformats.org/officeDocument/2006/relationships/hyperlink" Target="https://www.facebook.com/share/1GbCTuNHXi/" TargetMode="External"/><Relationship Id="rId1995" Type="http://schemas.openxmlformats.org/officeDocument/2006/relationships/hyperlink" Target="https://www.facebook.com/share/18D7LfCLMb/" TargetMode="External"/><Relationship Id="rId1512" Type="http://schemas.openxmlformats.org/officeDocument/2006/relationships/hyperlink" Target="https://www.facebook.com/share/1Capd2jYfk/" TargetMode="External"/><Relationship Id="rId1996" Type="http://schemas.openxmlformats.org/officeDocument/2006/relationships/hyperlink" Target="https://www.facebook.com/share/18tbV9tDdS/" TargetMode="External"/><Relationship Id="rId1513" Type="http://schemas.openxmlformats.org/officeDocument/2006/relationships/hyperlink" Target="https://www.facebook.com/share/1MhTuRFEYp/" TargetMode="External"/><Relationship Id="rId1997" Type="http://schemas.openxmlformats.org/officeDocument/2006/relationships/hyperlink" Target="https://www.facebook.com/share/18tbV9tDdS/" TargetMode="External"/><Relationship Id="rId1514" Type="http://schemas.openxmlformats.org/officeDocument/2006/relationships/hyperlink" Target="https://www.facebook.com/share/1BKyd1Tzyf/" TargetMode="External"/><Relationship Id="rId1998" Type="http://schemas.openxmlformats.org/officeDocument/2006/relationships/hyperlink" Target="https://www.facebook.com/share/18tbV9tDdS/" TargetMode="External"/><Relationship Id="rId1515" Type="http://schemas.openxmlformats.org/officeDocument/2006/relationships/hyperlink" Target="https://www.facebook.com/share/14ch6ob77hN/" TargetMode="External"/><Relationship Id="rId1999" Type="http://schemas.openxmlformats.org/officeDocument/2006/relationships/hyperlink" Target="https://www.facebook.com/share/18jxRTkCjN/" TargetMode="External"/><Relationship Id="rId1516" Type="http://schemas.openxmlformats.org/officeDocument/2006/relationships/hyperlink" Target="https://www.facebook.com/meichan2212" TargetMode="External"/><Relationship Id="rId1517" Type="http://schemas.openxmlformats.org/officeDocument/2006/relationships/hyperlink" Target="https://www.facebook.com/share/1AzEcJu6wD/" TargetMode="External"/><Relationship Id="rId1518" Type="http://schemas.openxmlformats.org/officeDocument/2006/relationships/hyperlink" Target="https://www.facebook.com/share/18M9veT27c/" TargetMode="External"/><Relationship Id="rId1519" Type="http://schemas.openxmlformats.org/officeDocument/2006/relationships/hyperlink" Target="https://www.facebook.com/share/1b9zkLeDux/" TargetMode="External"/><Relationship Id="rId1990" Type="http://schemas.openxmlformats.org/officeDocument/2006/relationships/hyperlink" Target="https://www.facebook.com/share/1B3pwGEkrE/" TargetMode="External"/><Relationship Id="rId1991" Type="http://schemas.openxmlformats.org/officeDocument/2006/relationships/hyperlink" Target="https://www.facebook.com/share/1EZ24v5RFB/" TargetMode="External"/><Relationship Id="rId1992" Type="http://schemas.openxmlformats.org/officeDocument/2006/relationships/hyperlink" Target="https://www.facebook.com/share/1UWuJf3ES5/" TargetMode="External"/><Relationship Id="rId1993" Type="http://schemas.openxmlformats.org/officeDocument/2006/relationships/hyperlink" Target="https://www.facebook.com/share/17TTqnQAHa/" TargetMode="External"/><Relationship Id="rId1983" Type="http://schemas.openxmlformats.org/officeDocument/2006/relationships/hyperlink" Target="https://www.facebook.com/share/17d6ewjTp1/" TargetMode="External"/><Relationship Id="rId1500" Type="http://schemas.openxmlformats.org/officeDocument/2006/relationships/hyperlink" Target="https://www.facebook.com/share/1CtciL7E8E/" TargetMode="External"/><Relationship Id="rId1984" Type="http://schemas.openxmlformats.org/officeDocument/2006/relationships/hyperlink" Target="https://www.facebook.com/share/14c9jFCcdyr/" TargetMode="External"/><Relationship Id="rId1501" Type="http://schemas.openxmlformats.org/officeDocument/2006/relationships/hyperlink" Target="https://www.facebook.com/share/1BE5K8xvAp/" TargetMode="External"/><Relationship Id="rId1985" Type="http://schemas.openxmlformats.org/officeDocument/2006/relationships/hyperlink" Target="https://www.facebook.com/share/1aXRoT4BUT/" TargetMode="External"/><Relationship Id="rId1502" Type="http://schemas.openxmlformats.org/officeDocument/2006/relationships/hyperlink" Target="https://www.facebook.com/share/1BE5K8xvAp/" TargetMode="External"/><Relationship Id="rId1986" Type="http://schemas.openxmlformats.org/officeDocument/2006/relationships/hyperlink" Target="https://www.facebook.com/share/1EBjFE2gfz/" TargetMode="External"/><Relationship Id="rId1503" Type="http://schemas.openxmlformats.org/officeDocument/2006/relationships/hyperlink" Target="https://www.facebook.com/share/1LUi4tsig3/" TargetMode="External"/><Relationship Id="rId1987" Type="http://schemas.openxmlformats.org/officeDocument/2006/relationships/hyperlink" Target="https://www.facebook.com/share/17ZAza6sH5/" TargetMode="External"/><Relationship Id="rId1504" Type="http://schemas.openxmlformats.org/officeDocument/2006/relationships/hyperlink" Target="https://www.facebook.com/share/1EZ24v5RFB/" TargetMode="External"/><Relationship Id="rId1988" Type="http://schemas.openxmlformats.org/officeDocument/2006/relationships/hyperlink" Target="https://www.facebook.com/share/1DTQ2dVfo1/" TargetMode="External"/><Relationship Id="rId1505" Type="http://schemas.openxmlformats.org/officeDocument/2006/relationships/hyperlink" Target="https://www.facebook.com/share/1K5diYeExW/" TargetMode="External"/><Relationship Id="rId1989" Type="http://schemas.openxmlformats.org/officeDocument/2006/relationships/hyperlink" Target="https://www.facebook.com/share/1LUi4tsig3/" TargetMode="External"/><Relationship Id="rId1506" Type="http://schemas.openxmlformats.org/officeDocument/2006/relationships/hyperlink" Target="https://www.facebook.com/share/1UQrAejni5/" TargetMode="External"/><Relationship Id="rId1507" Type="http://schemas.openxmlformats.org/officeDocument/2006/relationships/hyperlink" Target="https://www.facebook.com/share/1UQrAejni5/" TargetMode="External"/><Relationship Id="rId1508" Type="http://schemas.openxmlformats.org/officeDocument/2006/relationships/hyperlink" Target="https://www.facebook.com/share/1Cffq1a9xH/" TargetMode="External"/><Relationship Id="rId1509" Type="http://schemas.openxmlformats.org/officeDocument/2006/relationships/hyperlink" Target="https://www.facebook.com/share/1HikNfPCh3/" TargetMode="External"/><Relationship Id="rId1980" Type="http://schemas.openxmlformats.org/officeDocument/2006/relationships/hyperlink" Target="https://www.facebook.com/share/17eeeBGbLa/" TargetMode="External"/><Relationship Id="rId1981" Type="http://schemas.openxmlformats.org/officeDocument/2006/relationships/hyperlink" Target="https://www.facebook.com/share/1E8eyavQQr/" TargetMode="External"/><Relationship Id="rId1982" Type="http://schemas.openxmlformats.org/officeDocument/2006/relationships/hyperlink" Target="https://www.facebook.com/share/1CvPAKcuti/" TargetMode="External"/><Relationship Id="rId1930" Type="http://schemas.openxmlformats.org/officeDocument/2006/relationships/hyperlink" Target="https://www.facebook.com/share/1GDyhKBuzU/" TargetMode="External"/><Relationship Id="rId1931" Type="http://schemas.openxmlformats.org/officeDocument/2006/relationships/hyperlink" Target="https://www.facebook.com/share/1E2DKrQMUn/" TargetMode="External"/><Relationship Id="rId1932" Type="http://schemas.openxmlformats.org/officeDocument/2006/relationships/hyperlink" Target="https://www.facebook.com/share/1DrdJzDBkA/" TargetMode="External"/><Relationship Id="rId1933" Type="http://schemas.openxmlformats.org/officeDocument/2006/relationships/hyperlink" Target="https://www.facebook.com/share/1CHBc7RtBH/" TargetMode="External"/><Relationship Id="rId1934" Type="http://schemas.openxmlformats.org/officeDocument/2006/relationships/hyperlink" Target="https://www.facebook.com/share/1BS9Jsv2XJ/" TargetMode="External"/><Relationship Id="rId1935" Type="http://schemas.openxmlformats.org/officeDocument/2006/relationships/hyperlink" Target="https://www.facebook.com/share/1PeamR1rtx/" TargetMode="External"/><Relationship Id="rId1936" Type="http://schemas.openxmlformats.org/officeDocument/2006/relationships/hyperlink" Target="https://www.facebook.com/share/19uMT26GY7/" TargetMode="External"/><Relationship Id="rId1937" Type="http://schemas.openxmlformats.org/officeDocument/2006/relationships/hyperlink" Target="https://www.facebook.com/share/1FvVFVUZvA/" TargetMode="External"/><Relationship Id="rId1938" Type="http://schemas.openxmlformats.org/officeDocument/2006/relationships/hyperlink" Target="https://www.facebook.com/share/18jPhf6nix/" TargetMode="External"/><Relationship Id="rId1939" Type="http://schemas.openxmlformats.org/officeDocument/2006/relationships/hyperlink" Target="https://www.facebook.com/share/1AsNAxsP9V/" TargetMode="External"/><Relationship Id="rId1920" Type="http://schemas.openxmlformats.org/officeDocument/2006/relationships/hyperlink" Target="https://www.facebook.com/share/18yakgKdpu/" TargetMode="External"/><Relationship Id="rId1921" Type="http://schemas.openxmlformats.org/officeDocument/2006/relationships/hyperlink" Target="https://www.facebook.com/share/1HikNfPCh3/" TargetMode="External"/><Relationship Id="rId1922" Type="http://schemas.openxmlformats.org/officeDocument/2006/relationships/hyperlink" Target="https://www.facebook.com/share/1HikNfPCh3/" TargetMode="External"/><Relationship Id="rId1923" Type="http://schemas.openxmlformats.org/officeDocument/2006/relationships/hyperlink" Target="https://www.facebook.com/share/18tQqDrdNo/" TargetMode="External"/><Relationship Id="rId1924" Type="http://schemas.openxmlformats.org/officeDocument/2006/relationships/hyperlink" Target="https://www.facebook.com/share/18tQqDrdNo/" TargetMode="External"/><Relationship Id="rId1925" Type="http://schemas.openxmlformats.org/officeDocument/2006/relationships/hyperlink" Target="https://www.facebook.com/share/18oJ4amkW5/" TargetMode="External"/><Relationship Id="rId1926" Type="http://schemas.openxmlformats.org/officeDocument/2006/relationships/hyperlink" Target="https://www.facebook.com/share/18oJ4amkW5/" TargetMode="External"/><Relationship Id="rId1927" Type="http://schemas.openxmlformats.org/officeDocument/2006/relationships/hyperlink" Target="https://www.facebook.com/share/17nxg2gHPp/" TargetMode="External"/><Relationship Id="rId1928" Type="http://schemas.openxmlformats.org/officeDocument/2006/relationships/hyperlink" Target="https://www.facebook.com/share/17TmUS6LZ7/" TargetMode="External"/><Relationship Id="rId1929" Type="http://schemas.openxmlformats.org/officeDocument/2006/relationships/hyperlink" Target="https://www.facebook.com/share/14h69PdEaoa/" TargetMode="External"/><Relationship Id="rId1950" Type="http://schemas.openxmlformats.org/officeDocument/2006/relationships/hyperlink" Target="https://www.facebook.com/share/17g5WZs5Km/" TargetMode="External"/><Relationship Id="rId1951" Type="http://schemas.openxmlformats.org/officeDocument/2006/relationships/hyperlink" Target="https://www.facebook.com/share/1FvVFVUZvA/" TargetMode="External"/><Relationship Id="rId1952" Type="http://schemas.openxmlformats.org/officeDocument/2006/relationships/hyperlink" Target="https://www.facebook.com/share/18TogCihim/" TargetMode="External"/><Relationship Id="rId1953" Type="http://schemas.openxmlformats.org/officeDocument/2006/relationships/hyperlink" Target="https://www.facebook.com/share/1AG4dJSmzw/" TargetMode="External"/><Relationship Id="rId1954" Type="http://schemas.openxmlformats.org/officeDocument/2006/relationships/hyperlink" Target="https://www.facebook.com/share/1CnRx5PLxr/" TargetMode="External"/><Relationship Id="rId1955" Type="http://schemas.openxmlformats.org/officeDocument/2006/relationships/hyperlink" Target="https://www.facebook.com/share/1Gc2owLweh/" TargetMode="External"/><Relationship Id="rId1956" Type="http://schemas.openxmlformats.org/officeDocument/2006/relationships/hyperlink" Target="https://www.facebook.com/share/1Ni2aEaSjh/" TargetMode="External"/><Relationship Id="rId1957" Type="http://schemas.openxmlformats.org/officeDocument/2006/relationships/hyperlink" Target="https://www.facebook.com/share/18vLX7S3KY/" TargetMode="External"/><Relationship Id="rId1958" Type="http://schemas.openxmlformats.org/officeDocument/2006/relationships/hyperlink" Target="https://www.facebook.com/share/1YTwH1QiJ9/" TargetMode="External"/><Relationship Id="rId1959" Type="http://schemas.openxmlformats.org/officeDocument/2006/relationships/hyperlink" Target="https://www.facebook.com/share/1BZPRhH72x/" TargetMode="External"/><Relationship Id="rId1940" Type="http://schemas.openxmlformats.org/officeDocument/2006/relationships/hyperlink" Target="https://www.facebook.com/share/1Ku8ouonzf/" TargetMode="External"/><Relationship Id="rId1941" Type="http://schemas.openxmlformats.org/officeDocument/2006/relationships/hyperlink" Target="https://www.facebook.com/share/1CeLi4ZVUH/" TargetMode="External"/><Relationship Id="rId1942" Type="http://schemas.openxmlformats.org/officeDocument/2006/relationships/hyperlink" Target="https://www.facebook.com/share/14dTCwwUt3J/" TargetMode="External"/><Relationship Id="rId1943" Type="http://schemas.openxmlformats.org/officeDocument/2006/relationships/hyperlink" Target="https://www.facebook.com/share/1DmGHVjEx7/" TargetMode="External"/><Relationship Id="rId1944" Type="http://schemas.openxmlformats.org/officeDocument/2006/relationships/hyperlink" Target="https://www.facebook.com/share/1Li3dvTmn1/" TargetMode="External"/><Relationship Id="rId1945" Type="http://schemas.openxmlformats.org/officeDocument/2006/relationships/hyperlink" Target="https://www.facebook.com/share/1NGyoceqER/" TargetMode="External"/><Relationship Id="rId1946" Type="http://schemas.openxmlformats.org/officeDocument/2006/relationships/hyperlink" Target="https://www.facebook.com/share/18hqpSHbBk/" TargetMode="External"/><Relationship Id="rId1947" Type="http://schemas.openxmlformats.org/officeDocument/2006/relationships/hyperlink" Target="https://www.facebook.com/share/17TTqnQAHa/" TargetMode="External"/><Relationship Id="rId1948" Type="http://schemas.openxmlformats.org/officeDocument/2006/relationships/hyperlink" Target="https://www.facebook.com/share/1HarZiaQJZ/" TargetMode="External"/><Relationship Id="rId1949" Type="http://schemas.openxmlformats.org/officeDocument/2006/relationships/hyperlink" Target="https://www.facebook.com/share/1H7j9fY8f4/" TargetMode="External"/><Relationship Id="rId1576" Type="http://schemas.openxmlformats.org/officeDocument/2006/relationships/hyperlink" Target="https://www.facebook.com/share/1EZ24v5RFB/" TargetMode="External"/><Relationship Id="rId1577" Type="http://schemas.openxmlformats.org/officeDocument/2006/relationships/hyperlink" Target="https://www.facebook.com/share/1CgMV7fayL/" TargetMode="External"/><Relationship Id="rId1578" Type="http://schemas.openxmlformats.org/officeDocument/2006/relationships/hyperlink" Target="https://www.facebook.com/share/1HikNfPCh3/" TargetMode="External"/><Relationship Id="rId1579" Type="http://schemas.openxmlformats.org/officeDocument/2006/relationships/hyperlink" Target="https://www.facebook.com/share/1LeFxRDk7j/" TargetMode="External"/><Relationship Id="rId509" Type="http://schemas.openxmlformats.org/officeDocument/2006/relationships/hyperlink" Target="https://www.facebook.com/share/1JbnKjuq2H/" TargetMode="External"/><Relationship Id="rId508" Type="http://schemas.openxmlformats.org/officeDocument/2006/relationships/hyperlink" Target="https://www.facebook.com/share/1JbnKjuq2H/" TargetMode="External"/><Relationship Id="rId503" Type="http://schemas.openxmlformats.org/officeDocument/2006/relationships/hyperlink" Target="https://www.facebook.com/share/1ApS2gcSc7/" TargetMode="External"/><Relationship Id="rId987" Type="http://schemas.openxmlformats.org/officeDocument/2006/relationships/hyperlink" Target="https://www.facebook.com/share/1TCXQdGyHu/" TargetMode="External"/><Relationship Id="rId502" Type="http://schemas.openxmlformats.org/officeDocument/2006/relationships/hyperlink" Target="https://www.facebook.com/share/1ApS2gcSc7/" TargetMode="External"/><Relationship Id="rId986" Type="http://schemas.openxmlformats.org/officeDocument/2006/relationships/hyperlink" Target="https://www.facebook.com/share/1TCXQdGyHu/" TargetMode="External"/><Relationship Id="rId501" Type="http://schemas.openxmlformats.org/officeDocument/2006/relationships/hyperlink" Target="https://www.facebook.com/share/14YqPxXyxT2/" TargetMode="External"/><Relationship Id="rId985" Type="http://schemas.openxmlformats.org/officeDocument/2006/relationships/hyperlink" Target="https://www.facebook.com/share/1Cavxcv1jx/" TargetMode="External"/><Relationship Id="rId500" Type="http://schemas.openxmlformats.org/officeDocument/2006/relationships/hyperlink" Target="https://www.facebook.com/share/14YqPxXyxT2/" TargetMode="External"/><Relationship Id="rId984" Type="http://schemas.openxmlformats.org/officeDocument/2006/relationships/hyperlink" Target="https://www.facebook.com/share/1Cavxcv1jx/" TargetMode="External"/><Relationship Id="rId507" Type="http://schemas.openxmlformats.org/officeDocument/2006/relationships/hyperlink" Target="https://www.facebook.com/share/1JbnKjuq2H/" TargetMode="External"/><Relationship Id="rId506" Type="http://schemas.openxmlformats.org/officeDocument/2006/relationships/hyperlink" Target="https://www.facebook.com/share/1JbnKjuq2H/" TargetMode="External"/><Relationship Id="rId505" Type="http://schemas.openxmlformats.org/officeDocument/2006/relationships/hyperlink" Target="https://www.facebook.com/share/1JbnKjuq2H/" TargetMode="External"/><Relationship Id="rId989" Type="http://schemas.openxmlformats.org/officeDocument/2006/relationships/hyperlink" Target="https://www.facebook.com/share/1CjAnwVYoi/" TargetMode="External"/><Relationship Id="rId504" Type="http://schemas.openxmlformats.org/officeDocument/2006/relationships/hyperlink" Target="https://www.facebook.com/share/1JbnKjuq2H/" TargetMode="External"/><Relationship Id="rId988" Type="http://schemas.openxmlformats.org/officeDocument/2006/relationships/hyperlink" Target="https://www.facebook.com/share/1CtCcxfpvc/" TargetMode="External"/><Relationship Id="rId1570" Type="http://schemas.openxmlformats.org/officeDocument/2006/relationships/hyperlink" Target="https://www.facebook.com/share/1c3DPxsS2c/" TargetMode="External"/><Relationship Id="rId1571" Type="http://schemas.openxmlformats.org/officeDocument/2006/relationships/hyperlink" Target="https://www.facebook.com/share/186idembtz/" TargetMode="External"/><Relationship Id="rId983" Type="http://schemas.openxmlformats.org/officeDocument/2006/relationships/hyperlink" Target="https://www.facebook.com/share/1CeJCnXV9e/" TargetMode="External"/><Relationship Id="rId1572" Type="http://schemas.openxmlformats.org/officeDocument/2006/relationships/hyperlink" Target="https://www.facebook.com/share/18dFv9vaZ1/" TargetMode="External"/><Relationship Id="rId982" Type="http://schemas.openxmlformats.org/officeDocument/2006/relationships/hyperlink" Target="https://www.facebook.com/share/1CgSbHEeHM/" TargetMode="External"/><Relationship Id="rId1573" Type="http://schemas.openxmlformats.org/officeDocument/2006/relationships/hyperlink" Target="https://www.facebook.com/share/1EY9qvjffP/" TargetMode="External"/><Relationship Id="rId981" Type="http://schemas.openxmlformats.org/officeDocument/2006/relationships/hyperlink" Target="https://www.facebook.com/share/1CgSbHEeHM/" TargetMode="External"/><Relationship Id="rId1574" Type="http://schemas.openxmlformats.org/officeDocument/2006/relationships/hyperlink" Target="https://www.facebook.com/share/1XfokEeZNY/" TargetMode="External"/><Relationship Id="rId980" Type="http://schemas.openxmlformats.org/officeDocument/2006/relationships/hyperlink" Target="https://www.facebook.com/share/1CDSe3L3U9/" TargetMode="External"/><Relationship Id="rId1575" Type="http://schemas.openxmlformats.org/officeDocument/2006/relationships/hyperlink" Target="https://www.facebook.com/share/1Cffq1a9xH/" TargetMode="External"/><Relationship Id="rId1565" Type="http://schemas.openxmlformats.org/officeDocument/2006/relationships/hyperlink" Target="https://www.facebook.com/share/17SyS1d3YA/" TargetMode="External"/><Relationship Id="rId1566" Type="http://schemas.openxmlformats.org/officeDocument/2006/relationships/hyperlink" Target="https://www.facebook.com/share/1GrBhA7Ygk/" TargetMode="External"/><Relationship Id="rId1567" Type="http://schemas.openxmlformats.org/officeDocument/2006/relationships/hyperlink" Target="https://www.facebook.com/share/1DrdJzDBkA/" TargetMode="External"/><Relationship Id="rId1568" Type="http://schemas.openxmlformats.org/officeDocument/2006/relationships/hyperlink" Target="https://www.facebook.com/share/1E6wZyujuc/" TargetMode="External"/><Relationship Id="rId1569" Type="http://schemas.openxmlformats.org/officeDocument/2006/relationships/hyperlink" Target="https://www.facebook.com/share/1c3DPxsS2c/" TargetMode="External"/><Relationship Id="rId976" Type="http://schemas.openxmlformats.org/officeDocument/2006/relationships/hyperlink" Target="https://www.facebook.com/share/18HZkbQHqA/" TargetMode="External"/><Relationship Id="rId975" Type="http://schemas.openxmlformats.org/officeDocument/2006/relationships/hyperlink" Target="https://www.facebook.com/share/18ZwtqcTCZ/" TargetMode="External"/><Relationship Id="rId974" Type="http://schemas.openxmlformats.org/officeDocument/2006/relationships/hyperlink" Target="https://www.facebook.com/share/18ZwtqcTCZ/" TargetMode="External"/><Relationship Id="rId973" Type="http://schemas.openxmlformats.org/officeDocument/2006/relationships/hyperlink" Target="https://www.facebook.com/share/18JPVoaP72/" TargetMode="External"/><Relationship Id="rId979" Type="http://schemas.openxmlformats.org/officeDocument/2006/relationships/hyperlink" Target="https://www.facebook.com/share/1CDSe3L3U9/" TargetMode="External"/><Relationship Id="rId978" Type="http://schemas.openxmlformats.org/officeDocument/2006/relationships/hyperlink" Target="https://www.facebook.com/m.dggiuu001" TargetMode="External"/><Relationship Id="rId977" Type="http://schemas.openxmlformats.org/officeDocument/2006/relationships/hyperlink" Target="https://www.facebook.com/share/18HZkbQHqA/" TargetMode="External"/><Relationship Id="rId1560" Type="http://schemas.openxmlformats.org/officeDocument/2006/relationships/hyperlink" Target="https://www.facebook.com/share/19Hu8A6rHG/" TargetMode="External"/><Relationship Id="rId972" Type="http://schemas.openxmlformats.org/officeDocument/2006/relationships/hyperlink" Target="https://www.facebook.com/share/18JPVoaP72/" TargetMode="External"/><Relationship Id="rId1561" Type="http://schemas.openxmlformats.org/officeDocument/2006/relationships/hyperlink" Target="https://www.facebook.com/share/1UWuJf3ES5/" TargetMode="External"/><Relationship Id="rId971" Type="http://schemas.openxmlformats.org/officeDocument/2006/relationships/hyperlink" Target="https://www.facebook.com/share/18K2Pad6yy/" TargetMode="External"/><Relationship Id="rId1562" Type="http://schemas.openxmlformats.org/officeDocument/2006/relationships/hyperlink" Target="https://www.facebook.com/share/1Cffq1a9xH/" TargetMode="External"/><Relationship Id="rId970" Type="http://schemas.openxmlformats.org/officeDocument/2006/relationships/hyperlink" Target="https://www.facebook.com/share/18K2Pad6yy/" TargetMode="External"/><Relationship Id="rId1563" Type="http://schemas.openxmlformats.org/officeDocument/2006/relationships/hyperlink" Target="https://www.facebook.com/share/1Cffq1a9xH/" TargetMode="External"/><Relationship Id="rId1564" Type="http://schemas.openxmlformats.org/officeDocument/2006/relationships/hyperlink" Target="https://www.facebook.com/share/1Cffq1a9xH/" TargetMode="External"/><Relationship Id="rId1114" Type="http://schemas.openxmlformats.org/officeDocument/2006/relationships/hyperlink" Target="https://www.facebook.com/share/1CDSe3L3U9/" TargetMode="External"/><Relationship Id="rId1598" Type="http://schemas.openxmlformats.org/officeDocument/2006/relationships/hyperlink" Target="https://www.facebook.com/share/1CcDaqQMBM/" TargetMode="External"/><Relationship Id="rId1115" Type="http://schemas.openxmlformats.org/officeDocument/2006/relationships/hyperlink" Target="https://www.facebook.com/share/1QP3QmRxaW/" TargetMode="External"/><Relationship Id="rId1599" Type="http://schemas.openxmlformats.org/officeDocument/2006/relationships/hyperlink" Target="https://www.facebook.com/share/1E5L6upzSm/" TargetMode="External"/><Relationship Id="rId1116" Type="http://schemas.openxmlformats.org/officeDocument/2006/relationships/hyperlink" Target="https://www.facebook.com/share/1QP3QmRxaW/" TargetMode="External"/><Relationship Id="rId1117" Type="http://schemas.openxmlformats.org/officeDocument/2006/relationships/hyperlink" Target="https://www.facebook.com/share/1AW1uVathJ/" TargetMode="External"/><Relationship Id="rId1118" Type="http://schemas.openxmlformats.org/officeDocument/2006/relationships/hyperlink" Target="https://www.facebook.com/share/1AW1uVathJ/" TargetMode="External"/><Relationship Id="rId1119" Type="http://schemas.openxmlformats.org/officeDocument/2006/relationships/hyperlink" Target="https://www.facebook.com/share/1AW1uVathJ/" TargetMode="External"/><Relationship Id="rId525" Type="http://schemas.openxmlformats.org/officeDocument/2006/relationships/hyperlink" Target="https://www.facebook.com/share/1AzYbCvnum/" TargetMode="External"/><Relationship Id="rId524" Type="http://schemas.openxmlformats.org/officeDocument/2006/relationships/hyperlink" Target="https://www.facebook.com/share/1CqgCxaWNi/" TargetMode="External"/><Relationship Id="rId523" Type="http://schemas.openxmlformats.org/officeDocument/2006/relationships/hyperlink" Target="https://www.facebook.com/share/1CqgCxaWNi/" TargetMode="External"/><Relationship Id="rId522" Type="http://schemas.openxmlformats.org/officeDocument/2006/relationships/hyperlink" Target="https://www.facebook.com/share/1CqgCxaWNi/" TargetMode="External"/><Relationship Id="rId529" Type="http://schemas.openxmlformats.org/officeDocument/2006/relationships/hyperlink" Target="https://www.facebook.com/share/1CXzX14Tdh/" TargetMode="External"/><Relationship Id="rId528" Type="http://schemas.openxmlformats.org/officeDocument/2006/relationships/hyperlink" Target="https://www.facebook.com/share/18Fc4dCD39/" TargetMode="External"/><Relationship Id="rId527" Type="http://schemas.openxmlformats.org/officeDocument/2006/relationships/hyperlink" Target="https://www.facebook.com/share/1AzYbCvnum/" TargetMode="External"/><Relationship Id="rId526" Type="http://schemas.openxmlformats.org/officeDocument/2006/relationships/hyperlink" Target="https://www.facebook.com/share/1AzYbCvnum/" TargetMode="External"/><Relationship Id="rId1590" Type="http://schemas.openxmlformats.org/officeDocument/2006/relationships/hyperlink" Target="https://www.facebook.com/share/18aY4VNurM/" TargetMode="External"/><Relationship Id="rId1591" Type="http://schemas.openxmlformats.org/officeDocument/2006/relationships/hyperlink" Target="https://www.facebook.com/share/18aY4VNurM/" TargetMode="External"/><Relationship Id="rId1592" Type="http://schemas.openxmlformats.org/officeDocument/2006/relationships/hyperlink" Target="https://www.facebook.com/share/18aY4VNurM/" TargetMode="External"/><Relationship Id="rId1593" Type="http://schemas.openxmlformats.org/officeDocument/2006/relationships/hyperlink" Target="https://www.facebook.com/share/18aY4VNurM/" TargetMode="External"/><Relationship Id="rId521" Type="http://schemas.openxmlformats.org/officeDocument/2006/relationships/hyperlink" Target="https://www.facebook.com/share/1CqgCxaWNi/" TargetMode="External"/><Relationship Id="rId1110" Type="http://schemas.openxmlformats.org/officeDocument/2006/relationships/hyperlink" Target="https://www.facebook.com/share/1BvfJmyJtn/" TargetMode="External"/><Relationship Id="rId1594" Type="http://schemas.openxmlformats.org/officeDocument/2006/relationships/hyperlink" Target="https://www.facebook.com/share/18aY4VNurM/" TargetMode="External"/><Relationship Id="rId520" Type="http://schemas.openxmlformats.org/officeDocument/2006/relationships/hyperlink" Target="https://www.facebook.com/share/18h61E9686/" TargetMode="External"/><Relationship Id="rId1111" Type="http://schemas.openxmlformats.org/officeDocument/2006/relationships/hyperlink" Target="https://www.facebook.com/share/1BvfJmyJtn/" TargetMode="External"/><Relationship Id="rId1595" Type="http://schemas.openxmlformats.org/officeDocument/2006/relationships/hyperlink" Target="https://www.facebook.com/share/18aY4VNurM/" TargetMode="External"/><Relationship Id="rId1112" Type="http://schemas.openxmlformats.org/officeDocument/2006/relationships/hyperlink" Target="https://www.facebook.com/share/1BvfJmyJtn/" TargetMode="External"/><Relationship Id="rId1596" Type="http://schemas.openxmlformats.org/officeDocument/2006/relationships/hyperlink" Target="https://www.facebook.com/share/18aY4VNurM/" TargetMode="External"/><Relationship Id="rId1113" Type="http://schemas.openxmlformats.org/officeDocument/2006/relationships/hyperlink" Target="https://www.facebook.com/share/1CDSe3L3U9/" TargetMode="External"/><Relationship Id="rId1597" Type="http://schemas.openxmlformats.org/officeDocument/2006/relationships/hyperlink" Target="https://www.facebook.com/share/1Av4dMPYic/" TargetMode="External"/><Relationship Id="rId1103" Type="http://schemas.openxmlformats.org/officeDocument/2006/relationships/hyperlink" Target="https://www.facebook.com/share/1D5FNq918g/" TargetMode="External"/><Relationship Id="rId1587" Type="http://schemas.openxmlformats.org/officeDocument/2006/relationships/hyperlink" Target="https://www.facebook.com/share/1JGY9qPVVR/" TargetMode="External"/><Relationship Id="rId1104" Type="http://schemas.openxmlformats.org/officeDocument/2006/relationships/hyperlink" Target="https://www.facebook.com/share/1D5FNq918g/" TargetMode="External"/><Relationship Id="rId1588" Type="http://schemas.openxmlformats.org/officeDocument/2006/relationships/hyperlink" Target="https://www.facebook.com/share/18aY4VNurM/" TargetMode="External"/><Relationship Id="rId1105" Type="http://schemas.openxmlformats.org/officeDocument/2006/relationships/hyperlink" Target="https://www.facebook.com/share/1CYmUGmuFH/" TargetMode="External"/><Relationship Id="rId1589" Type="http://schemas.openxmlformats.org/officeDocument/2006/relationships/hyperlink" Target="https://www.facebook.com/share/18aY4VNurM/" TargetMode="External"/><Relationship Id="rId1106" Type="http://schemas.openxmlformats.org/officeDocument/2006/relationships/hyperlink" Target="https://www.facebook.com/share/1Gwx8ScyXz/" TargetMode="External"/><Relationship Id="rId1107" Type="http://schemas.openxmlformats.org/officeDocument/2006/relationships/hyperlink" Target="https://www.facebook.com/share/1Gwx8ScyXz/" TargetMode="External"/><Relationship Id="rId1108" Type="http://schemas.openxmlformats.org/officeDocument/2006/relationships/hyperlink" Target="https://www.facebook.com/share/1Gwx8ScyXz/" TargetMode="External"/><Relationship Id="rId1109" Type="http://schemas.openxmlformats.org/officeDocument/2006/relationships/hyperlink" Target="https://www.facebook.com/share/1BvfJmyJtn/" TargetMode="External"/><Relationship Id="rId519" Type="http://schemas.openxmlformats.org/officeDocument/2006/relationships/hyperlink" Target="https://www.facebook.com/share/18h61E9686/" TargetMode="External"/><Relationship Id="rId514" Type="http://schemas.openxmlformats.org/officeDocument/2006/relationships/hyperlink" Target="https://www.facebook.com/share/1GnkuzoUDy/" TargetMode="External"/><Relationship Id="rId998" Type="http://schemas.openxmlformats.org/officeDocument/2006/relationships/hyperlink" Target="https://www.facebook.com/share/15jTpvp9ZSK/" TargetMode="External"/><Relationship Id="rId513" Type="http://schemas.openxmlformats.org/officeDocument/2006/relationships/hyperlink" Target="https://www.facebook.com/share/1CMFgekJma/" TargetMode="External"/><Relationship Id="rId997" Type="http://schemas.openxmlformats.org/officeDocument/2006/relationships/hyperlink" Target="https://www.facebook.com/share/15jTpvp9ZSK/" TargetMode="External"/><Relationship Id="rId512" Type="http://schemas.openxmlformats.org/officeDocument/2006/relationships/hyperlink" Target="https://www.facebook.com/share/1CMFgekJma/" TargetMode="External"/><Relationship Id="rId996" Type="http://schemas.openxmlformats.org/officeDocument/2006/relationships/hyperlink" Target="https://www.facebook.com/share/185DjMFJn3/" TargetMode="External"/><Relationship Id="rId511" Type="http://schemas.openxmlformats.org/officeDocument/2006/relationships/hyperlink" Target="https://www.facebook.com/share/1JACjH39ro/" TargetMode="External"/><Relationship Id="rId995" Type="http://schemas.openxmlformats.org/officeDocument/2006/relationships/hyperlink" Target="https://www.facebook.com/share/185DjMFJn3/" TargetMode="External"/><Relationship Id="rId518" Type="http://schemas.openxmlformats.org/officeDocument/2006/relationships/hyperlink" Target="https://www.facebook.com/share/18h61E9686/" TargetMode="External"/><Relationship Id="rId517" Type="http://schemas.openxmlformats.org/officeDocument/2006/relationships/hyperlink" Target="https://www.facebook.com/share/1Sbjq2GBhf/" TargetMode="External"/><Relationship Id="rId516" Type="http://schemas.openxmlformats.org/officeDocument/2006/relationships/hyperlink" Target="https://www.facebook.com/thanhvan2802" TargetMode="External"/><Relationship Id="rId515" Type="http://schemas.openxmlformats.org/officeDocument/2006/relationships/hyperlink" Target="https://www.facebook.com/thanhvan2802" TargetMode="External"/><Relationship Id="rId999" Type="http://schemas.openxmlformats.org/officeDocument/2006/relationships/hyperlink" Target="https://www.facebook.com/share/1EHXz48UTB/" TargetMode="External"/><Relationship Id="rId990" Type="http://schemas.openxmlformats.org/officeDocument/2006/relationships/hyperlink" Target="https://www.facebook.com/share/1CjAnwVYoi/" TargetMode="External"/><Relationship Id="rId1580" Type="http://schemas.openxmlformats.org/officeDocument/2006/relationships/hyperlink" Target="https://www.facebook.com/share/1HrZ9ouia6/" TargetMode="External"/><Relationship Id="rId1581" Type="http://schemas.openxmlformats.org/officeDocument/2006/relationships/hyperlink" Target="https://www.facebook.com/share/1HrZ9ouia6/" TargetMode="External"/><Relationship Id="rId1582" Type="http://schemas.openxmlformats.org/officeDocument/2006/relationships/hyperlink" Target="https://www.facebook.com/share/1J1PG3QJug/" TargetMode="External"/><Relationship Id="rId510" Type="http://schemas.openxmlformats.org/officeDocument/2006/relationships/hyperlink" Target="https://www.facebook.com/share/1JACjH39ro/" TargetMode="External"/><Relationship Id="rId994" Type="http://schemas.openxmlformats.org/officeDocument/2006/relationships/hyperlink" Target="https://www.facebook.com/share/185DjMFJn3/" TargetMode="External"/><Relationship Id="rId1583" Type="http://schemas.openxmlformats.org/officeDocument/2006/relationships/hyperlink" Target="https://www.facebook.com/share/1NJCC5ambN/" TargetMode="External"/><Relationship Id="rId993" Type="http://schemas.openxmlformats.org/officeDocument/2006/relationships/hyperlink" Target="https://www.facebook.com/share/1DdyQRNQru/" TargetMode="External"/><Relationship Id="rId1100" Type="http://schemas.openxmlformats.org/officeDocument/2006/relationships/hyperlink" Target="https://www.facebook.com/share/1D5FNq918g/" TargetMode="External"/><Relationship Id="rId1584" Type="http://schemas.openxmlformats.org/officeDocument/2006/relationships/hyperlink" Target="https://www.facebook.com/share/1U6UvgrcRU/" TargetMode="External"/><Relationship Id="rId992" Type="http://schemas.openxmlformats.org/officeDocument/2006/relationships/hyperlink" Target="https://www.facebook.com/share/1BMUWS2THL/" TargetMode="External"/><Relationship Id="rId1101" Type="http://schemas.openxmlformats.org/officeDocument/2006/relationships/hyperlink" Target="https://www.facebook.com/share/1D5FNq918g/" TargetMode="External"/><Relationship Id="rId1585" Type="http://schemas.openxmlformats.org/officeDocument/2006/relationships/hyperlink" Target="https://www.facebook.com/share/1U6UvgrcRU/" TargetMode="External"/><Relationship Id="rId991" Type="http://schemas.openxmlformats.org/officeDocument/2006/relationships/hyperlink" Target="https://www.facebook.com/share/1BMUWS2THL/" TargetMode="External"/><Relationship Id="rId1102" Type="http://schemas.openxmlformats.org/officeDocument/2006/relationships/hyperlink" Target="https://www.facebook.com/share/1D5FNq918g/" TargetMode="External"/><Relationship Id="rId1586" Type="http://schemas.openxmlformats.org/officeDocument/2006/relationships/hyperlink" Target="https://www.facebook.com/share/1JGY9qPVVR/" TargetMode="External"/><Relationship Id="rId1532" Type="http://schemas.openxmlformats.org/officeDocument/2006/relationships/hyperlink" Target="https://www.facebook.com/share/1Cffq1a9xH/" TargetMode="External"/><Relationship Id="rId1533" Type="http://schemas.openxmlformats.org/officeDocument/2006/relationships/hyperlink" Target="https://www.facebook.com/share/1Cffq1a9xH/" TargetMode="External"/><Relationship Id="rId1534" Type="http://schemas.openxmlformats.org/officeDocument/2006/relationships/hyperlink" Target="https://www.facebook.com/share/1Cffq1a9xH/" TargetMode="External"/><Relationship Id="rId1535" Type="http://schemas.openxmlformats.org/officeDocument/2006/relationships/hyperlink" Target="https://www.facebook.com/share/1Cffq1a9xH/" TargetMode="External"/><Relationship Id="rId1536" Type="http://schemas.openxmlformats.org/officeDocument/2006/relationships/hyperlink" Target="https://www.facebook.com/share/1E549gtCY9/" TargetMode="External"/><Relationship Id="rId1537" Type="http://schemas.openxmlformats.org/officeDocument/2006/relationships/hyperlink" Target="https://www.facebook.com/share/1E549gtCY9/" TargetMode="External"/><Relationship Id="rId1538" Type="http://schemas.openxmlformats.org/officeDocument/2006/relationships/hyperlink" Target="https://www.facebook.com/share/1E549gtCY9/" TargetMode="External"/><Relationship Id="rId1539" Type="http://schemas.openxmlformats.org/officeDocument/2006/relationships/hyperlink" Target="https://www.facebook.com/share/1B5iU8nArN/" TargetMode="External"/><Relationship Id="rId949" Type="http://schemas.openxmlformats.org/officeDocument/2006/relationships/hyperlink" Target="https://www.facebook.com/share/1Bn9V1jnik/" TargetMode="External"/><Relationship Id="rId948" Type="http://schemas.openxmlformats.org/officeDocument/2006/relationships/hyperlink" Target="https://www.facebook.com/share/1Bn9V1jnik/" TargetMode="External"/><Relationship Id="rId943" Type="http://schemas.openxmlformats.org/officeDocument/2006/relationships/hyperlink" Target="https://www.facebook.com/share/1DTQ2dVfo1/" TargetMode="External"/><Relationship Id="rId942" Type="http://schemas.openxmlformats.org/officeDocument/2006/relationships/hyperlink" Target="https://www.facebook.com/share/1BTqqfKWFP/" TargetMode="External"/><Relationship Id="rId941" Type="http://schemas.openxmlformats.org/officeDocument/2006/relationships/hyperlink" Target="https://www.facebook.com/share/1BTqqfKWFP/" TargetMode="External"/><Relationship Id="rId940" Type="http://schemas.openxmlformats.org/officeDocument/2006/relationships/hyperlink" Target="https://www.facebook.com/share/1BTqqfKWFP/" TargetMode="External"/><Relationship Id="rId947" Type="http://schemas.openxmlformats.org/officeDocument/2006/relationships/hyperlink" Target="https://www.facebook.com/share/1Bn9V1jnik/" TargetMode="External"/><Relationship Id="rId946" Type="http://schemas.openxmlformats.org/officeDocument/2006/relationships/hyperlink" Target="https://www.facebook.com/share/1Bn9V1jnik/" TargetMode="External"/><Relationship Id="rId945" Type="http://schemas.openxmlformats.org/officeDocument/2006/relationships/hyperlink" Target="https://www.facebook.com/share/1AmjHmcL7U/" TargetMode="External"/><Relationship Id="rId944" Type="http://schemas.openxmlformats.org/officeDocument/2006/relationships/hyperlink" Target="https://www.facebook.com/share/1AmjHmcL7U/" TargetMode="External"/><Relationship Id="rId1530" Type="http://schemas.openxmlformats.org/officeDocument/2006/relationships/hyperlink" Target="https://www.facebook.com/share/1EPXzdBrTi/" TargetMode="External"/><Relationship Id="rId1531" Type="http://schemas.openxmlformats.org/officeDocument/2006/relationships/hyperlink" Target="https://www.facebook.com/share/1EPXzdBrTi/" TargetMode="External"/><Relationship Id="rId1521" Type="http://schemas.openxmlformats.org/officeDocument/2006/relationships/hyperlink" Target="https://www.facebook.com/share/14aQ2nJk4Ts/" TargetMode="External"/><Relationship Id="rId1522" Type="http://schemas.openxmlformats.org/officeDocument/2006/relationships/hyperlink" Target="https://www.facebook.com/share/1UWuJf3ES5/" TargetMode="External"/><Relationship Id="rId1523" Type="http://schemas.openxmlformats.org/officeDocument/2006/relationships/hyperlink" Target="https://www.facebook.com/share/1HESFa9Syb/" TargetMode="External"/><Relationship Id="rId1524" Type="http://schemas.openxmlformats.org/officeDocument/2006/relationships/hyperlink" Target="https://www.facebook.com/share/1PzpXCteua/" TargetMode="External"/><Relationship Id="rId1525" Type="http://schemas.openxmlformats.org/officeDocument/2006/relationships/hyperlink" Target="https://www.facebook.com/share/1CtBiYGm4L/" TargetMode="External"/><Relationship Id="rId1526" Type="http://schemas.openxmlformats.org/officeDocument/2006/relationships/hyperlink" Target="https://www.facebook.com/share/1AwAT1gfU8/" TargetMode="External"/><Relationship Id="rId1527" Type="http://schemas.openxmlformats.org/officeDocument/2006/relationships/hyperlink" Target="https://www.facebook.com/share/18qXvbRRhm/" TargetMode="External"/><Relationship Id="rId1528" Type="http://schemas.openxmlformats.org/officeDocument/2006/relationships/hyperlink" Target="https://www.facebook.com/share/14h69PdEaoa/" TargetMode="External"/><Relationship Id="rId1529" Type="http://schemas.openxmlformats.org/officeDocument/2006/relationships/hyperlink" Target="https://www.facebook.com/share/18h9z8fh1E/" TargetMode="External"/><Relationship Id="rId939" Type="http://schemas.openxmlformats.org/officeDocument/2006/relationships/hyperlink" Target="https://www.facebook.com/share/1FuEWUr1wr/" TargetMode="External"/><Relationship Id="rId938" Type="http://schemas.openxmlformats.org/officeDocument/2006/relationships/hyperlink" Target="https://www.facebook.com/share/1FuEWUr1wr/" TargetMode="External"/><Relationship Id="rId937" Type="http://schemas.openxmlformats.org/officeDocument/2006/relationships/hyperlink" Target="https://www.facebook.com/share/1FuEWUr1wr/" TargetMode="External"/><Relationship Id="rId932" Type="http://schemas.openxmlformats.org/officeDocument/2006/relationships/hyperlink" Target="https://www.facebook.com/share/1ArXqxRFPC/" TargetMode="External"/><Relationship Id="rId931" Type="http://schemas.openxmlformats.org/officeDocument/2006/relationships/hyperlink" Target="https://www.facebook.com/share/1ECFJFWvRA/" TargetMode="External"/><Relationship Id="rId930" Type="http://schemas.openxmlformats.org/officeDocument/2006/relationships/hyperlink" Target="https://www.facebook.com/share/1ECFJFWvRA/" TargetMode="External"/><Relationship Id="rId936" Type="http://schemas.openxmlformats.org/officeDocument/2006/relationships/hyperlink" Target="https://www.facebook.com/share/1Dt23VSuiV/" TargetMode="External"/><Relationship Id="rId935" Type="http://schemas.openxmlformats.org/officeDocument/2006/relationships/hyperlink" Target="https://www.facebook.com/share/1Dt23VSuiV/" TargetMode="External"/><Relationship Id="rId934" Type="http://schemas.openxmlformats.org/officeDocument/2006/relationships/hyperlink" Target="https://www.facebook.com/share/1ArXqxRFPC/" TargetMode="External"/><Relationship Id="rId933" Type="http://schemas.openxmlformats.org/officeDocument/2006/relationships/hyperlink" Target="https://www.facebook.com/share/1ArXqxRFPC/" TargetMode="External"/><Relationship Id="rId1520" Type="http://schemas.openxmlformats.org/officeDocument/2006/relationships/hyperlink" Target="https://www.facebook.com/share/1GCoAqwy1m/" TargetMode="External"/><Relationship Id="rId1554" Type="http://schemas.openxmlformats.org/officeDocument/2006/relationships/hyperlink" Target="https://www.facebook.com/share/17AguGKEwa/" TargetMode="External"/><Relationship Id="rId1555" Type="http://schemas.openxmlformats.org/officeDocument/2006/relationships/hyperlink" Target="https://www.facebook.com/share/1EPXzdBrTi/" TargetMode="External"/><Relationship Id="rId1556" Type="http://schemas.openxmlformats.org/officeDocument/2006/relationships/hyperlink" Target="https://www.facebook.com/share/1EPXzdBrTi/" TargetMode="External"/><Relationship Id="rId1557" Type="http://schemas.openxmlformats.org/officeDocument/2006/relationships/hyperlink" Target="https://www.facebook.com/share/1DsV7KVC6i/" TargetMode="External"/><Relationship Id="rId1558" Type="http://schemas.openxmlformats.org/officeDocument/2006/relationships/hyperlink" Target="https://www.facebook.com/share/1DsV7KVC6i/" TargetMode="External"/><Relationship Id="rId1559" Type="http://schemas.openxmlformats.org/officeDocument/2006/relationships/hyperlink" Target="https://www.facebook.com/share/1AeooDejYm/" TargetMode="External"/><Relationship Id="rId965" Type="http://schemas.openxmlformats.org/officeDocument/2006/relationships/hyperlink" Target="https://www.facebook.com/profile.php?id=100014304249016" TargetMode="External"/><Relationship Id="rId964" Type="http://schemas.openxmlformats.org/officeDocument/2006/relationships/hyperlink" Target="https://www.facebook.com/share/1GBjohn9bz/" TargetMode="External"/><Relationship Id="rId963" Type="http://schemas.openxmlformats.org/officeDocument/2006/relationships/hyperlink" Target="https://www.facebook.com/share/1GBjohn9bz/" TargetMode="External"/><Relationship Id="rId962" Type="http://schemas.openxmlformats.org/officeDocument/2006/relationships/hyperlink" Target="https://www.facebook.com/share/18iSSrbNnJ/" TargetMode="External"/><Relationship Id="rId969" Type="http://schemas.openxmlformats.org/officeDocument/2006/relationships/hyperlink" Target="https://www.facebook.com/share/1Gg3vgbWjX/" TargetMode="External"/><Relationship Id="rId968" Type="http://schemas.openxmlformats.org/officeDocument/2006/relationships/hyperlink" Target="https://www.facebook.com/share/1Gg3vgbWjX/" TargetMode="External"/><Relationship Id="rId967" Type="http://schemas.openxmlformats.org/officeDocument/2006/relationships/hyperlink" Target="https://www.facebook.com/profile.php?id=100014304249016" TargetMode="External"/><Relationship Id="rId966" Type="http://schemas.openxmlformats.org/officeDocument/2006/relationships/hyperlink" Target="https://www.facebook.com/profile.php?id=100014304249016" TargetMode="External"/><Relationship Id="rId961" Type="http://schemas.openxmlformats.org/officeDocument/2006/relationships/hyperlink" Target="https://www.facebook.com/share/18pe3Jfxii/" TargetMode="External"/><Relationship Id="rId1550" Type="http://schemas.openxmlformats.org/officeDocument/2006/relationships/hyperlink" Target="https://www.facebook.com/share/1CGWyuX6qY/" TargetMode="External"/><Relationship Id="rId960" Type="http://schemas.openxmlformats.org/officeDocument/2006/relationships/hyperlink" Target="https://www.facebook.com/share/18pe3Jfxii/" TargetMode="External"/><Relationship Id="rId1551" Type="http://schemas.openxmlformats.org/officeDocument/2006/relationships/hyperlink" Target="https://www.facebook.com/share/1UQrAejni5/" TargetMode="External"/><Relationship Id="rId1552" Type="http://schemas.openxmlformats.org/officeDocument/2006/relationships/hyperlink" Target="https://www.facebook.com/share/1UQrAejni5/" TargetMode="External"/><Relationship Id="rId1553" Type="http://schemas.openxmlformats.org/officeDocument/2006/relationships/hyperlink" Target="https://www.facebook.com/share/17AguGKEwa/" TargetMode="External"/><Relationship Id="rId1543" Type="http://schemas.openxmlformats.org/officeDocument/2006/relationships/hyperlink" Target="https://www.facebook.com/share/1E8uDmku72/" TargetMode="External"/><Relationship Id="rId1544" Type="http://schemas.openxmlformats.org/officeDocument/2006/relationships/hyperlink" Target="https://www.facebook.com/share/1E8uDmku72/" TargetMode="External"/><Relationship Id="rId1545" Type="http://schemas.openxmlformats.org/officeDocument/2006/relationships/hyperlink" Target="https://www.facebook.com/share/1CdSjMZatf/" TargetMode="External"/><Relationship Id="rId1546" Type="http://schemas.openxmlformats.org/officeDocument/2006/relationships/hyperlink" Target="https://www.facebook.com/share/1CdSjMZatf/" TargetMode="External"/><Relationship Id="rId1547" Type="http://schemas.openxmlformats.org/officeDocument/2006/relationships/hyperlink" Target="https://www.facebook.com/share/1Avp9xcep2/" TargetMode="External"/><Relationship Id="rId1548" Type="http://schemas.openxmlformats.org/officeDocument/2006/relationships/hyperlink" Target="https://www.facebook.com/share/1Avp9xcep2/" TargetMode="External"/><Relationship Id="rId1549" Type="http://schemas.openxmlformats.org/officeDocument/2006/relationships/hyperlink" Target="https://www.facebook.com/share/1CGWyuX6qY/" TargetMode="External"/><Relationship Id="rId959" Type="http://schemas.openxmlformats.org/officeDocument/2006/relationships/hyperlink" Target="https://www.facebook.com/profile.php?id=100014490075446" TargetMode="External"/><Relationship Id="rId954" Type="http://schemas.openxmlformats.org/officeDocument/2006/relationships/hyperlink" Target="https://www.facebook.com/share/1GBjohn9bz/" TargetMode="External"/><Relationship Id="rId953" Type="http://schemas.openxmlformats.org/officeDocument/2006/relationships/hyperlink" Target="https://www.facebook.com/share/1GBjohn9bz/" TargetMode="External"/><Relationship Id="rId952" Type="http://schemas.openxmlformats.org/officeDocument/2006/relationships/hyperlink" Target="https://www.facebook.com/share/1H2NzHymcs/" TargetMode="External"/><Relationship Id="rId951" Type="http://schemas.openxmlformats.org/officeDocument/2006/relationships/hyperlink" Target="https://www.facebook.com/share/1GQAG1AMx3/" TargetMode="External"/><Relationship Id="rId958" Type="http://schemas.openxmlformats.org/officeDocument/2006/relationships/hyperlink" Target="https://www.facebook.com/profile.php?id=100008702644577" TargetMode="External"/><Relationship Id="rId957" Type="http://schemas.openxmlformats.org/officeDocument/2006/relationships/hyperlink" Target="https://www.facebook.com/profile.php?id=100008702644577" TargetMode="External"/><Relationship Id="rId956" Type="http://schemas.openxmlformats.org/officeDocument/2006/relationships/hyperlink" Target="https://www.facebook.com/share/1EWQDkUFoM/" TargetMode="External"/><Relationship Id="rId955" Type="http://schemas.openxmlformats.org/officeDocument/2006/relationships/hyperlink" Target="https://www.facebook.com/share/1EWQDkUFoM/" TargetMode="External"/><Relationship Id="rId950" Type="http://schemas.openxmlformats.org/officeDocument/2006/relationships/hyperlink" Target="https://www.facebook.com/share/1GQAG1AMx3/" TargetMode="External"/><Relationship Id="rId1540" Type="http://schemas.openxmlformats.org/officeDocument/2006/relationships/hyperlink" Target="https://www.facebook.com/share/1B5iU8nArN/" TargetMode="External"/><Relationship Id="rId1541" Type="http://schemas.openxmlformats.org/officeDocument/2006/relationships/hyperlink" Target="https://www.facebook.com/share/181qdgHUbQ/" TargetMode="External"/><Relationship Id="rId1542" Type="http://schemas.openxmlformats.org/officeDocument/2006/relationships/hyperlink" Target="https://www.facebook.com/share/181qdgHUbQ/" TargetMode="External"/><Relationship Id="rId2027" Type="http://schemas.openxmlformats.org/officeDocument/2006/relationships/hyperlink" Target="https://www.facebook.com/share/1Mbh6VNtp6/" TargetMode="External"/><Relationship Id="rId2028" Type="http://schemas.openxmlformats.org/officeDocument/2006/relationships/hyperlink" Target="https://www.facebook.com/share/18h9z8fh1E/" TargetMode="External"/><Relationship Id="rId2029" Type="http://schemas.openxmlformats.org/officeDocument/2006/relationships/hyperlink" Target="https://www.facebook.com/share/1FuUeGXx1B/" TargetMode="External"/><Relationship Id="rId590" Type="http://schemas.openxmlformats.org/officeDocument/2006/relationships/hyperlink" Target="https://www.facebook.com/share/1Eb1phm4Ep/" TargetMode="External"/><Relationship Id="rId107" Type="http://schemas.openxmlformats.org/officeDocument/2006/relationships/hyperlink" Target="https://www.facebook.com/profile.php?id=100037242972472" TargetMode="External"/><Relationship Id="rId106" Type="http://schemas.openxmlformats.org/officeDocument/2006/relationships/hyperlink" Target="https://www.facebook.com/share/18aTUDDXXb/" TargetMode="External"/><Relationship Id="rId105" Type="http://schemas.openxmlformats.org/officeDocument/2006/relationships/hyperlink" Target="https://www.facebook.com/profile.php?id=100014490075446" TargetMode="External"/><Relationship Id="rId589" Type="http://schemas.openxmlformats.org/officeDocument/2006/relationships/hyperlink" Target="https://www.facebook.com/share/1KyACZrGtL/" TargetMode="External"/><Relationship Id="rId104" Type="http://schemas.openxmlformats.org/officeDocument/2006/relationships/hyperlink" Target="https://www.facebook.com/profile.php?id=100014490075446" TargetMode="External"/><Relationship Id="rId588" Type="http://schemas.openxmlformats.org/officeDocument/2006/relationships/hyperlink" Target="https://www.facebook.com/share/1BJpkei63W/" TargetMode="External"/><Relationship Id="rId109" Type="http://schemas.openxmlformats.org/officeDocument/2006/relationships/hyperlink" Target="https://www.facebook.com/share/1KcCQcNJgZ/" TargetMode="External"/><Relationship Id="rId1170" Type="http://schemas.openxmlformats.org/officeDocument/2006/relationships/hyperlink" Target="https://www.facebook.com/share/18SSsD3Qeq/" TargetMode="External"/><Relationship Id="rId108" Type="http://schemas.openxmlformats.org/officeDocument/2006/relationships/hyperlink" Target="https://www.facebook.com/yen.nguyet.5477" TargetMode="External"/><Relationship Id="rId1171" Type="http://schemas.openxmlformats.org/officeDocument/2006/relationships/hyperlink" Target="https://www.facebook.com/share/1HTs6AEBrx/" TargetMode="External"/><Relationship Id="rId583" Type="http://schemas.openxmlformats.org/officeDocument/2006/relationships/hyperlink" Target="https://www.facebook.com/share/1LgM8NMG5L/" TargetMode="External"/><Relationship Id="rId1172" Type="http://schemas.openxmlformats.org/officeDocument/2006/relationships/hyperlink" Target="https://www.facebook.com/share/1U6UvgrcRU/" TargetMode="External"/><Relationship Id="rId582" Type="http://schemas.openxmlformats.org/officeDocument/2006/relationships/hyperlink" Target="https://www.facebook.com/share/1EWQDkUFoM/" TargetMode="External"/><Relationship Id="rId1173" Type="http://schemas.openxmlformats.org/officeDocument/2006/relationships/hyperlink" Target="https://www.facebook.com/share/1U6UvgrcRU/" TargetMode="External"/><Relationship Id="rId2020" Type="http://schemas.openxmlformats.org/officeDocument/2006/relationships/hyperlink" Target="https://www.facebook.com/share/1DzHHBENYf/" TargetMode="External"/><Relationship Id="rId581" Type="http://schemas.openxmlformats.org/officeDocument/2006/relationships/hyperlink" Target="https://www.facebook.com/share/1EWQDkUFoM/" TargetMode="External"/><Relationship Id="rId1174" Type="http://schemas.openxmlformats.org/officeDocument/2006/relationships/hyperlink" Target="https://www.facebook.com/share/14ZJhNiPLas/" TargetMode="External"/><Relationship Id="rId2021" Type="http://schemas.openxmlformats.org/officeDocument/2006/relationships/hyperlink" Target="https://www.facebook.com/share/18mFxooRi9/" TargetMode="External"/><Relationship Id="rId580" Type="http://schemas.openxmlformats.org/officeDocument/2006/relationships/hyperlink" Target="https://www.facebook.com/share/14WRcLocMrN/" TargetMode="External"/><Relationship Id="rId1175" Type="http://schemas.openxmlformats.org/officeDocument/2006/relationships/hyperlink" Target="https://www.facebook.com/share/1Df1Evg4Gs/" TargetMode="External"/><Relationship Id="rId2022" Type="http://schemas.openxmlformats.org/officeDocument/2006/relationships/hyperlink" Target="https://www.facebook.com/share/1bLivkrYsM/" TargetMode="External"/><Relationship Id="rId103" Type="http://schemas.openxmlformats.org/officeDocument/2006/relationships/hyperlink" Target="https://www.facebook.com/profile.php?id=100038727009326" TargetMode="External"/><Relationship Id="rId587" Type="http://schemas.openxmlformats.org/officeDocument/2006/relationships/hyperlink" Target="https://www.facebook.com/share/1BJpkei63W/" TargetMode="External"/><Relationship Id="rId1176" Type="http://schemas.openxmlformats.org/officeDocument/2006/relationships/hyperlink" Target="https://www.facebook.com/share/1Df1Evg4Gs/" TargetMode="External"/><Relationship Id="rId2023" Type="http://schemas.openxmlformats.org/officeDocument/2006/relationships/hyperlink" Target="https://www.facebook.com/share/1BgQ6bXGzT/" TargetMode="External"/><Relationship Id="rId102" Type="http://schemas.openxmlformats.org/officeDocument/2006/relationships/hyperlink" Target="https://www.facebook.com/profile.php?id=100038727009326" TargetMode="External"/><Relationship Id="rId586" Type="http://schemas.openxmlformats.org/officeDocument/2006/relationships/hyperlink" Target="https://www.facebook.com/share/1ChF38Fd3k/" TargetMode="External"/><Relationship Id="rId1177" Type="http://schemas.openxmlformats.org/officeDocument/2006/relationships/hyperlink" Target="https://www.facebook.com/share/18QcNz3q2r/" TargetMode="External"/><Relationship Id="rId2024" Type="http://schemas.openxmlformats.org/officeDocument/2006/relationships/hyperlink" Target="https://www.facebook.com/share/1NXEBS5NQ2/" TargetMode="External"/><Relationship Id="rId101" Type="http://schemas.openxmlformats.org/officeDocument/2006/relationships/hyperlink" Target="https://www.facebook.com/share/1HWfxHb49P/" TargetMode="External"/><Relationship Id="rId585" Type="http://schemas.openxmlformats.org/officeDocument/2006/relationships/hyperlink" Target="https://www.facebook.com/share/1ChF38Fd3k/" TargetMode="External"/><Relationship Id="rId1178" Type="http://schemas.openxmlformats.org/officeDocument/2006/relationships/hyperlink" Target="https://www.facebook.com/share/18boox3vxp/" TargetMode="External"/><Relationship Id="rId2025" Type="http://schemas.openxmlformats.org/officeDocument/2006/relationships/hyperlink" Target="https://www.facebook.com/share/1BV6oXAWfM/" TargetMode="External"/><Relationship Id="rId100" Type="http://schemas.openxmlformats.org/officeDocument/2006/relationships/hyperlink" Target="https://www.facebook.com/phung.huynh.3762" TargetMode="External"/><Relationship Id="rId584" Type="http://schemas.openxmlformats.org/officeDocument/2006/relationships/hyperlink" Target="https://www.facebook.com/share/1LgM8NMG5L/" TargetMode="External"/><Relationship Id="rId1179" Type="http://schemas.openxmlformats.org/officeDocument/2006/relationships/hyperlink" Target="https://www.facebook.com/share/18pe3Jfxii/" TargetMode="External"/><Relationship Id="rId2026" Type="http://schemas.openxmlformats.org/officeDocument/2006/relationships/hyperlink" Target="https://www.facebook.com/share/1BV6oXAWfM/" TargetMode="External"/><Relationship Id="rId1169" Type="http://schemas.openxmlformats.org/officeDocument/2006/relationships/hyperlink" Target="https://www.facebook.com/share/1BQVsupuUM/" TargetMode="External"/><Relationship Id="rId2016" Type="http://schemas.openxmlformats.org/officeDocument/2006/relationships/hyperlink" Target="https://www.facebook.com/share/1BKRfxR6Em/" TargetMode="External"/><Relationship Id="rId2017" Type="http://schemas.openxmlformats.org/officeDocument/2006/relationships/hyperlink" Target="https://www.facebook.com/share/1CUhtF1VK9/" TargetMode="External"/><Relationship Id="rId2018" Type="http://schemas.openxmlformats.org/officeDocument/2006/relationships/hyperlink" Target="https://www.facebook.com/share/18eXA65uty/" TargetMode="External"/><Relationship Id="rId2019" Type="http://schemas.openxmlformats.org/officeDocument/2006/relationships/hyperlink" Target="https://www.facebook.com/share/18ioDGm9f5/" TargetMode="External"/><Relationship Id="rId579" Type="http://schemas.openxmlformats.org/officeDocument/2006/relationships/hyperlink" Target="https://www.facebook.com/share/1Eb1phm4Ep/" TargetMode="External"/><Relationship Id="rId578" Type="http://schemas.openxmlformats.org/officeDocument/2006/relationships/hyperlink" Target="https://www.facebook.com/share/1Eb1phm4Ep/" TargetMode="External"/><Relationship Id="rId577" Type="http://schemas.openxmlformats.org/officeDocument/2006/relationships/hyperlink" Target="https://www.facebook.com/share/1Eb1phm4Ep/" TargetMode="External"/><Relationship Id="rId1160" Type="http://schemas.openxmlformats.org/officeDocument/2006/relationships/hyperlink" Target="https://www.facebook.com/share/18W8WSpXQW/" TargetMode="External"/><Relationship Id="rId572" Type="http://schemas.openxmlformats.org/officeDocument/2006/relationships/hyperlink" Target="https://www.facebook.com/profile.php?id=61576325116102" TargetMode="External"/><Relationship Id="rId1161" Type="http://schemas.openxmlformats.org/officeDocument/2006/relationships/hyperlink" Target="https://www.facebook.com/share/18W8WSpXQW/" TargetMode="External"/><Relationship Id="rId571" Type="http://schemas.openxmlformats.org/officeDocument/2006/relationships/hyperlink" Target="https://www.facebook.com/profile.php?id=100022079980060" TargetMode="External"/><Relationship Id="rId1162" Type="http://schemas.openxmlformats.org/officeDocument/2006/relationships/hyperlink" Target="https://www.facebook.com/profile.php?id=100008702644577" TargetMode="External"/><Relationship Id="rId570" Type="http://schemas.openxmlformats.org/officeDocument/2006/relationships/hyperlink" Target="https://www.facebook.com/soan.nguyenthi.108" TargetMode="External"/><Relationship Id="rId1163" Type="http://schemas.openxmlformats.org/officeDocument/2006/relationships/hyperlink" Target="https://www.facebook.com/profile.php?id=100008702644577" TargetMode="External"/><Relationship Id="rId2010" Type="http://schemas.openxmlformats.org/officeDocument/2006/relationships/hyperlink" Target="https://www.facebook.com/share/1GtoG5k5a3/" TargetMode="External"/><Relationship Id="rId1164" Type="http://schemas.openxmlformats.org/officeDocument/2006/relationships/hyperlink" Target="https://www.facebook.com/share/1DwBGRF3Dd/" TargetMode="External"/><Relationship Id="rId2011" Type="http://schemas.openxmlformats.org/officeDocument/2006/relationships/hyperlink" Target="https://www.facebook.com/share/1APx1dXA5D/" TargetMode="External"/><Relationship Id="rId576" Type="http://schemas.openxmlformats.org/officeDocument/2006/relationships/hyperlink" Target="https://www.facebook.com/share/1Eb1phm4Ep/" TargetMode="External"/><Relationship Id="rId1165" Type="http://schemas.openxmlformats.org/officeDocument/2006/relationships/hyperlink" Target="https://www.facebook.com/share/1DuELkRTKA/" TargetMode="External"/><Relationship Id="rId2012" Type="http://schemas.openxmlformats.org/officeDocument/2006/relationships/hyperlink" Target="https://www.facebook.com/share/1B3qQRrtLJ/" TargetMode="External"/><Relationship Id="rId575" Type="http://schemas.openxmlformats.org/officeDocument/2006/relationships/hyperlink" Target="https://www.facebook.com/share/18aRuQa4jv/" TargetMode="External"/><Relationship Id="rId1166" Type="http://schemas.openxmlformats.org/officeDocument/2006/relationships/hyperlink" Target="https://www.facebook.com/share/1c3DPxsS2c/" TargetMode="External"/><Relationship Id="rId2013" Type="http://schemas.openxmlformats.org/officeDocument/2006/relationships/hyperlink" Target="https://www.facebook.com/share/18ob3fdYZv/" TargetMode="External"/><Relationship Id="rId574" Type="http://schemas.openxmlformats.org/officeDocument/2006/relationships/hyperlink" Target="https://www.facebook.com/profile.php?id=100009428697194" TargetMode="External"/><Relationship Id="rId1167" Type="http://schemas.openxmlformats.org/officeDocument/2006/relationships/hyperlink" Target="https://www.facebook.com/share/1G93jrUszK/" TargetMode="External"/><Relationship Id="rId2014" Type="http://schemas.openxmlformats.org/officeDocument/2006/relationships/hyperlink" Target="https://www.facebook.com/share/18VehSphBZ/" TargetMode="External"/><Relationship Id="rId573" Type="http://schemas.openxmlformats.org/officeDocument/2006/relationships/hyperlink" Target="https://www.facebook.com/hoaiyy" TargetMode="External"/><Relationship Id="rId1168" Type="http://schemas.openxmlformats.org/officeDocument/2006/relationships/hyperlink" Target="https://www.facebook.com/share/1BQVsupuUM/" TargetMode="External"/><Relationship Id="rId2015" Type="http://schemas.openxmlformats.org/officeDocument/2006/relationships/hyperlink" Target="https://www.facebook.com/share/18is9DZfAh/" TargetMode="External"/><Relationship Id="rId2049" Type="http://schemas.openxmlformats.org/officeDocument/2006/relationships/hyperlink" Target="https://www.facebook.com/share/1JPAnqH3pm/" TargetMode="External"/><Relationship Id="rId129" Type="http://schemas.openxmlformats.org/officeDocument/2006/relationships/hyperlink" Target="https://www.facebook.com/pretty.huongx" TargetMode="External"/><Relationship Id="rId128" Type="http://schemas.openxmlformats.org/officeDocument/2006/relationships/hyperlink" Target="https://www.facebook.com/pham.mun.52643821" TargetMode="External"/><Relationship Id="rId127" Type="http://schemas.openxmlformats.org/officeDocument/2006/relationships/hyperlink" Target="https://www.facebook.com/Wattomin" TargetMode="External"/><Relationship Id="rId126" Type="http://schemas.openxmlformats.org/officeDocument/2006/relationships/hyperlink" Target="https://www.facebook.com/profile.php?id=100080646824364" TargetMode="External"/><Relationship Id="rId1190" Type="http://schemas.openxmlformats.org/officeDocument/2006/relationships/hyperlink" Target="https://www.facebook.com/share/1CGWyuX6qY/" TargetMode="External"/><Relationship Id="rId1191" Type="http://schemas.openxmlformats.org/officeDocument/2006/relationships/hyperlink" Target="https://www.facebook.com/share/1CGWyuX6qY/" TargetMode="External"/><Relationship Id="rId1192" Type="http://schemas.openxmlformats.org/officeDocument/2006/relationships/hyperlink" Target="https://www.facebook.com/share/18zthNA9Xn/" TargetMode="External"/><Relationship Id="rId1193" Type="http://schemas.openxmlformats.org/officeDocument/2006/relationships/hyperlink" Target="https://www.facebook.com/profile.php?id=100008702644577" TargetMode="External"/><Relationship Id="rId2040" Type="http://schemas.openxmlformats.org/officeDocument/2006/relationships/hyperlink" Target="https://www.facebook.com/share/1JPAnqH3pm/" TargetMode="External"/><Relationship Id="rId121" Type="http://schemas.openxmlformats.org/officeDocument/2006/relationships/hyperlink" Target="https://www.facebook.com/profile.php?id=61576772471952" TargetMode="External"/><Relationship Id="rId1194" Type="http://schemas.openxmlformats.org/officeDocument/2006/relationships/hyperlink" Target="https://www.facebook.com/share/18zthNA9Xn/" TargetMode="External"/><Relationship Id="rId2041" Type="http://schemas.openxmlformats.org/officeDocument/2006/relationships/hyperlink" Target="https://www.facebook.com/share/17j8ipjfge/" TargetMode="External"/><Relationship Id="rId120" Type="http://schemas.openxmlformats.org/officeDocument/2006/relationships/hyperlink" Target="https://www.facebook.com/profile.php?id=100008702644577" TargetMode="External"/><Relationship Id="rId1195" Type="http://schemas.openxmlformats.org/officeDocument/2006/relationships/hyperlink" Target="https://www.facebook.com/share/18zthNA9Xn/" TargetMode="External"/><Relationship Id="rId2042" Type="http://schemas.openxmlformats.org/officeDocument/2006/relationships/hyperlink" Target="https://www.facebook.com/share/1DK97TrWwb/" TargetMode="External"/><Relationship Id="rId1196" Type="http://schemas.openxmlformats.org/officeDocument/2006/relationships/hyperlink" Target="https://www.facebook.com/share/18zthNA9Xn/" TargetMode="External"/><Relationship Id="rId2043" Type="http://schemas.openxmlformats.org/officeDocument/2006/relationships/hyperlink" Target="https://www.facebook.com/share/18Xo3oFZ1C/" TargetMode="External"/><Relationship Id="rId1197" Type="http://schemas.openxmlformats.org/officeDocument/2006/relationships/hyperlink" Target="https://www.facebook.com/share/18zthNA9Xn/" TargetMode="External"/><Relationship Id="rId2044" Type="http://schemas.openxmlformats.org/officeDocument/2006/relationships/hyperlink" Target="https://www.facebook.com/share/18Xo3oFZ1C/" TargetMode="External"/><Relationship Id="rId125" Type="http://schemas.openxmlformats.org/officeDocument/2006/relationships/hyperlink" Target="https://www.facebook.com/nguyet.dang.526438" TargetMode="External"/><Relationship Id="rId1198" Type="http://schemas.openxmlformats.org/officeDocument/2006/relationships/hyperlink" Target="https://www.facebook.com/share/18zthNA9Xn/" TargetMode="External"/><Relationship Id="rId2045" Type="http://schemas.openxmlformats.org/officeDocument/2006/relationships/hyperlink" Target="https://www.facebook.com/share/1EYA8tb5jr/" TargetMode="External"/><Relationship Id="rId124" Type="http://schemas.openxmlformats.org/officeDocument/2006/relationships/hyperlink" Target="https://www.facebook.com/tran.suly.3" TargetMode="External"/><Relationship Id="rId1199" Type="http://schemas.openxmlformats.org/officeDocument/2006/relationships/hyperlink" Target="https://www.facebook.com/share/18zthNA9Xn/" TargetMode="External"/><Relationship Id="rId2046" Type="http://schemas.openxmlformats.org/officeDocument/2006/relationships/hyperlink" Target="https://www.facebook.com/share/1EYA8tb5jr/" TargetMode="External"/><Relationship Id="rId123" Type="http://schemas.openxmlformats.org/officeDocument/2006/relationships/hyperlink" Target="https://www.facebook.com/profile.php?id=100010439075530" TargetMode="External"/><Relationship Id="rId2047" Type="http://schemas.openxmlformats.org/officeDocument/2006/relationships/hyperlink" Target="https://www.facebook.com/share/1811JmUqUj/" TargetMode="External"/><Relationship Id="rId122" Type="http://schemas.openxmlformats.org/officeDocument/2006/relationships/hyperlink" Target="https://www.facebook.com/hongruby.nguyen.73" TargetMode="External"/><Relationship Id="rId2048" Type="http://schemas.openxmlformats.org/officeDocument/2006/relationships/hyperlink" Target="https://www.facebook.com/share/181dQ48q7H/" TargetMode="External"/><Relationship Id="rId2038" Type="http://schemas.openxmlformats.org/officeDocument/2006/relationships/hyperlink" Target="https://www.facebook.com/share/1D9n8Ri5ik/" TargetMode="External"/><Relationship Id="rId2039" Type="http://schemas.openxmlformats.org/officeDocument/2006/relationships/hyperlink" Target="https://www.facebook.com/share/19CzbuNt4w/" TargetMode="External"/><Relationship Id="rId118" Type="http://schemas.openxmlformats.org/officeDocument/2006/relationships/hyperlink" Target="https://www.facebook.com/byun.baekhyun1810" TargetMode="External"/><Relationship Id="rId117" Type="http://schemas.openxmlformats.org/officeDocument/2006/relationships/hyperlink" Target="https://www.facebook.com/byun.baekhyun1810" TargetMode="External"/><Relationship Id="rId116" Type="http://schemas.openxmlformats.org/officeDocument/2006/relationships/hyperlink" Target="https://www.facebook.com/nle.phuong.3" TargetMode="External"/><Relationship Id="rId115" Type="http://schemas.openxmlformats.org/officeDocument/2006/relationships/hyperlink" Target="https://www.facebook.com/con.g.doc.5" TargetMode="External"/><Relationship Id="rId599" Type="http://schemas.openxmlformats.org/officeDocument/2006/relationships/hyperlink" Target="https://www.facebook.com/pham.mun.52643821" TargetMode="External"/><Relationship Id="rId1180" Type="http://schemas.openxmlformats.org/officeDocument/2006/relationships/hyperlink" Target="https://www.facebook.com/share/1LPtZWFZN3/" TargetMode="External"/><Relationship Id="rId1181" Type="http://schemas.openxmlformats.org/officeDocument/2006/relationships/hyperlink" Target="https://www.facebook.com/share/1XqHr3Lfx8/" TargetMode="External"/><Relationship Id="rId119" Type="http://schemas.openxmlformats.org/officeDocument/2006/relationships/hyperlink" Target="https://www.facebook.com/mitxinh1903" TargetMode="External"/><Relationship Id="rId1182" Type="http://schemas.openxmlformats.org/officeDocument/2006/relationships/hyperlink" Target="https://www.facebook.com/share/18UizWVWXd/" TargetMode="External"/><Relationship Id="rId110" Type="http://schemas.openxmlformats.org/officeDocument/2006/relationships/hyperlink" Target="https://www.facebook.com/share/1DRHDwTSJn/" TargetMode="External"/><Relationship Id="rId594" Type="http://schemas.openxmlformats.org/officeDocument/2006/relationships/hyperlink" Target="https://www.facebook.com/share/18iy3XAFo4/" TargetMode="External"/><Relationship Id="rId1183" Type="http://schemas.openxmlformats.org/officeDocument/2006/relationships/hyperlink" Target="https://www.facebook.com/share/1CAPi6MbiQ/" TargetMode="External"/><Relationship Id="rId2030" Type="http://schemas.openxmlformats.org/officeDocument/2006/relationships/hyperlink" Target="https://www.facebook.com/share/1CdvwuiRZ5/" TargetMode="External"/><Relationship Id="rId593" Type="http://schemas.openxmlformats.org/officeDocument/2006/relationships/hyperlink" Target="https://www.facebook.com/share/18iy3XAFo4/" TargetMode="External"/><Relationship Id="rId1184" Type="http://schemas.openxmlformats.org/officeDocument/2006/relationships/hyperlink" Target="https://www.facebook.com/share/18PZ2CB7YN/" TargetMode="External"/><Relationship Id="rId2031" Type="http://schemas.openxmlformats.org/officeDocument/2006/relationships/hyperlink" Target="https://www.facebook.com/share/1a7VcY7KV3/" TargetMode="External"/><Relationship Id="rId592" Type="http://schemas.openxmlformats.org/officeDocument/2006/relationships/hyperlink" Target="https://www.facebook.com/share/18iy3XAFo4/" TargetMode="External"/><Relationship Id="rId1185" Type="http://schemas.openxmlformats.org/officeDocument/2006/relationships/hyperlink" Target="https://www.facebook.com/share/18jprhKrdd/" TargetMode="External"/><Relationship Id="rId2032" Type="http://schemas.openxmlformats.org/officeDocument/2006/relationships/hyperlink" Target="https://www.facebook.com/share/17iVc8Kvdt/" TargetMode="External"/><Relationship Id="rId591" Type="http://schemas.openxmlformats.org/officeDocument/2006/relationships/hyperlink" Target="https://www.facebook.com/share/1Eb1phm4Ep/" TargetMode="External"/><Relationship Id="rId1186" Type="http://schemas.openxmlformats.org/officeDocument/2006/relationships/hyperlink" Target="https://www.facebook.com/share/1CJgbsWqqD/" TargetMode="External"/><Relationship Id="rId2033" Type="http://schemas.openxmlformats.org/officeDocument/2006/relationships/hyperlink" Target="https://www.facebook.com/share/14gvcwKmSGh/" TargetMode="External"/><Relationship Id="rId114" Type="http://schemas.openxmlformats.org/officeDocument/2006/relationships/hyperlink" Target="https://www.facebook.com/ntth.aoisakura" TargetMode="External"/><Relationship Id="rId598" Type="http://schemas.openxmlformats.org/officeDocument/2006/relationships/hyperlink" Target="https://www.facebook.com/pham.mun.52643821" TargetMode="External"/><Relationship Id="rId1187" Type="http://schemas.openxmlformats.org/officeDocument/2006/relationships/hyperlink" Target="https://www.facebook.com/share/1DpGV8qe7Z/" TargetMode="External"/><Relationship Id="rId2034" Type="http://schemas.openxmlformats.org/officeDocument/2006/relationships/hyperlink" Target="https://www.facebook.com/share/14ayBSUXbWH/" TargetMode="External"/><Relationship Id="rId113" Type="http://schemas.openxmlformats.org/officeDocument/2006/relationships/hyperlink" Target="https://www.facebook.com/profile.php?id=61576355874013" TargetMode="External"/><Relationship Id="rId597" Type="http://schemas.openxmlformats.org/officeDocument/2006/relationships/hyperlink" Target="https://www.facebook.com/share/1EZ24v5RFB/" TargetMode="External"/><Relationship Id="rId1188" Type="http://schemas.openxmlformats.org/officeDocument/2006/relationships/hyperlink" Target="https://www.facebook.com/share/1DpGV8qe7Z/" TargetMode="External"/><Relationship Id="rId2035" Type="http://schemas.openxmlformats.org/officeDocument/2006/relationships/hyperlink" Target="https://www.facebook.com/share/1Exz5bAqDS/" TargetMode="External"/><Relationship Id="rId112" Type="http://schemas.openxmlformats.org/officeDocument/2006/relationships/hyperlink" Target="https://www.facebook.com/profile.php?id=100068447630155" TargetMode="External"/><Relationship Id="rId596" Type="http://schemas.openxmlformats.org/officeDocument/2006/relationships/hyperlink" Target="https://www.facebook.com/share/1AzCd8yYoC/" TargetMode="External"/><Relationship Id="rId1189" Type="http://schemas.openxmlformats.org/officeDocument/2006/relationships/hyperlink" Target="https://www.facebook.com/share/1CGWyuX6qY/" TargetMode="External"/><Relationship Id="rId2036" Type="http://schemas.openxmlformats.org/officeDocument/2006/relationships/hyperlink" Target="https://www.facebook.com/share/1BgQ6bXGzT/" TargetMode="External"/><Relationship Id="rId111" Type="http://schemas.openxmlformats.org/officeDocument/2006/relationships/hyperlink" Target="https://www.facebook.com/share/1B1WD5Zbw7/" TargetMode="External"/><Relationship Id="rId595" Type="http://schemas.openxmlformats.org/officeDocument/2006/relationships/hyperlink" Target="https://www.facebook.com/share/18iy3XAFo4/" TargetMode="External"/><Relationship Id="rId2037" Type="http://schemas.openxmlformats.org/officeDocument/2006/relationships/hyperlink" Target="https://www.facebook.com/share/18Ar8baMR4/" TargetMode="External"/><Relationship Id="rId1136" Type="http://schemas.openxmlformats.org/officeDocument/2006/relationships/hyperlink" Target="https://www.facebook.com/share/1PzpXCteua/" TargetMode="External"/><Relationship Id="rId1137" Type="http://schemas.openxmlformats.org/officeDocument/2006/relationships/hyperlink" Target="https://www.facebook.com/share/1H5w6KE9BD/" TargetMode="External"/><Relationship Id="rId1138" Type="http://schemas.openxmlformats.org/officeDocument/2006/relationships/hyperlink" Target="https://www.facebook.com/share/1EZ24v5RFB/" TargetMode="External"/><Relationship Id="rId1139" Type="http://schemas.openxmlformats.org/officeDocument/2006/relationships/hyperlink" Target="https://www.facebook.com/share/1b9zkLeDux/" TargetMode="External"/><Relationship Id="rId547" Type="http://schemas.openxmlformats.org/officeDocument/2006/relationships/hyperlink" Target="https://www.facebook.com/share/1CiQ9HbrVj/" TargetMode="External"/><Relationship Id="rId546" Type="http://schemas.openxmlformats.org/officeDocument/2006/relationships/hyperlink" Target="https://www.facebook.com/share/1CiQ9HbrVj/" TargetMode="External"/><Relationship Id="rId545" Type="http://schemas.openxmlformats.org/officeDocument/2006/relationships/hyperlink" Target="https://www.facebook.com/share/1DL95979Aj/" TargetMode="External"/><Relationship Id="rId544" Type="http://schemas.openxmlformats.org/officeDocument/2006/relationships/hyperlink" Target="https://www.facebook.com/share/1DL95979Aj/" TargetMode="External"/><Relationship Id="rId549" Type="http://schemas.openxmlformats.org/officeDocument/2006/relationships/hyperlink" Target="https://www.facebook.com/share/1GgTDUuqNj/" TargetMode="External"/><Relationship Id="rId548" Type="http://schemas.openxmlformats.org/officeDocument/2006/relationships/hyperlink" Target="https://www.facebook.com/share/1GgTDUuqNj/" TargetMode="External"/><Relationship Id="rId1130" Type="http://schemas.openxmlformats.org/officeDocument/2006/relationships/hyperlink" Target="https://www.facebook.com/share/1ELqauK16r/" TargetMode="External"/><Relationship Id="rId1131" Type="http://schemas.openxmlformats.org/officeDocument/2006/relationships/hyperlink" Target="https://www.facebook.com/share/1ELqauK16r/" TargetMode="External"/><Relationship Id="rId543" Type="http://schemas.openxmlformats.org/officeDocument/2006/relationships/hyperlink" Target="https://www.facebook.com/share/1EZ24v5RFB/" TargetMode="External"/><Relationship Id="rId1132" Type="http://schemas.openxmlformats.org/officeDocument/2006/relationships/hyperlink" Target="https://www.facebook.com/share/1CYPqdn9G2/" TargetMode="External"/><Relationship Id="rId542" Type="http://schemas.openxmlformats.org/officeDocument/2006/relationships/hyperlink" Target="https://www.facebook.com/share/1B2JXmqUQA/" TargetMode="External"/><Relationship Id="rId1133" Type="http://schemas.openxmlformats.org/officeDocument/2006/relationships/hyperlink" Target="https://www.facebook.com/share/18h61E9686/" TargetMode="External"/><Relationship Id="rId541" Type="http://schemas.openxmlformats.org/officeDocument/2006/relationships/hyperlink" Target="https://www.facebook.com/profile.php?id=100034559618050" TargetMode="External"/><Relationship Id="rId1134" Type="http://schemas.openxmlformats.org/officeDocument/2006/relationships/hyperlink" Target="https://www.facebook.com/share/18fqhXrJpv/" TargetMode="External"/><Relationship Id="rId540" Type="http://schemas.openxmlformats.org/officeDocument/2006/relationships/hyperlink" Target="https://www.facebook.com/share/18TByQthF8/" TargetMode="External"/><Relationship Id="rId1135" Type="http://schemas.openxmlformats.org/officeDocument/2006/relationships/hyperlink" Target="https://www.facebook.com/share/1EFLRZfZqb/" TargetMode="External"/><Relationship Id="rId1125" Type="http://schemas.openxmlformats.org/officeDocument/2006/relationships/hyperlink" Target="https://www.facebook.com/share/17z6zJfqdD/" TargetMode="External"/><Relationship Id="rId1126" Type="http://schemas.openxmlformats.org/officeDocument/2006/relationships/hyperlink" Target="https://www.facebook.com/share/17z6zJfqdD/" TargetMode="External"/><Relationship Id="rId1127" Type="http://schemas.openxmlformats.org/officeDocument/2006/relationships/hyperlink" Target="https://www.facebook.com/share/18aRuQa4jv/" TargetMode="External"/><Relationship Id="rId1128" Type="http://schemas.openxmlformats.org/officeDocument/2006/relationships/hyperlink" Target="https://www.facebook.com/share/1AznU6QD5p/" TargetMode="External"/><Relationship Id="rId1129" Type="http://schemas.openxmlformats.org/officeDocument/2006/relationships/hyperlink" Target="https://www.facebook.com/share/1ELqauK16r/" TargetMode="External"/><Relationship Id="rId536" Type="http://schemas.openxmlformats.org/officeDocument/2006/relationships/hyperlink" Target="https://www.facebook.com/share/17xYXxAfog/" TargetMode="External"/><Relationship Id="rId535" Type="http://schemas.openxmlformats.org/officeDocument/2006/relationships/hyperlink" Target="https://www.facebook.com/profile.php?id=100008702644577" TargetMode="External"/><Relationship Id="rId534" Type="http://schemas.openxmlformats.org/officeDocument/2006/relationships/hyperlink" Target="https://www.facebook.com/share/1CMsdD8rwu/" TargetMode="External"/><Relationship Id="rId533" Type="http://schemas.openxmlformats.org/officeDocument/2006/relationships/hyperlink" Target="https://www.facebook.com/share/1CMsdD8rwu/" TargetMode="External"/><Relationship Id="rId539" Type="http://schemas.openxmlformats.org/officeDocument/2006/relationships/hyperlink" Target="https://www.facebook.com/share/18TByQthF8/" TargetMode="External"/><Relationship Id="rId538" Type="http://schemas.openxmlformats.org/officeDocument/2006/relationships/hyperlink" Target="https://www.facebook.com/share/17xYXxAfog/" TargetMode="External"/><Relationship Id="rId537" Type="http://schemas.openxmlformats.org/officeDocument/2006/relationships/hyperlink" Target="https://www.facebook.com/share/17xYXxAfog/" TargetMode="External"/><Relationship Id="rId1120" Type="http://schemas.openxmlformats.org/officeDocument/2006/relationships/hyperlink" Target="https://www.facebook.com/share/1AW1uVathJ/" TargetMode="External"/><Relationship Id="rId532" Type="http://schemas.openxmlformats.org/officeDocument/2006/relationships/hyperlink" Target="https://www.facebook.com/share/1AzCic9VJR/" TargetMode="External"/><Relationship Id="rId1121" Type="http://schemas.openxmlformats.org/officeDocument/2006/relationships/hyperlink" Target="https://www.facebook.com/share/184X4KQEbB/" TargetMode="External"/><Relationship Id="rId531" Type="http://schemas.openxmlformats.org/officeDocument/2006/relationships/hyperlink" Target="https://www.facebook.com/share/18g9mGMfFS/" TargetMode="External"/><Relationship Id="rId1122" Type="http://schemas.openxmlformats.org/officeDocument/2006/relationships/hyperlink" Target="https://www.facebook.com/share/1NAwgZYuvn/" TargetMode="External"/><Relationship Id="rId530" Type="http://schemas.openxmlformats.org/officeDocument/2006/relationships/hyperlink" Target="https://www.facebook.com/share/1CXzX14Tdh/" TargetMode="External"/><Relationship Id="rId1123" Type="http://schemas.openxmlformats.org/officeDocument/2006/relationships/hyperlink" Target="https://www.facebook.com/share/1NAwgZYuvn/" TargetMode="External"/><Relationship Id="rId1124" Type="http://schemas.openxmlformats.org/officeDocument/2006/relationships/hyperlink" Target="https://www.facebook.com/share/17z6zJfqdD/" TargetMode="External"/><Relationship Id="rId1158" Type="http://schemas.openxmlformats.org/officeDocument/2006/relationships/hyperlink" Target="https://www.facebook.com/share/18iDaDfyMT/" TargetMode="External"/><Relationship Id="rId2005" Type="http://schemas.openxmlformats.org/officeDocument/2006/relationships/hyperlink" Target="https://www.facebook.com/share/1EYwJVmj5G/" TargetMode="External"/><Relationship Id="rId1159" Type="http://schemas.openxmlformats.org/officeDocument/2006/relationships/hyperlink" Target="https://www.facebook.com/share/1BCRc5CWXa/" TargetMode="External"/><Relationship Id="rId2006" Type="http://schemas.openxmlformats.org/officeDocument/2006/relationships/hyperlink" Target="https://www.facebook.com/share/18hw61wuyN/" TargetMode="External"/><Relationship Id="rId2007" Type="http://schemas.openxmlformats.org/officeDocument/2006/relationships/hyperlink" Target="https://www.facebook.com/share/1EfqpZ58xH/" TargetMode="External"/><Relationship Id="rId2008" Type="http://schemas.openxmlformats.org/officeDocument/2006/relationships/hyperlink" Target="https://www.facebook.com/share/1Cmr1b7F6u/" TargetMode="External"/><Relationship Id="rId2009" Type="http://schemas.openxmlformats.org/officeDocument/2006/relationships/hyperlink" Target="https://www.facebook.com/share/192jiJNAtr/" TargetMode="External"/><Relationship Id="rId569" Type="http://schemas.openxmlformats.org/officeDocument/2006/relationships/hyperlink" Target="https://www.facebook.com/linh.ciu2108" TargetMode="External"/><Relationship Id="rId568" Type="http://schemas.openxmlformats.org/officeDocument/2006/relationships/hyperlink" Target="https://www.facebook.com/meichan2212" TargetMode="External"/><Relationship Id="rId567" Type="http://schemas.openxmlformats.org/officeDocument/2006/relationships/hyperlink" Target="https://www.facebook.com/profile.php?id=100014304249016" TargetMode="External"/><Relationship Id="rId566" Type="http://schemas.openxmlformats.org/officeDocument/2006/relationships/hyperlink" Target="https://www.facebook.com/profile.php?id=100028331620651" TargetMode="External"/><Relationship Id="rId561" Type="http://schemas.openxmlformats.org/officeDocument/2006/relationships/hyperlink" Target="https://www.facebook.com/share/1H2NzHymcs/" TargetMode="External"/><Relationship Id="rId1150" Type="http://schemas.openxmlformats.org/officeDocument/2006/relationships/hyperlink" Target="https://www.facebook.com/share/1EZ24v5RFB/" TargetMode="External"/><Relationship Id="rId560" Type="http://schemas.openxmlformats.org/officeDocument/2006/relationships/hyperlink" Target="https://www.facebook.com/share/1H56ngrqG1/" TargetMode="External"/><Relationship Id="rId1151" Type="http://schemas.openxmlformats.org/officeDocument/2006/relationships/hyperlink" Target="https://www.facebook.com/share/1QP3QmRxaW/" TargetMode="External"/><Relationship Id="rId1152" Type="http://schemas.openxmlformats.org/officeDocument/2006/relationships/hyperlink" Target="https://www.facebook.com/share/1DhLcfuuR9/" TargetMode="External"/><Relationship Id="rId1153" Type="http://schemas.openxmlformats.org/officeDocument/2006/relationships/hyperlink" Target="https://www.facebook.com/share/1LPtZWFZN3/" TargetMode="External"/><Relationship Id="rId2000" Type="http://schemas.openxmlformats.org/officeDocument/2006/relationships/hyperlink" Target="https://www.facebook.com/share/18jxRTkCjN/" TargetMode="External"/><Relationship Id="rId565" Type="http://schemas.openxmlformats.org/officeDocument/2006/relationships/hyperlink" Target="https://www.facebook.com/sinh.nguyen.9275439" TargetMode="External"/><Relationship Id="rId1154" Type="http://schemas.openxmlformats.org/officeDocument/2006/relationships/hyperlink" Target="https://www.facebook.com/share/1NFHZ7tsTn/" TargetMode="External"/><Relationship Id="rId2001" Type="http://schemas.openxmlformats.org/officeDocument/2006/relationships/hyperlink" Target="https://www.facebook.com/share/18tbV9tDdS/" TargetMode="External"/><Relationship Id="rId564" Type="http://schemas.openxmlformats.org/officeDocument/2006/relationships/hyperlink" Target="https://www.facebook.com/htrazf" TargetMode="External"/><Relationship Id="rId1155" Type="http://schemas.openxmlformats.org/officeDocument/2006/relationships/hyperlink" Target="https://www.facebook.com/share/181dQ48q7H/" TargetMode="External"/><Relationship Id="rId2002" Type="http://schemas.openxmlformats.org/officeDocument/2006/relationships/hyperlink" Target="https://www.facebook.com/share/1LQbv6gYi3/" TargetMode="External"/><Relationship Id="rId563" Type="http://schemas.openxmlformats.org/officeDocument/2006/relationships/hyperlink" Target="https://www.facebook.com/profile.php?id=100048831948107" TargetMode="External"/><Relationship Id="rId1156" Type="http://schemas.openxmlformats.org/officeDocument/2006/relationships/hyperlink" Target="https://www.facebook.com/share/1811JmUqUj/" TargetMode="External"/><Relationship Id="rId2003" Type="http://schemas.openxmlformats.org/officeDocument/2006/relationships/hyperlink" Target="https://www.facebook.com/share/1LQbv6gYi3/" TargetMode="External"/><Relationship Id="rId562" Type="http://schemas.openxmlformats.org/officeDocument/2006/relationships/hyperlink" Target="https://www.facebook.com/pham.mun.52643821" TargetMode="External"/><Relationship Id="rId1157" Type="http://schemas.openxmlformats.org/officeDocument/2006/relationships/hyperlink" Target="https://www.facebook.com/share/1DmEKbSZvg/" TargetMode="External"/><Relationship Id="rId2004" Type="http://schemas.openxmlformats.org/officeDocument/2006/relationships/hyperlink" Target="https://www.facebook.com/share/1Bn6kEmGzn/" TargetMode="External"/><Relationship Id="rId1147" Type="http://schemas.openxmlformats.org/officeDocument/2006/relationships/hyperlink" Target="https://www.facebook.com/share/1MhTuRFEYp/" TargetMode="External"/><Relationship Id="rId1148" Type="http://schemas.openxmlformats.org/officeDocument/2006/relationships/hyperlink" Target="https://www.facebook.com/share/1AxfZL7VAe/" TargetMode="External"/><Relationship Id="rId1149" Type="http://schemas.openxmlformats.org/officeDocument/2006/relationships/hyperlink" Target="https://www.facebook.com/share/1E8uDmku72/" TargetMode="External"/><Relationship Id="rId558" Type="http://schemas.openxmlformats.org/officeDocument/2006/relationships/hyperlink" Target="https://www.facebook.com/share/18eA236Y4d/" TargetMode="External"/><Relationship Id="rId557" Type="http://schemas.openxmlformats.org/officeDocument/2006/relationships/hyperlink" Target="https://www.facebook.com/share/1Ph4GfdcAk/" TargetMode="External"/><Relationship Id="rId556" Type="http://schemas.openxmlformats.org/officeDocument/2006/relationships/hyperlink" Target="https://www.facebook.com/share/1Ph4GfdcAk/" TargetMode="External"/><Relationship Id="rId555" Type="http://schemas.openxmlformats.org/officeDocument/2006/relationships/hyperlink" Target="https://www.facebook.com/share/1NFHZ7tsTn/" TargetMode="External"/><Relationship Id="rId559" Type="http://schemas.openxmlformats.org/officeDocument/2006/relationships/hyperlink" Target="https://www.facebook.com/share/18eA236Y4d/" TargetMode="External"/><Relationship Id="rId550" Type="http://schemas.openxmlformats.org/officeDocument/2006/relationships/hyperlink" Target="https://www.facebook.com/share/1GgTDUuqNj/" TargetMode="External"/><Relationship Id="rId1140" Type="http://schemas.openxmlformats.org/officeDocument/2006/relationships/hyperlink" Target="https://www.facebook.com/share/1BrhEiMvDx/" TargetMode="External"/><Relationship Id="rId1141" Type="http://schemas.openxmlformats.org/officeDocument/2006/relationships/hyperlink" Target="https://www.facebook.com/share/1H5w6KE9BD/" TargetMode="External"/><Relationship Id="rId1142" Type="http://schemas.openxmlformats.org/officeDocument/2006/relationships/hyperlink" Target="https://www.facebook.com/share/1ECFJFWvRA/" TargetMode="External"/><Relationship Id="rId554" Type="http://schemas.openxmlformats.org/officeDocument/2006/relationships/hyperlink" Target="https://www.facebook.com/share/1NFHZ7tsTn/" TargetMode="External"/><Relationship Id="rId1143" Type="http://schemas.openxmlformats.org/officeDocument/2006/relationships/hyperlink" Target="https://www.facebook.com/meichan2212" TargetMode="External"/><Relationship Id="rId553" Type="http://schemas.openxmlformats.org/officeDocument/2006/relationships/hyperlink" Target="https://www.facebook.com/share/1NFHZ7tsTn/" TargetMode="External"/><Relationship Id="rId1144" Type="http://schemas.openxmlformats.org/officeDocument/2006/relationships/hyperlink" Target="https://www.facebook.com/share/18iy3XAFo4/" TargetMode="External"/><Relationship Id="rId552" Type="http://schemas.openxmlformats.org/officeDocument/2006/relationships/hyperlink" Target="https://www.facebook.com/share/1NFHZ7tsTn/" TargetMode="External"/><Relationship Id="rId1145" Type="http://schemas.openxmlformats.org/officeDocument/2006/relationships/hyperlink" Target="https://www.facebook.com/share/18pe3Jfxii/" TargetMode="External"/><Relationship Id="rId551" Type="http://schemas.openxmlformats.org/officeDocument/2006/relationships/hyperlink" Target="https://www.facebook.com/share/18aRuQa4jv/" TargetMode="External"/><Relationship Id="rId1146" Type="http://schemas.openxmlformats.org/officeDocument/2006/relationships/hyperlink" Target="https://www.facebook.com/share/18pYcbzmfh/" TargetMode="External"/><Relationship Id="rId2090" Type="http://schemas.openxmlformats.org/officeDocument/2006/relationships/hyperlink" Target="https://www.facebook.com/share/1RNMQtnJmX/" TargetMode="External"/><Relationship Id="rId2091" Type="http://schemas.openxmlformats.org/officeDocument/2006/relationships/hyperlink" Target="https://www.facebook.com/share/1RNMQtnJmX/" TargetMode="External"/><Relationship Id="rId2092" Type="http://schemas.openxmlformats.org/officeDocument/2006/relationships/hyperlink" Target="https://www.facebook.com/share/1RNMQtnJmX/" TargetMode="External"/><Relationship Id="rId2093" Type="http://schemas.openxmlformats.org/officeDocument/2006/relationships/hyperlink" Target="https://www.facebook.com/share/1RNMQtnJmX/" TargetMode="External"/><Relationship Id="rId2094" Type="http://schemas.openxmlformats.org/officeDocument/2006/relationships/hyperlink" Target="https://www.facebook.com/share/1Ci6yWNmh3/" TargetMode="External"/><Relationship Id="rId2095" Type="http://schemas.openxmlformats.org/officeDocument/2006/relationships/hyperlink" Target="https://www.facebook.com/share/1Ci6yWNmh3/" TargetMode="External"/><Relationship Id="rId2096" Type="http://schemas.openxmlformats.org/officeDocument/2006/relationships/hyperlink" Target="https://www.facebook.com/share/1Ci6yWNmh3/" TargetMode="External"/><Relationship Id="rId2097" Type="http://schemas.openxmlformats.org/officeDocument/2006/relationships/hyperlink" Target="https://www.facebook.com/share/1Ci6yWNmh3/" TargetMode="External"/><Relationship Id="rId2098" Type="http://schemas.openxmlformats.org/officeDocument/2006/relationships/hyperlink" Target="https://www.facebook.com/share/1Ci6yWNmh3/" TargetMode="External"/><Relationship Id="rId2099" Type="http://schemas.openxmlformats.org/officeDocument/2006/relationships/hyperlink" Target="https://www.facebook.com/share/1Ci6yWNmh3/" TargetMode="External"/><Relationship Id="rId2060" Type="http://schemas.openxmlformats.org/officeDocument/2006/relationships/hyperlink" Target="https://www.facebook.com/share/1BYd1kycxK/" TargetMode="External"/><Relationship Id="rId2061" Type="http://schemas.openxmlformats.org/officeDocument/2006/relationships/hyperlink" Target="https://www.facebook.com/share/1EK8BCgxi6/" TargetMode="External"/><Relationship Id="rId2062" Type="http://schemas.openxmlformats.org/officeDocument/2006/relationships/hyperlink" Target="https://www.facebook.com/share/1EK8BCgxi6/" TargetMode="External"/><Relationship Id="rId2063" Type="http://schemas.openxmlformats.org/officeDocument/2006/relationships/hyperlink" Target="https://www.facebook.com/share/1JPAnqH3pm/" TargetMode="External"/><Relationship Id="rId2064" Type="http://schemas.openxmlformats.org/officeDocument/2006/relationships/hyperlink" Target="https://www.facebook.com/share/1CvPmWu9yx/" TargetMode="External"/><Relationship Id="rId2065" Type="http://schemas.openxmlformats.org/officeDocument/2006/relationships/hyperlink" Target="https://www.facebook.com/share/1BYd1kycxK/" TargetMode="External"/><Relationship Id="rId2066" Type="http://schemas.openxmlformats.org/officeDocument/2006/relationships/hyperlink" Target="https://www.facebook.com/share/1a7VcY7KV3/" TargetMode="External"/><Relationship Id="rId2067" Type="http://schemas.openxmlformats.org/officeDocument/2006/relationships/hyperlink" Target="https://www.facebook.com/share/19DszUxM2w/" TargetMode="External"/><Relationship Id="rId2068" Type="http://schemas.openxmlformats.org/officeDocument/2006/relationships/hyperlink" Target="https://www.facebook.com/share/1HrZ9ouia6/" TargetMode="External"/><Relationship Id="rId2069" Type="http://schemas.openxmlformats.org/officeDocument/2006/relationships/hyperlink" Target="https://www.facebook.com/share/1F2omrD2wr/" TargetMode="External"/><Relationship Id="rId2050" Type="http://schemas.openxmlformats.org/officeDocument/2006/relationships/hyperlink" Target="https://www.facebook.com/share/1D9n8Ri5ik/" TargetMode="External"/><Relationship Id="rId2051" Type="http://schemas.openxmlformats.org/officeDocument/2006/relationships/hyperlink" Target="https://www.facebook.com/share/18jxRTkCjN/" TargetMode="External"/><Relationship Id="rId495" Type="http://schemas.openxmlformats.org/officeDocument/2006/relationships/hyperlink" Target="https://www.facebook.com/share/1EFUCJviTF/" TargetMode="External"/><Relationship Id="rId2052" Type="http://schemas.openxmlformats.org/officeDocument/2006/relationships/hyperlink" Target="https://www.facebook.com/share/18jxRTkCjN/" TargetMode="External"/><Relationship Id="rId494" Type="http://schemas.openxmlformats.org/officeDocument/2006/relationships/hyperlink" Target="https://www.facebook.com/share/18HEUEWdGm/" TargetMode="External"/><Relationship Id="rId2053" Type="http://schemas.openxmlformats.org/officeDocument/2006/relationships/hyperlink" Target="https://www.facebook.com/share/181dQ48q7H/" TargetMode="External"/><Relationship Id="rId493" Type="http://schemas.openxmlformats.org/officeDocument/2006/relationships/hyperlink" Target="https://www.facebook.com/share/18HEUEWdGm/" TargetMode="External"/><Relationship Id="rId2054" Type="http://schemas.openxmlformats.org/officeDocument/2006/relationships/hyperlink" Target="https://www.facebook.com/share/1BYd1kycxK/" TargetMode="External"/><Relationship Id="rId492" Type="http://schemas.openxmlformats.org/officeDocument/2006/relationships/hyperlink" Target="https://www.facebook.com/share/1G79BmYRS9/" TargetMode="External"/><Relationship Id="rId2055" Type="http://schemas.openxmlformats.org/officeDocument/2006/relationships/hyperlink" Target="https://www.facebook.com/share/19uMT26GY7/" TargetMode="External"/><Relationship Id="rId499" Type="http://schemas.openxmlformats.org/officeDocument/2006/relationships/hyperlink" Target="https://www.facebook.com/Dunglacuocdoi.thuhien" TargetMode="External"/><Relationship Id="rId2056" Type="http://schemas.openxmlformats.org/officeDocument/2006/relationships/hyperlink" Target="https://www.facebook.com/share/1BZPRhH72x/" TargetMode="External"/><Relationship Id="rId498" Type="http://schemas.openxmlformats.org/officeDocument/2006/relationships/hyperlink" Target="https://www.facebook.com/profile.php?id=61576325116102" TargetMode="External"/><Relationship Id="rId2057" Type="http://schemas.openxmlformats.org/officeDocument/2006/relationships/hyperlink" Target="https://www.facebook.com/share/1EVKVF19cG/" TargetMode="External"/><Relationship Id="rId497" Type="http://schemas.openxmlformats.org/officeDocument/2006/relationships/hyperlink" Target="https://www.facebook.com/profile.php?id=61576325116102" TargetMode="External"/><Relationship Id="rId2058" Type="http://schemas.openxmlformats.org/officeDocument/2006/relationships/hyperlink" Target="https://www.facebook.com/share/1EpyXJFpee/" TargetMode="External"/><Relationship Id="rId496" Type="http://schemas.openxmlformats.org/officeDocument/2006/relationships/hyperlink" Target="https://www.facebook.com/share/177hsDhyGz/" TargetMode="External"/><Relationship Id="rId2059" Type="http://schemas.openxmlformats.org/officeDocument/2006/relationships/hyperlink" Target="https://www.facebook.com/share/1U6UvgrcRU/" TargetMode="External"/><Relationship Id="rId2080" Type="http://schemas.openxmlformats.org/officeDocument/2006/relationships/hyperlink" Target="https://www.facebook.com/share/1ChwtaAJYx/" TargetMode="External"/><Relationship Id="rId2081" Type="http://schemas.openxmlformats.org/officeDocument/2006/relationships/hyperlink" Target="https://www.facebook.com/share/1ChwtaAJYx/" TargetMode="External"/><Relationship Id="rId2082" Type="http://schemas.openxmlformats.org/officeDocument/2006/relationships/hyperlink" Target="https://www.facebook.com/share/18NDLeTSvX/" TargetMode="External"/><Relationship Id="rId2083" Type="http://schemas.openxmlformats.org/officeDocument/2006/relationships/hyperlink" Target="https://www.facebook.com/share/18NDLeTSvX/" TargetMode="External"/><Relationship Id="rId2084" Type="http://schemas.openxmlformats.org/officeDocument/2006/relationships/hyperlink" Target="https://www.facebook.com/share/17ouevuhBY/" TargetMode="External"/><Relationship Id="rId2085" Type="http://schemas.openxmlformats.org/officeDocument/2006/relationships/hyperlink" Target="https://www.facebook.com/share/1Mbh6VNtp6/" TargetMode="External"/><Relationship Id="rId2086" Type="http://schemas.openxmlformats.org/officeDocument/2006/relationships/hyperlink" Target="https://www.facebook.com/share/18u1pxRWH6/" TargetMode="External"/><Relationship Id="rId2087" Type="http://schemas.openxmlformats.org/officeDocument/2006/relationships/hyperlink" Target="https://www.facebook.com/share/1BGLTVHBYi/" TargetMode="External"/><Relationship Id="rId2088" Type="http://schemas.openxmlformats.org/officeDocument/2006/relationships/hyperlink" Target="https://www.facebook.com/share/1BGLTVHBYi/" TargetMode="External"/><Relationship Id="rId2089" Type="http://schemas.openxmlformats.org/officeDocument/2006/relationships/hyperlink" Target="https://www.facebook.com/share/1BGLTVHBYi/" TargetMode="External"/><Relationship Id="rId2070" Type="http://schemas.openxmlformats.org/officeDocument/2006/relationships/hyperlink" Target="https://www.facebook.com/share/1aGqSBnugf/" TargetMode="External"/><Relationship Id="rId2071" Type="http://schemas.openxmlformats.org/officeDocument/2006/relationships/hyperlink" Target="https://www.facebook.com/share/18tbV9tDdS/" TargetMode="External"/><Relationship Id="rId2072" Type="http://schemas.openxmlformats.org/officeDocument/2006/relationships/hyperlink" Target="https://www.facebook.com/share/1CjAnwVYoi/" TargetMode="External"/><Relationship Id="rId2073" Type="http://schemas.openxmlformats.org/officeDocument/2006/relationships/hyperlink" Target="https://www.facebook.com/share/1DAnme8RRe/" TargetMode="External"/><Relationship Id="rId2074" Type="http://schemas.openxmlformats.org/officeDocument/2006/relationships/hyperlink" Target="https://www.facebook.com/share/1DAnme8RRe/" TargetMode="External"/><Relationship Id="rId2075" Type="http://schemas.openxmlformats.org/officeDocument/2006/relationships/hyperlink" Target="https://www.facebook.com/share/17j8ipjfge/" TargetMode="External"/><Relationship Id="rId2076" Type="http://schemas.openxmlformats.org/officeDocument/2006/relationships/hyperlink" Target="https://www.facebook.com/share/1EZ24v5RFB/" TargetMode="External"/><Relationship Id="rId2077" Type="http://schemas.openxmlformats.org/officeDocument/2006/relationships/hyperlink" Target="https://www.facebook.com/share/1GT1SSNqfD/" TargetMode="External"/><Relationship Id="rId2078" Type="http://schemas.openxmlformats.org/officeDocument/2006/relationships/hyperlink" Target="https://www.facebook.com/share/1GT1SSNqfD/" TargetMode="External"/><Relationship Id="rId2079" Type="http://schemas.openxmlformats.org/officeDocument/2006/relationships/hyperlink" Target="https://www.facebook.com/share/1DK97TrWwb/" TargetMode="External"/><Relationship Id="rId1610" Type="http://schemas.openxmlformats.org/officeDocument/2006/relationships/hyperlink" Target="https://www.facebook.com/share/18WM8uv7fF/" TargetMode="External"/><Relationship Id="rId1611" Type="http://schemas.openxmlformats.org/officeDocument/2006/relationships/hyperlink" Target="https://www.facebook.com/share/18WM8uv7fF/" TargetMode="External"/><Relationship Id="rId1612" Type="http://schemas.openxmlformats.org/officeDocument/2006/relationships/hyperlink" Target="https://www.facebook.com/share/1B7dfzyaFE/" TargetMode="External"/><Relationship Id="rId1613" Type="http://schemas.openxmlformats.org/officeDocument/2006/relationships/hyperlink" Target="https://www.facebook.com/share/1B7dfzyaFE/" TargetMode="External"/><Relationship Id="rId1614" Type="http://schemas.openxmlformats.org/officeDocument/2006/relationships/hyperlink" Target="https://www.facebook.com/share/1EH2DAkYNo/" TargetMode="External"/><Relationship Id="rId1615" Type="http://schemas.openxmlformats.org/officeDocument/2006/relationships/hyperlink" Target="https://www.facebook.com/share/1EH2DAkYNo/" TargetMode="External"/><Relationship Id="rId1616" Type="http://schemas.openxmlformats.org/officeDocument/2006/relationships/hyperlink" Target="https://www.facebook.com/share/1EH2DAkYNo/" TargetMode="External"/><Relationship Id="rId907" Type="http://schemas.openxmlformats.org/officeDocument/2006/relationships/hyperlink" Target="https://www.facebook.com/share/1UWuJf3ES5/" TargetMode="External"/><Relationship Id="rId1617" Type="http://schemas.openxmlformats.org/officeDocument/2006/relationships/hyperlink" Target="https://www.facebook.com/share/1BrhEiMvDx/" TargetMode="External"/><Relationship Id="rId906" Type="http://schemas.openxmlformats.org/officeDocument/2006/relationships/hyperlink" Target="https://www.facebook.com/share/1UWuJf3ES5/" TargetMode="External"/><Relationship Id="rId1618" Type="http://schemas.openxmlformats.org/officeDocument/2006/relationships/hyperlink" Target="https://www.facebook.com/share/1BrhEiMvDx/" TargetMode="External"/><Relationship Id="rId905" Type="http://schemas.openxmlformats.org/officeDocument/2006/relationships/hyperlink" Target="https://www.facebook.com/share/1UWuJf3ES5/" TargetMode="External"/><Relationship Id="rId1619" Type="http://schemas.openxmlformats.org/officeDocument/2006/relationships/hyperlink" Target="https://www.facebook.com/share/1BrhEiMvDx/" TargetMode="External"/><Relationship Id="rId904" Type="http://schemas.openxmlformats.org/officeDocument/2006/relationships/hyperlink" Target="https://www.facebook.com/share/1B6tmmLF4a/" TargetMode="External"/><Relationship Id="rId909" Type="http://schemas.openxmlformats.org/officeDocument/2006/relationships/hyperlink" Target="https://www.facebook.com/share/1N9dL3dSn3/" TargetMode="External"/><Relationship Id="rId908" Type="http://schemas.openxmlformats.org/officeDocument/2006/relationships/hyperlink" Target="https://www.facebook.com/share/1N9dL3dSn3/" TargetMode="External"/><Relationship Id="rId903" Type="http://schemas.openxmlformats.org/officeDocument/2006/relationships/hyperlink" Target="https://www.facebook.com/share/1Dt23VSuiV/" TargetMode="External"/><Relationship Id="rId902" Type="http://schemas.openxmlformats.org/officeDocument/2006/relationships/hyperlink" Target="https://www.facebook.com/share/1E5L6upzSm/" TargetMode="External"/><Relationship Id="rId901" Type="http://schemas.openxmlformats.org/officeDocument/2006/relationships/hyperlink" Target="https://www.facebook.com/share/1L63GHmkAe/" TargetMode="External"/><Relationship Id="rId900" Type="http://schemas.openxmlformats.org/officeDocument/2006/relationships/hyperlink" Target="https://www.facebook.com/share/1L63GHmkAe/" TargetMode="External"/><Relationship Id="rId1600" Type="http://schemas.openxmlformats.org/officeDocument/2006/relationships/hyperlink" Target="https://www.facebook.com/share/1EDGjhYJ6g/" TargetMode="External"/><Relationship Id="rId1601" Type="http://schemas.openxmlformats.org/officeDocument/2006/relationships/hyperlink" Target="https://www.facebook.com/share/1Djz3y2kCE/" TargetMode="External"/><Relationship Id="rId1602" Type="http://schemas.openxmlformats.org/officeDocument/2006/relationships/hyperlink" Target="https://www.facebook.com/share/1Djz3y2kCE/" TargetMode="External"/><Relationship Id="rId1603" Type="http://schemas.openxmlformats.org/officeDocument/2006/relationships/hyperlink" Target="https://www.facebook.com/share/1CwYPTz53G/" TargetMode="External"/><Relationship Id="rId1604" Type="http://schemas.openxmlformats.org/officeDocument/2006/relationships/hyperlink" Target="https://www.facebook.com/share/1Capd2jYfk/" TargetMode="External"/><Relationship Id="rId1605" Type="http://schemas.openxmlformats.org/officeDocument/2006/relationships/hyperlink" Target="https://www.facebook.com/share/1Capd2jYfk/" TargetMode="External"/><Relationship Id="rId1606" Type="http://schemas.openxmlformats.org/officeDocument/2006/relationships/hyperlink" Target="https://www.facebook.com/share/1HkMQLQBWx/" TargetMode="External"/><Relationship Id="rId1607" Type="http://schemas.openxmlformats.org/officeDocument/2006/relationships/hyperlink" Target="https://www.facebook.com/share/1E8XH3GcXV/" TargetMode="External"/><Relationship Id="rId1608" Type="http://schemas.openxmlformats.org/officeDocument/2006/relationships/hyperlink" Target="https://www.facebook.com/share/1DNy2bNk5o/" TargetMode="External"/><Relationship Id="rId1609" Type="http://schemas.openxmlformats.org/officeDocument/2006/relationships/hyperlink" Target="https://www.facebook.com/share/1AwAssEDjE/" TargetMode="External"/><Relationship Id="rId1631" Type="http://schemas.openxmlformats.org/officeDocument/2006/relationships/hyperlink" Target="https://www.facebook.com/share/1BfbctzvTW/" TargetMode="External"/><Relationship Id="rId1632" Type="http://schemas.openxmlformats.org/officeDocument/2006/relationships/hyperlink" Target="https://www.facebook.com/m.dggiuu001" TargetMode="External"/><Relationship Id="rId1633" Type="http://schemas.openxmlformats.org/officeDocument/2006/relationships/hyperlink" Target="https://www.facebook.com/share/1CdvwuiRZ5/" TargetMode="External"/><Relationship Id="rId1634" Type="http://schemas.openxmlformats.org/officeDocument/2006/relationships/hyperlink" Target="https://www.facebook.com/share/1DyTUyH95n/" TargetMode="External"/><Relationship Id="rId1635" Type="http://schemas.openxmlformats.org/officeDocument/2006/relationships/hyperlink" Target="https://www.facebook.com/share/1E2DKrQMUn/" TargetMode="External"/><Relationship Id="rId1636" Type="http://schemas.openxmlformats.org/officeDocument/2006/relationships/hyperlink" Target="https://www.facebook.com/share/1E2DKrQMUn/" TargetMode="External"/><Relationship Id="rId1637" Type="http://schemas.openxmlformats.org/officeDocument/2006/relationships/hyperlink" Target="https://www.facebook.com/share/1E8uDmku72/" TargetMode="External"/><Relationship Id="rId1638" Type="http://schemas.openxmlformats.org/officeDocument/2006/relationships/hyperlink" Target="https://www.facebook.com/share/1EPVhLHtYr/" TargetMode="External"/><Relationship Id="rId929" Type="http://schemas.openxmlformats.org/officeDocument/2006/relationships/hyperlink" Target="https://www.facebook.com/share/1UQrAejni5/" TargetMode="External"/><Relationship Id="rId1639" Type="http://schemas.openxmlformats.org/officeDocument/2006/relationships/hyperlink" Target="https://www.facebook.com/share/1Gg3vgbWjX/" TargetMode="External"/><Relationship Id="rId928" Type="http://schemas.openxmlformats.org/officeDocument/2006/relationships/hyperlink" Target="https://www.facebook.com/share/1UQrAejni5/" TargetMode="External"/><Relationship Id="rId927" Type="http://schemas.openxmlformats.org/officeDocument/2006/relationships/hyperlink" Target="https://www.facebook.com/share/1UQrAejni5/" TargetMode="External"/><Relationship Id="rId926" Type="http://schemas.openxmlformats.org/officeDocument/2006/relationships/hyperlink" Target="https://www.facebook.com/share/1UQrAejni5/" TargetMode="External"/><Relationship Id="rId921" Type="http://schemas.openxmlformats.org/officeDocument/2006/relationships/hyperlink" Target="https://www.facebook.com/share/1E6y4N2dcJ/" TargetMode="External"/><Relationship Id="rId920" Type="http://schemas.openxmlformats.org/officeDocument/2006/relationships/hyperlink" Target="https://www.facebook.com/share/1E6y4N2dcJ/" TargetMode="External"/><Relationship Id="rId925" Type="http://schemas.openxmlformats.org/officeDocument/2006/relationships/hyperlink" Target="https://www.facebook.com/share/18RiB9TAV4/" TargetMode="External"/><Relationship Id="rId924" Type="http://schemas.openxmlformats.org/officeDocument/2006/relationships/hyperlink" Target="https://www.facebook.com/share/18RiB9TAV4/" TargetMode="External"/><Relationship Id="rId923" Type="http://schemas.openxmlformats.org/officeDocument/2006/relationships/hyperlink" Target="https://www.facebook.com/share/1E6y4N2dcJ/" TargetMode="External"/><Relationship Id="rId922" Type="http://schemas.openxmlformats.org/officeDocument/2006/relationships/hyperlink" Target="https://www.facebook.com/share/1E6y4N2dcJ/" TargetMode="External"/><Relationship Id="rId1630" Type="http://schemas.openxmlformats.org/officeDocument/2006/relationships/hyperlink" Target="https://www.facebook.com/share/17TmUS6LZ7/" TargetMode="External"/><Relationship Id="rId1620" Type="http://schemas.openxmlformats.org/officeDocument/2006/relationships/hyperlink" Target="https://www.facebook.com/share/1BrhEiMvDx/" TargetMode="External"/><Relationship Id="rId1621" Type="http://schemas.openxmlformats.org/officeDocument/2006/relationships/hyperlink" Target="https://www.facebook.com/share/1BrhEiMvDx/" TargetMode="External"/><Relationship Id="rId1622" Type="http://schemas.openxmlformats.org/officeDocument/2006/relationships/hyperlink" Target="https://www.facebook.com/share/18tbV9tDdS/" TargetMode="External"/><Relationship Id="rId1623" Type="http://schemas.openxmlformats.org/officeDocument/2006/relationships/hyperlink" Target="https://www.facebook.com/share/18tbV9tDdS/" TargetMode="External"/><Relationship Id="rId1624" Type="http://schemas.openxmlformats.org/officeDocument/2006/relationships/hyperlink" Target="https://www.facebook.com/share/1JHCfrkoud/" TargetMode="External"/><Relationship Id="rId1625" Type="http://schemas.openxmlformats.org/officeDocument/2006/relationships/hyperlink" Target="https://www.facebook.com/share/16w38LHfLv/" TargetMode="External"/><Relationship Id="rId1626" Type="http://schemas.openxmlformats.org/officeDocument/2006/relationships/hyperlink" Target="https://www.facebook.com/share/1EDBPZwu8Z/" TargetMode="External"/><Relationship Id="rId1627" Type="http://schemas.openxmlformats.org/officeDocument/2006/relationships/hyperlink" Target="https://www.facebook.com/profile.php?id=100008702644577" TargetMode="External"/><Relationship Id="rId918" Type="http://schemas.openxmlformats.org/officeDocument/2006/relationships/hyperlink" Target="https://www.facebook.com/share/18TRjqgsfP/" TargetMode="External"/><Relationship Id="rId1628" Type="http://schemas.openxmlformats.org/officeDocument/2006/relationships/hyperlink" Target="https://www.facebook.com/share/1GCoAqwy1m/" TargetMode="External"/><Relationship Id="rId917" Type="http://schemas.openxmlformats.org/officeDocument/2006/relationships/hyperlink" Target="https://www.facebook.com/share/18TRjqgsfP/" TargetMode="External"/><Relationship Id="rId1629" Type="http://schemas.openxmlformats.org/officeDocument/2006/relationships/hyperlink" Target="https://www.facebook.com/share/1HikNfPCh3/" TargetMode="External"/><Relationship Id="rId916" Type="http://schemas.openxmlformats.org/officeDocument/2006/relationships/hyperlink" Target="https://www.facebook.com/share/18TRjqgsfP/" TargetMode="External"/><Relationship Id="rId915" Type="http://schemas.openxmlformats.org/officeDocument/2006/relationships/hyperlink" Target="https://www.facebook.com/share/18TRjqgsfP/" TargetMode="External"/><Relationship Id="rId919" Type="http://schemas.openxmlformats.org/officeDocument/2006/relationships/hyperlink" Target="https://www.facebook.com/share/1AkdELBB38/" TargetMode="External"/><Relationship Id="rId910" Type="http://schemas.openxmlformats.org/officeDocument/2006/relationships/hyperlink" Target="https://www.facebook.com/share/18jYhGt2gN/" TargetMode="External"/><Relationship Id="rId914" Type="http://schemas.openxmlformats.org/officeDocument/2006/relationships/hyperlink" Target="https://www.facebook.com/share/1B7dCmr9XS/" TargetMode="External"/><Relationship Id="rId913" Type="http://schemas.openxmlformats.org/officeDocument/2006/relationships/hyperlink" Target="https://www.facebook.com/share/1B7dCmr9XS/" TargetMode="External"/><Relationship Id="rId912" Type="http://schemas.openxmlformats.org/officeDocument/2006/relationships/hyperlink" Target="https://www.facebook.com/share/1B7dCmr9XS/" TargetMode="External"/><Relationship Id="rId911" Type="http://schemas.openxmlformats.org/officeDocument/2006/relationships/hyperlink" Target="https://www.facebook.com/share/18jYhGt2gN/" TargetMode="External"/><Relationship Id="rId1213" Type="http://schemas.openxmlformats.org/officeDocument/2006/relationships/hyperlink" Target="https://www.facebook.com/share/1BSTbxWFeY/" TargetMode="External"/><Relationship Id="rId1697" Type="http://schemas.openxmlformats.org/officeDocument/2006/relationships/hyperlink" Target="https://www.facebook.com/share/18aY4VNurM/" TargetMode="External"/><Relationship Id="rId1214" Type="http://schemas.openxmlformats.org/officeDocument/2006/relationships/hyperlink" Target="https://www.facebook.com/share/18rbxAAeg4/" TargetMode="External"/><Relationship Id="rId1698" Type="http://schemas.openxmlformats.org/officeDocument/2006/relationships/hyperlink" Target="https://www.facebook.com/share/18aY4VNurM/" TargetMode="External"/><Relationship Id="rId1215" Type="http://schemas.openxmlformats.org/officeDocument/2006/relationships/hyperlink" Target="https://www.facebook.com/share/18rbxAAeg4/" TargetMode="External"/><Relationship Id="rId1699" Type="http://schemas.openxmlformats.org/officeDocument/2006/relationships/hyperlink" Target="https://www.facebook.com/share/1GaikYLsGp/" TargetMode="External"/><Relationship Id="rId1216" Type="http://schemas.openxmlformats.org/officeDocument/2006/relationships/hyperlink" Target="https://www.facebook.com/share/1EYCdu296a/" TargetMode="External"/><Relationship Id="rId1217" Type="http://schemas.openxmlformats.org/officeDocument/2006/relationships/hyperlink" Target="https://www.facebook.com/share/18aCpT6BMF/" TargetMode="External"/><Relationship Id="rId1218" Type="http://schemas.openxmlformats.org/officeDocument/2006/relationships/hyperlink" Target="https://www.facebook.com/share/18aCpT6BMF/" TargetMode="External"/><Relationship Id="rId1219" Type="http://schemas.openxmlformats.org/officeDocument/2006/relationships/hyperlink" Target="https://www.facebook.com/share/1QWVytVgTL/" TargetMode="External"/><Relationship Id="rId866" Type="http://schemas.openxmlformats.org/officeDocument/2006/relationships/hyperlink" Target="https://www.facebook.com/share/1E8uDmku72/" TargetMode="External"/><Relationship Id="rId865" Type="http://schemas.openxmlformats.org/officeDocument/2006/relationships/hyperlink" Target="https://www.facebook.com/share/1E8uDmku72/" TargetMode="External"/><Relationship Id="rId864" Type="http://schemas.openxmlformats.org/officeDocument/2006/relationships/hyperlink" Target="https://www.facebook.com/share/1BJiN48dGQ/" TargetMode="External"/><Relationship Id="rId863" Type="http://schemas.openxmlformats.org/officeDocument/2006/relationships/hyperlink" Target="https://www.facebook.com/share/1BJiN48dGQ/" TargetMode="External"/><Relationship Id="rId869" Type="http://schemas.openxmlformats.org/officeDocument/2006/relationships/hyperlink" Target="https://www.facebook.com/share/18eA236Y4d/" TargetMode="External"/><Relationship Id="rId868" Type="http://schemas.openxmlformats.org/officeDocument/2006/relationships/hyperlink" Target="https://www.facebook.com/share/1BJiN48dGQ/" TargetMode="External"/><Relationship Id="rId867" Type="http://schemas.openxmlformats.org/officeDocument/2006/relationships/hyperlink" Target="https://www.facebook.com/share/1BJiN48dGQ/" TargetMode="External"/><Relationship Id="rId1690" Type="http://schemas.openxmlformats.org/officeDocument/2006/relationships/hyperlink" Target="https://www.facebook.com/htrazf" TargetMode="External"/><Relationship Id="rId1691" Type="http://schemas.openxmlformats.org/officeDocument/2006/relationships/hyperlink" Target="https://www.facebook.com/htrazf" TargetMode="External"/><Relationship Id="rId1692" Type="http://schemas.openxmlformats.org/officeDocument/2006/relationships/hyperlink" Target="https://www.facebook.com/share/1EZ24v5RFB/" TargetMode="External"/><Relationship Id="rId862" Type="http://schemas.openxmlformats.org/officeDocument/2006/relationships/hyperlink" Target="https://www.facebook.com/share/1c3DPxsS2c/" TargetMode="External"/><Relationship Id="rId1693" Type="http://schemas.openxmlformats.org/officeDocument/2006/relationships/hyperlink" Target="https://www.facebook.com/share/1CtBiYGm4L/" TargetMode="External"/><Relationship Id="rId861" Type="http://schemas.openxmlformats.org/officeDocument/2006/relationships/hyperlink" Target="https://www.facebook.com/share/1c3DPxsS2c/" TargetMode="External"/><Relationship Id="rId1210" Type="http://schemas.openxmlformats.org/officeDocument/2006/relationships/hyperlink" Target="https://www.facebook.com/share/1BZnsNFFkN/" TargetMode="External"/><Relationship Id="rId1694" Type="http://schemas.openxmlformats.org/officeDocument/2006/relationships/hyperlink" Target="https://www.facebook.com/share/1CtBiYGm4L/" TargetMode="External"/><Relationship Id="rId860" Type="http://schemas.openxmlformats.org/officeDocument/2006/relationships/hyperlink" Target="https://www.facebook.com/share/1c3DPxsS2c/" TargetMode="External"/><Relationship Id="rId1211" Type="http://schemas.openxmlformats.org/officeDocument/2006/relationships/hyperlink" Target="https://www.facebook.com/share/1BZnsNFFkN/" TargetMode="External"/><Relationship Id="rId1695" Type="http://schemas.openxmlformats.org/officeDocument/2006/relationships/hyperlink" Target="https://www.facebook.com/share/1LhsXUhLsp/" TargetMode="External"/><Relationship Id="rId1212" Type="http://schemas.openxmlformats.org/officeDocument/2006/relationships/hyperlink" Target="https://www.facebook.com/share/1BSTbxWFeY/" TargetMode="External"/><Relationship Id="rId1696" Type="http://schemas.openxmlformats.org/officeDocument/2006/relationships/hyperlink" Target="https://www.facebook.com/share/1LhsXUhLsp/" TargetMode="External"/><Relationship Id="rId1202" Type="http://schemas.openxmlformats.org/officeDocument/2006/relationships/hyperlink" Target="https://www.facebook.com/share/1B3QQAqPCG/" TargetMode="External"/><Relationship Id="rId1686" Type="http://schemas.openxmlformats.org/officeDocument/2006/relationships/hyperlink" Target="https://www.facebook.com/share/1JPAnqH3pm/" TargetMode="External"/><Relationship Id="rId1203" Type="http://schemas.openxmlformats.org/officeDocument/2006/relationships/hyperlink" Target="https://www.facebook.com/share/18xQ6EMuHr/" TargetMode="External"/><Relationship Id="rId1687" Type="http://schemas.openxmlformats.org/officeDocument/2006/relationships/hyperlink" Target="https://www.facebook.com/share/1JPAnqH3pm/" TargetMode="External"/><Relationship Id="rId1204" Type="http://schemas.openxmlformats.org/officeDocument/2006/relationships/hyperlink" Target="https://www.facebook.com/share/1719RAU1sG/" TargetMode="External"/><Relationship Id="rId1688" Type="http://schemas.openxmlformats.org/officeDocument/2006/relationships/hyperlink" Target="https://www.facebook.com/share/1Cpdxp69Qs/" TargetMode="External"/><Relationship Id="rId1205" Type="http://schemas.openxmlformats.org/officeDocument/2006/relationships/hyperlink" Target="https://www.facebook.com/share/1D5FNq918g/" TargetMode="External"/><Relationship Id="rId1689" Type="http://schemas.openxmlformats.org/officeDocument/2006/relationships/hyperlink" Target="https://www.facebook.com/share/1Cpdxp69Qs/" TargetMode="External"/><Relationship Id="rId1206" Type="http://schemas.openxmlformats.org/officeDocument/2006/relationships/hyperlink" Target="https://www.facebook.com/share/1D5FNq918g/" TargetMode="External"/><Relationship Id="rId1207" Type="http://schemas.openxmlformats.org/officeDocument/2006/relationships/hyperlink" Target="https://www.facebook.com/share/1D5FNq918g/" TargetMode="External"/><Relationship Id="rId1208" Type="http://schemas.openxmlformats.org/officeDocument/2006/relationships/hyperlink" Target="https://www.facebook.com/share/1D5FNq918g/" TargetMode="External"/><Relationship Id="rId1209" Type="http://schemas.openxmlformats.org/officeDocument/2006/relationships/hyperlink" Target="https://www.facebook.com/share/18iy3XAFo4/" TargetMode="External"/><Relationship Id="rId855" Type="http://schemas.openxmlformats.org/officeDocument/2006/relationships/hyperlink" Target="https://www.facebook.com/share/1PzpXCteua/" TargetMode="External"/><Relationship Id="rId854" Type="http://schemas.openxmlformats.org/officeDocument/2006/relationships/hyperlink" Target="https://www.facebook.com/share/1EHXz48UTB/" TargetMode="External"/><Relationship Id="rId853" Type="http://schemas.openxmlformats.org/officeDocument/2006/relationships/hyperlink" Target="https://www.facebook.com/share/1FNk1o5org/" TargetMode="External"/><Relationship Id="rId852" Type="http://schemas.openxmlformats.org/officeDocument/2006/relationships/hyperlink" Target="https://www.facebook.com/share/17FneLXveE/" TargetMode="External"/><Relationship Id="rId859" Type="http://schemas.openxmlformats.org/officeDocument/2006/relationships/hyperlink" Target="https://www.facebook.com/share/1CUb857TAX/" TargetMode="External"/><Relationship Id="rId858" Type="http://schemas.openxmlformats.org/officeDocument/2006/relationships/hyperlink" Target="https://www.facebook.com/share/1CUb857TAX/" TargetMode="External"/><Relationship Id="rId857" Type="http://schemas.openxmlformats.org/officeDocument/2006/relationships/hyperlink" Target="https://www.facebook.com/share/1EZ24v5RFB/" TargetMode="External"/><Relationship Id="rId856" Type="http://schemas.openxmlformats.org/officeDocument/2006/relationships/hyperlink" Target="https://www.facebook.com/meichan2212" TargetMode="External"/><Relationship Id="rId1680" Type="http://schemas.openxmlformats.org/officeDocument/2006/relationships/hyperlink" Target="https://www.facebook.com/share/1Avp9xcep2/" TargetMode="External"/><Relationship Id="rId1681" Type="http://schemas.openxmlformats.org/officeDocument/2006/relationships/hyperlink" Target="https://www.facebook.com/share/18VjqWHnSi/" TargetMode="External"/><Relationship Id="rId851" Type="http://schemas.openxmlformats.org/officeDocument/2006/relationships/hyperlink" Target="https://www.facebook.com/profile.php?id=61576325116102" TargetMode="External"/><Relationship Id="rId1682" Type="http://schemas.openxmlformats.org/officeDocument/2006/relationships/hyperlink" Target="https://www.facebook.com/share/1EZ24v5RFB/" TargetMode="External"/><Relationship Id="rId850" Type="http://schemas.openxmlformats.org/officeDocument/2006/relationships/hyperlink" Target="https://www.facebook.com/profile.php?id=61576325116102" TargetMode="External"/><Relationship Id="rId1683" Type="http://schemas.openxmlformats.org/officeDocument/2006/relationships/hyperlink" Target="https://www.facebook.com/share/18nQLAfLNh/" TargetMode="External"/><Relationship Id="rId1200" Type="http://schemas.openxmlformats.org/officeDocument/2006/relationships/hyperlink" Target="https://www.facebook.com/share/1CW5hzwjJq/" TargetMode="External"/><Relationship Id="rId1684" Type="http://schemas.openxmlformats.org/officeDocument/2006/relationships/hyperlink" Target="https://www.facebook.com/share/1UWuJf3ES5/" TargetMode="External"/><Relationship Id="rId1201" Type="http://schemas.openxmlformats.org/officeDocument/2006/relationships/hyperlink" Target="https://www.facebook.com/share/1B3QQAqPCG/" TargetMode="External"/><Relationship Id="rId1685" Type="http://schemas.openxmlformats.org/officeDocument/2006/relationships/hyperlink" Target="https://www.facebook.com/share/1SK46cNAwn/" TargetMode="External"/><Relationship Id="rId1235" Type="http://schemas.openxmlformats.org/officeDocument/2006/relationships/hyperlink" Target="https://www.facebook.com/share/14ZJhNiPLas/" TargetMode="External"/><Relationship Id="rId1236" Type="http://schemas.openxmlformats.org/officeDocument/2006/relationships/hyperlink" Target="https://www.facebook.com/share/17PVHmEAc7/" TargetMode="External"/><Relationship Id="rId1237" Type="http://schemas.openxmlformats.org/officeDocument/2006/relationships/hyperlink" Target="https://www.facebook.com/share/17PVHmEAc7/" TargetMode="External"/><Relationship Id="rId1238" Type="http://schemas.openxmlformats.org/officeDocument/2006/relationships/hyperlink" Target="https://www.facebook.com/share/17PVHmEAc7/" TargetMode="External"/><Relationship Id="rId1239" Type="http://schemas.openxmlformats.org/officeDocument/2006/relationships/hyperlink" Target="https://www.facebook.com/share/1FfjafmV87/" TargetMode="External"/><Relationship Id="rId409" Type="http://schemas.openxmlformats.org/officeDocument/2006/relationships/hyperlink" Target="https://www.facebook.com/share/177hsDhyGz/" TargetMode="External"/><Relationship Id="rId404" Type="http://schemas.openxmlformats.org/officeDocument/2006/relationships/hyperlink" Target="https://www.facebook.com/profile.php?id=61576325116102" TargetMode="External"/><Relationship Id="rId888" Type="http://schemas.openxmlformats.org/officeDocument/2006/relationships/hyperlink" Target="https://www.facebook.com/share/18oLBxPTFA/" TargetMode="External"/><Relationship Id="rId403" Type="http://schemas.openxmlformats.org/officeDocument/2006/relationships/hyperlink" Target="https://www.facebook.com/profile.php?id=61576325116102" TargetMode="External"/><Relationship Id="rId887" Type="http://schemas.openxmlformats.org/officeDocument/2006/relationships/hyperlink" Target="https://www.facebook.com/share/18oLBxPTFA/" TargetMode="External"/><Relationship Id="rId402" Type="http://schemas.openxmlformats.org/officeDocument/2006/relationships/hyperlink" Target="https://www.facebook.com/profile.php?id=61576325116102" TargetMode="External"/><Relationship Id="rId886" Type="http://schemas.openxmlformats.org/officeDocument/2006/relationships/hyperlink" Target="https://www.facebook.com/share/18oLBxPTFA/" TargetMode="External"/><Relationship Id="rId401" Type="http://schemas.openxmlformats.org/officeDocument/2006/relationships/hyperlink" Target="https://www.facebook.com/share/178jkpzZUv/" TargetMode="External"/><Relationship Id="rId885" Type="http://schemas.openxmlformats.org/officeDocument/2006/relationships/hyperlink" Target="https://www.facebook.com/share/1HhJ1Gk2Qq/" TargetMode="External"/><Relationship Id="rId408" Type="http://schemas.openxmlformats.org/officeDocument/2006/relationships/hyperlink" Target="https://www.facebook.com/share/177hsDhyGz/" TargetMode="External"/><Relationship Id="rId407" Type="http://schemas.openxmlformats.org/officeDocument/2006/relationships/hyperlink" Target="https://www.facebook.com/share/1GStDBv9J5/" TargetMode="External"/><Relationship Id="rId406" Type="http://schemas.openxmlformats.org/officeDocument/2006/relationships/hyperlink" Target="https://www.facebook.com/share/1GStDBv9J5/" TargetMode="External"/><Relationship Id="rId405" Type="http://schemas.openxmlformats.org/officeDocument/2006/relationships/hyperlink" Target="https://www.facebook.com/share/1CYRqHhKAG/" TargetMode="External"/><Relationship Id="rId889" Type="http://schemas.openxmlformats.org/officeDocument/2006/relationships/hyperlink" Target="https://www.facebook.com/share/19cDxRh8W9/" TargetMode="External"/><Relationship Id="rId880" Type="http://schemas.openxmlformats.org/officeDocument/2006/relationships/hyperlink" Target="https://www.facebook.com/share/1FEi6tA76d/" TargetMode="External"/><Relationship Id="rId1230" Type="http://schemas.openxmlformats.org/officeDocument/2006/relationships/hyperlink" Target="https://www.facebook.com/share/15kK2bTepJt/" TargetMode="External"/><Relationship Id="rId400" Type="http://schemas.openxmlformats.org/officeDocument/2006/relationships/hyperlink" Target="https://www.facebook.com/share/1EKcyPLr4P/" TargetMode="External"/><Relationship Id="rId884" Type="http://schemas.openxmlformats.org/officeDocument/2006/relationships/hyperlink" Target="https://www.facebook.com/share/1HhJ1Gk2Qq/" TargetMode="External"/><Relationship Id="rId1231" Type="http://schemas.openxmlformats.org/officeDocument/2006/relationships/hyperlink" Target="https://www.facebook.com/share/1CUb857TAX/" TargetMode="External"/><Relationship Id="rId883" Type="http://schemas.openxmlformats.org/officeDocument/2006/relationships/hyperlink" Target="https://www.facebook.com/share/1AvgCpRN73/" TargetMode="External"/><Relationship Id="rId1232" Type="http://schemas.openxmlformats.org/officeDocument/2006/relationships/hyperlink" Target="https://www.facebook.com/share/1CUb857TAX/" TargetMode="External"/><Relationship Id="rId882" Type="http://schemas.openxmlformats.org/officeDocument/2006/relationships/hyperlink" Target="https://www.facebook.com/share/1FEi6tA76d/" TargetMode="External"/><Relationship Id="rId1233" Type="http://schemas.openxmlformats.org/officeDocument/2006/relationships/hyperlink" Target="https://www.facebook.com/share/14XMtwmxsBV/" TargetMode="External"/><Relationship Id="rId881" Type="http://schemas.openxmlformats.org/officeDocument/2006/relationships/hyperlink" Target="https://www.facebook.com/share/1FEi6tA76d/" TargetMode="External"/><Relationship Id="rId1234" Type="http://schemas.openxmlformats.org/officeDocument/2006/relationships/hyperlink" Target="https://www.facebook.com/share/14ZJhNiPLas/" TargetMode="External"/><Relationship Id="rId1224" Type="http://schemas.openxmlformats.org/officeDocument/2006/relationships/hyperlink" Target="https://www.facebook.com/share/17cbbwByUH/" TargetMode="External"/><Relationship Id="rId1225" Type="http://schemas.openxmlformats.org/officeDocument/2006/relationships/hyperlink" Target="https://www.facebook.com/share/1CYCJgfgF8/" TargetMode="External"/><Relationship Id="rId1226" Type="http://schemas.openxmlformats.org/officeDocument/2006/relationships/hyperlink" Target="https://www.facebook.com/share/1CCfdSQA5t/" TargetMode="External"/><Relationship Id="rId1227" Type="http://schemas.openxmlformats.org/officeDocument/2006/relationships/hyperlink" Target="https://www.facebook.com/share/1CCfdSQA5t/" TargetMode="External"/><Relationship Id="rId1228" Type="http://schemas.openxmlformats.org/officeDocument/2006/relationships/hyperlink" Target="https://www.facebook.com/share/1HAwqiv381/" TargetMode="External"/><Relationship Id="rId1229" Type="http://schemas.openxmlformats.org/officeDocument/2006/relationships/hyperlink" Target="https://www.facebook.com/share/1HAwqiv381/" TargetMode="External"/><Relationship Id="rId877" Type="http://schemas.openxmlformats.org/officeDocument/2006/relationships/hyperlink" Target="https://www.facebook.com/share/1CKL9EsMR8/" TargetMode="External"/><Relationship Id="rId876" Type="http://schemas.openxmlformats.org/officeDocument/2006/relationships/hyperlink" Target="https://www.facebook.com/share/1MhTuRFEYp/" TargetMode="External"/><Relationship Id="rId875" Type="http://schemas.openxmlformats.org/officeDocument/2006/relationships/hyperlink" Target="https://www.facebook.com/share/1CXpLK2cxy/" TargetMode="External"/><Relationship Id="rId874" Type="http://schemas.openxmlformats.org/officeDocument/2006/relationships/hyperlink" Target="https://www.facebook.com/share/1CXpLK2cxy/" TargetMode="External"/><Relationship Id="rId879" Type="http://schemas.openxmlformats.org/officeDocument/2006/relationships/hyperlink" Target="https://www.facebook.com/share/1FEi6tA76d/" TargetMode="External"/><Relationship Id="rId878" Type="http://schemas.openxmlformats.org/officeDocument/2006/relationships/hyperlink" Target="https://www.facebook.com/share/1CKL9EsMR8/" TargetMode="External"/><Relationship Id="rId873" Type="http://schemas.openxmlformats.org/officeDocument/2006/relationships/hyperlink" Target="https://www.facebook.com/share/1B77Uji1Rv/" TargetMode="External"/><Relationship Id="rId1220" Type="http://schemas.openxmlformats.org/officeDocument/2006/relationships/hyperlink" Target="https://www.facebook.com/share/1B9GDpb5sV/" TargetMode="External"/><Relationship Id="rId872" Type="http://schemas.openxmlformats.org/officeDocument/2006/relationships/hyperlink" Target="https://www.facebook.com/share/1B77Uji1Rv/" TargetMode="External"/><Relationship Id="rId1221" Type="http://schemas.openxmlformats.org/officeDocument/2006/relationships/hyperlink" Target="https://www.facebook.com/share/1T8RbirZ9o/" TargetMode="External"/><Relationship Id="rId871" Type="http://schemas.openxmlformats.org/officeDocument/2006/relationships/hyperlink" Target="https://www.facebook.com/share/1B77Uji1Rv/" TargetMode="External"/><Relationship Id="rId1222" Type="http://schemas.openxmlformats.org/officeDocument/2006/relationships/hyperlink" Target="https://www.facebook.com/share/1CjwwHbuuk/" TargetMode="External"/><Relationship Id="rId870" Type="http://schemas.openxmlformats.org/officeDocument/2006/relationships/hyperlink" Target="https://www.facebook.com/share/1B77Uji1Rv/" TargetMode="External"/><Relationship Id="rId1223" Type="http://schemas.openxmlformats.org/officeDocument/2006/relationships/hyperlink" Target="https://www.facebook.com/share/17cbbwByUH/" TargetMode="External"/><Relationship Id="rId1653" Type="http://schemas.openxmlformats.org/officeDocument/2006/relationships/hyperlink" Target="https://www.facebook.com/share/1Dfat49Bxk/" TargetMode="External"/><Relationship Id="rId1654" Type="http://schemas.openxmlformats.org/officeDocument/2006/relationships/hyperlink" Target="https://www.facebook.com/share/1BZPRhH72x/" TargetMode="External"/><Relationship Id="rId1655" Type="http://schemas.openxmlformats.org/officeDocument/2006/relationships/hyperlink" Target="https://www.facebook.com/share/18ovJtYzt4/" TargetMode="External"/><Relationship Id="rId1656" Type="http://schemas.openxmlformats.org/officeDocument/2006/relationships/hyperlink" Target="https://www.facebook.com/share/18Qm4SVkLG/" TargetMode="External"/><Relationship Id="rId1657" Type="http://schemas.openxmlformats.org/officeDocument/2006/relationships/hyperlink" Target="https://www.facebook.com/share/18nSa1ZD6t/" TargetMode="External"/><Relationship Id="rId1658" Type="http://schemas.openxmlformats.org/officeDocument/2006/relationships/hyperlink" Target="https://www.facebook.com/share/18mpJNuFbK/" TargetMode="External"/><Relationship Id="rId1659" Type="http://schemas.openxmlformats.org/officeDocument/2006/relationships/hyperlink" Target="https://www.facebook.com/share/1DtSYuuVDQ/" TargetMode="External"/><Relationship Id="rId829" Type="http://schemas.openxmlformats.org/officeDocument/2006/relationships/hyperlink" Target="https://www.facebook.com/share/1ApHfEfEJX/" TargetMode="External"/><Relationship Id="rId828" Type="http://schemas.openxmlformats.org/officeDocument/2006/relationships/hyperlink" Target="https://www.facebook.com/share/1HtjuPa7Zu/" TargetMode="External"/><Relationship Id="rId827" Type="http://schemas.openxmlformats.org/officeDocument/2006/relationships/hyperlink" Target="https://www.facebook.com/share/1HtjuPa7Zu/" TargetMode="External"/><Relationship Id="rId822" Type="http://schemas.openxmlformats.org/officeDocument/2006/relationships/hyperlink" Target="https://www.facebook.com/share/1UMzvfNuzJ/" TargetMode="External"/><Relationship Id="rId821" Type="http://schemas.openxmlformats.org/officeDocument/2006/relationships/hyperlink" Target="https://www.facebook.com/share/1KPCtLNzm4/" TargetMode="External"/><Relationship Id="rId820" Type="http://schemas.openxmlformats.org/officeDocument/2006/relationships/hyperlink" Target="https://www.facebook.com/share/1bMbRV2JwS/" TargetMode="External"/><Relationship Id="rId826" Type="http://schemas.openxmlformats.org/officeDocument/2006/relationships/hyperlink" Target="https://www.facebook.com/share/18SSsD3Qeq/" TargetMode="External"/><Relationship Id="rId825" Type="http://schemas.openxmlformats.org/officeDocument/2006/relationships/hyperlink" Target="https://www.facebook.com/share/1Kv3dG38HJ/" TargetMode="External"/><Relationship Id="rId824" Type="http://schemas.openxmlformats.org/officeDocument/2006/relationships/hyperlink" Target="https://www.facebook.com/share/1Kv3dG38HJ/" TargetMode="External"/><Relationship Id="rId823" Type="http://schemas.openxmlformats.org/officeDocument/2006/relationships/hyperlink" Target="https://www.facebook.com/share/1HikNfPCh3/" TargetMode="External"/><Relationship Id="rId1650" Type="http://schemas.openxmlformats.org/officeDocument/2006/relationships/hyperlink" Target="https://www.facebook.com/share/1B9eXpfuMf/" TargetMode="External"/><Relationship Id="rId1651" Type="http://schemas.openxmlformats.org/officeDocument/2006/relationships/hyperlink" Target="https://www.facebook.com/share/1BKCBUHLHG/" TargetMode="External"/><Relationship Id="rId1652" Type="http://schemas.openxmlformats.org/officeDocument/2006/relationships/hyperlink" Target="https://www.facebook.com/profile.php?id=100014304249016" TargetMode="External"/><Relationship Id="rId1642" Type="http://schemas.openxmlformats.org/officeDocument/2006/relationships/hyperlink" Target="https://www.facebook.com/share/1Dv88XY8wC/" TargetMode="External"/><Relationship Id="rId1643" Type="http://schemas.openxmlformats.org/officeDocument/2006/relationships/hyperlink" Target="https://www.facebook.com/share/1EY9qvjffP/" TargetMode="External"/><Relationship Id="rId1644" Type="http://schemas.openxmlformats.org/officeDocument/2006/relationships/hyperlink" Target="https://www.facebook.com/share/1EY9qvjffP/" TargetMode="External"/><Relationship Id="rId1645" Type="http://schemas.openxmlformats.org/officeDocument/2006/relationships/hyperlink" Target="https://www.facebook.com/share/1EY9qvjffP/" TargetMode="External"/><Relationship Id="rId1646" Type="http://schemas.openxmlformats.org/officeDocument/2006/relationships/hyperlink" Target="https://www.facebook.com/share/1Aen4qAdYq/" TargetMode="External"/><Relationship Id="rId1647" Type="http://schemas.openxmlformats.org/officeDocument/2006/relationships/hyperlink" Target="https://www.facebook.com/share/1DBne7Vek9/" TargetMode="External"/><Relationship Id="rId1648" Type="http://schemas.openxmlformats.org/officeDocument/2006/relationships/hyperlink" Target="https://www.facebook.com/share/1EY4iNTsk6/" TargetMode="External"/><Relationship Id="rId1649" Type="http://schemas.openxmlformats.org/officeDocument/2006/relationships/hyperlink" Target="https://www.facebook.com/share/17kByi2p6a/" TargetMode="External"/><Relationship Id="rId819" Type="http://schemas.openxmlformats.org/officeDocument/2006/relationships/hyperlink" Target="https://www.facebook.com/share/1C8YfDMZoV/" TargetMode="External"/><Relationship Id="rId818" Type="http://schemas.openxmlformats.org/officeDocument/2006/relationships/hyperlink" Target="https://www.facebook.com/share/1DzVMAy8pB/" TargetMode="External"/><Relationship Id="rId817" Type="http://schemas.openxmlformats.org/officeDocument/2006/relationships/hyperlink" Target="https://www.facebook.com/share/1Ddu6gKtDs/" TargetMode="External"/><Relationship Id="rId816" Type="http://schemas.openxmlformats.org/officeDocument/2006/relationships/hyperlink" Target="https://www.facebook.com/share/1DquQtvUuz/" TargetMode="External"/><Relationship Id="rId811" Type="http://schemas.openxmlformats.org/officeDocument/2006/relationships/hyperlink" Target="https://www.facebook.com/share/1EZ24v5RFB/" TargetMode="External"/><Relationship Id="rId810" Type="http://schemas.openxmlformats.org/officeDocument/2006/relationships/hyperlink" Target="https://www.facebook.com/profile.php?id=61550872307675" TargetMode="External"/><Relationship Id="rId815" Type="http://schemas.openxmlformats.org/officeDocument/2006/relationships/hyperlink" Target="https://www.facebook.com/share/1AkdELBB38/" TargetMode="External"/><Relationship Id="rId814" Type="http://schemas.openxmlformats.org/officeDocument/2006/relationships/hyperlink" Target="https://www.facebook.com/meichan2212" TargetMode="External"/><Relationship Id="rId813" Type="http://schemas.openxmlformats.org/officeDocument/2006/relationships/hyperlink" Target="https://www.facebook.com/share/1HzVAd1hgJ/" TargetMode="External"/><Relationship Id="rId812" Type="http://schemas.openxmlformats.org/officeDocument/2006/relationships/hyperlink" Target="https://www.facebook.com/share/18D7LfCLMb/" TargetMode="External"/><Relationship Id="rId1640" Type="http://schemas.openxmlformats.org/officeDocument/2006/relationships/hyperlink" Target="https://www.facebook.com/share/1Dv88XY8wC/" TargetMode="External"/><Relationship Id="rId1641" Type="http://schemas.openxmlformats.org/officeDocument/2006/relationships/hyperlink" Target="https://www.facebook.com/share/1Dv88XY8wC/" TargetMode="External"/><Relationship Id="rId1675" Type="http://schemas.openxmlformats.org/officeDocument/2006/relationships/hyperlink" Target="https://www.facebook.com/share/18pfs8LSwH/" TargetMode="External"/><Relationship Id="rId1676" Type="http://schemas.openxmlformats.org/officeDocument/2006/relationships/hyperlink" Target="https://www.facebook.com/share/1UDhai31AQ/" TargetMode="External"/><Relationship Id="rId1677" Type="http://schemas.openxmlformats.org/officeDocument/2006/relationships/hyperlink" Target="https://www.facebook.com/share/18VqhX37ow/" TargetMode="External"/><Relationship Id="rId1678" Type="http://schemas.openxmlformats.org/officeDocument/2006/relationships/hyperlink" Target="https://www.facebook.com/share/18VqhX37ow/" TargetMode="External"/><Relationship Id="rId1679" Type="http://schemas.openxmlformats.org/officeDocument/2006/relationships/hyperlink" Target="https://www.facebook.com/share/1BZPRhH72x/" TargetMode="External"/><Relationship Id="rId849" Type="http://schemas.openxmlformats.org/officeDocument/2006/relationships/hyperlink" Target="https://www.facebook.com/share/18KdXCfDUc/" TargetMode="External"/><Relationship Id="rId844" Type="http://schemas.openxmlformats.org/officeDocument/2006/relationships/hyperlink" Target="https://www.facebook.com/share/1CDSe3L3U9/" TargetMode="External"/><Relationship Id="rId843" Type="http://schemas.openxmlformats.org/officeDocument/2006/relationships/hyperlink" Target="https://www.facebook.com/share/1CDSe3L3U9/" TargetMode="External"/><Relationship Id="rId842" Type="http://schemas.openxmlformats.org/officeDocument/2006/relationships/hyperlink" Target="https://www.facebook.com/meichan2212" TargetMode="External"/><Relationship Id="rId841" Type="http://schemas.openxmlformats.org/officeDocument/2006/relationships/hyperlink" Target="https://www.facebook.com/meichan2212" TargetMode="External"/><Relationship Id="rId848" Type="http://schemas.openxmlformats.org/officeDocument/2006/relationships/hyperlink" Target="https://www.facebook.com/share/18KdXCfDUc/" TargetMode="External"/><Relationship Id="rId847" Type="http://schemas.openxmlformats.org/officeDocument/2006/relationships/hyperlink" Target="https://www.facebook.com/share/14a5gmp8tcp/" TargetMode="External"/><Relationship Id="rId846" Type="http://schemas.openxmlformats.org/officeDocument/2006/relationships/hyperlink" Target="https://www.facebook.com/share/14a5gmp8tcp/" TargetMode="External"/><Relationship Id="rId845" Type="http://schemas.openxmlformats.org/officeDocument/2006/relationships/hyperlink" Target="https://www.facebook.com/share/15sqGZz5R5r/" TargetMode="External"/><Relationship Id="rId1670" Type="http://schemas.openxmlformats.org/officeDocument/2006/relationships/hyperlink" Target="https://www.facebook.com/share/1CV4yTWCSr/" TargetMode="External"/><Relationship Id="rId840" Type="http://schemas.openxmlformats.org/officeDocument/2006/relationships/hyperlink" Target="https://www.facebook.com/share/1USjS6Nb6N/" TargetMode="External"/><Relationship Id="rId1671" Type="http://schemas.openxmlformats.org/officeDocument/2006/relationships/hyperlink" Target="https://www.facebook.com/share/1Nv44q6ZjK/" TargetMode="External"/><Relationship Id="rId1672" Type="http://schemas.openxmlformats.org/officeDocument/2006/relationships/hyperlink" Target="https://www.facebook.com/share/1Nv44q6ZjK/" TargetMode="External"/><Relationship Id="rId1673" Type="http://schemas.openxmlformats.org/officeDocument/2006/relationships/hyperlink" Target="https://www.facebook.com/share/1Nv44q6ZjK/" TargetMode="External"/><Relationship Id="rId1674" Type="http://schemas.openxmlformats.org/officeDocument/2006/relationships/hyperlink" Target="https://www.facebook.com/share/1EBoWqewsT/" TargetMode="External"/><Relationship Id="rId1664" Type="http://schemas.openxmlformats.org/officeDocument/2006/relationships/hyperlink" Target="https://www.facebook.com/share/17QkraXKxj/" TargetMode="External"/><Relationship Id="rId1665" Type="http://schemas.openxmlformats.org/officeDocument/2006/relationships/hyperlink" Target="https://www.facebook.com/share/17QkraXKxj/" TargetMode="External"/><Relationship Id="rId1666" Type="http://schemas.openxmlformats.org/officeDocument/2006/relationships/hyperlink" Target="https://www.facebook.com/ut.hao.777" TargetMode="External"/><Relationship Id="rId1667" Type="http://schemas.openxmlformats.org/officeDocument/2006/relationships/hyperlink" Target="https://www.facebook.com/ut.hao.777" TargetMode="External"/><Relationship Id="rId1668" Type="http://schemas.openxmlformats.org/officeDocument/2006/relationships/hyperlink" Target="https://www.facebook.com/share/1E8uDmku72/" TargetMode="External"/><Relationship Id="rId1669" Type="http://schemas.openxmlformats.org/officeDocument/2006/relationships/hyperlink" Target="https://www.facebook.com/share/1E8uDmku72/" TargetMode="External"/><Relationship Id="rId839" Type="http://schemas.openxmlformats.org/officeDocument/2006/relationships/hyperlink" Target="https://www.facebook.com/share/1USjS6Nb6N/" TargetMode="External"/><Relationship Id="rId838" Type="http://schemas.openxmlformats.org/officeDocument/2006/relationships/hyperlink" Target="https://www.facebook.com/share/1USjS6Nb6N/" TargetMode="External"/><Relationship Id="rId833" Type="http://schemas.openxmlformats.org/officeDocument/2006/relationships/hyperlink" Target="https://www.facebook.com/share/17AguGKEwa/" TargetMode="External"/><Relationship Id="rId832" Type="http://schemas.openxmlformats.org/officeDocument/2006/relationships/hyperlink" Target="https://www.facebook.com/share/17AguGKEwa/" TargetMode="External"/><Relationship Id="rId831" Type="http://schemas.openxmlformats.org/officeDocument/2006/relationships/hyperlink" Target="https://www.facebook.com/share/17AguGKEwa/" TargetMode="External"/><Relationship Id="rId830" Type="http://schemas.openxmlformats.org/officeDocument/2006/relationships/hyperlink" Target="https://www.facebook.com/share/1ApHfEfEJX/" TargetMode="External"/><Relationship Id="rId837" Type="http://schemas.openxmlformats.org/officeDocument/2006/relationships/hyperlink" Target="https://www.facebook.com/share/1Kv3dG38HJ/" TargetMode="External"/><Relationship Id="rId836" Type="http://schemas.openxmlformats.org/officeDocument/2006/relationships/hyperlink" Target="https://www.facebook.com/share/1Kv3dG38HJ/" TargetMode="External"/><Relationship Id="rId835" Type="http://schemas.openxmlformats.org/officeDocument/2006/relationships/hyperlink" Target="https://www.facebook.com/share/1U6UvgrcRU/" TargetMode="External"/><Relationship Id="rId834" Type="http://schemas.openxmlformats.org/officeDocument/2006/relationships/hyperlink" Target="https://www.facebook.com/share/1U6UvgrcRU/" TargetMode="External"/><Relationship Id="rId1660" Type="http://schemas.openxmlformats.org/officeDocument/2006/relationships/hyperlink" Target="https://www.facebook.com/share/18WhPXbttX/" TargetMode="External"/><Relationship Id="rId1661" Type="http://schemas.openxmlformats.org/officeDocument/2006/relationships/hyperlink" Target="https://www.facebook.com/share/1Jt3nKppRt/" TargetMode="External"/><Relationship Id="rId1662" Type="http://schemas.openxmlformats.org/officeDocument/2006/relationships/hyperlink" Target="https://www.facebook.com/share/1CiUqRLbcY/" TargetMode="External"/><Relationship Id="rId1663" Type="http://schemas.openxmlformats.org/officeDocument/2006/relationships/hyperlink" Target="https://www.facebook.com/share/1CiUqRLbcY/" TargetMode="External"/><Relationship Id="rId2148" Type="http://schemas.openxmlformats.org/officeDocument/2006/relationships/hyperlink" Target="https://www.facebook.com/share/1GrQ4rgxWS/" TargetMode="External"/><Relationship Id="rId2149" Type="http://schemas.openxmlformats.org/officeDocument/2006/relationships/hyperlink" Target="https://www.facebook.com/share/1Exz5bAqDS/" TargetMode="External"/><Relationship Id="rId469" Type="http://schemas.openxmlformats.org/officeDocument/2006/relationships/hyperlink" Target="https://www.facebook.com/share/1GTDhFjN3n/" TargetMode="External"/><Relationship Id="rId468" Type="http://schemas.openxmlformats.org/officeDocument/2006/relationships/hyperlink" Target="https://www.facebook.com/share/1HWfxHb49P/" TargetMode="External"/><Relationship Id="rId467" Type="http://schemas.openxmlformats.org/officeDocument/2006/relationships/hyperlink" Target="https://www.facebook.com/share/1USjS6Nb6N/" TargetMode="External"/><Relationship Id="rId1290" Type="http://schemas.openxmlformats.org/officeDocument/2006/relationships/hyperlink" Target="https://www.facebook.com/share/1E9pUwEw9y/" TargetMode="External"/><Relationship Id="rId1291" Type="http://schemas.openxmlformats.org/officeDocument/2006/relationships/hyperlink" Target="https://www.facebook.com/share/1BKnyGxqCz/" TargetMode="External"/><Relationship Id="rId1292" Type="http://schemas.openxmlformats.org/officeDocument/2006/relationships/hyperlink" Target="https://www.facebook.com/share/18PZ2CB7YN/" TargetMode="External"/><Relationship Id="rId462" Type="http://schemas.openxmlformats.org/officeDocument/2006/relationships/hyperlink" Target="https://www.facebook.com/share/1AYsczqjVa/" TargetMode="External"/><Relationship Id="rId1293" Type="http://schemas.openxmlformats.org/officeDocument/2006/relationships/hyperlink" Target="https://www.facebook.com/share/1CvhDjGwZ5/" TargetMode="External"/><Relationship Id="rId2140" Type="http://schemas.openxmlformats.org/officeDocument/2006/relationships/hyperlink" Target="https://www.facebook.com/share/1H9V9CQWg9/" TargetMode="External"/><Relationship Id="rId461" Type="http://schemas.openxmlformats.org/officeDocument/2006/relationships/hyperlink" Target="https://www.facebook.com/share/1AYsczqjVa/" TargetMode="External"/><Relationship Id="rId1294" Type="http://schemas.openxmlformats.org/officeDocument/2006/relationships/hyperlink" Target="https://www.facebook.com/share/18CPjPVwxk/" TargetMode="External"/><Relationship Id="rId2141" Type="http://schemas.openxmlformats.org/officeDocument/2006/relationships/hyperlink" Target="https://www.facebook.com/share/1HikNfPCh3/" TargetMode="External"/><Relationship Id="rId460" Type="http://schemas.openxmlformats.org/officeDocument/2006/relationships/hyperlink" Target="https://www.facebook.com/share/1AYsczqjVa/" TargetMode="External"/><Relationship Id="rId1295" Type="http://schemas.openxmlformats.org/officeDocument/2006/relationships/hyperlink" Target="https://www.facebook.com/share/1GXcYfHdTj/" TargetMode="External"/><Relationship Id="rId2142" Type="http://schemas.openxmlformats.org/officeDocument/2006/relationships/hyperlink" Target="https://www.facebook.com/share/1Cd59PWxLb/" TargetMode="External"/><Relationship Id="rId1296" Type="http://schemas.openxmlformats.org/officeDocument/2006/relationships/hyperlink" Target="https://www.facebook.com/share/18dEyq4PuM/" TargetMode="External"/><Relationship Id="rId2143" Type="http://schemas.openxmlformats.org/officeDocument/2006/relationships/hyperlink" Target="https://www.facebook.com/share/1AwAssEDjE/" TargetMode="External"/><Relationship Id="rId466" Type="http://schemas.openxmlformats.org/officeDocument/2006/relationships/hyperlink" Target="https://www.facebook.com/share/1USjS6Nb6N/" TargetMode="External"/><Relationship Id="rId1297" Type="http://schemas.openxmlformats.org/officeDocument/2006/relationships/hyperlink" Target="https://www.facebook.com/share/18dEyq4PuM/" TargetMode="External"/><Relationship Id="rId2144" Type="http://schemas.openxmlformats.org/officeDocument/2006/relationships/hyperlink" Target="https://www.facebook.com/share/199AeVNojz/" TargetMode="External"/><Relationship Id="rId465" Type="http://schemas.openxmlformats.org/officeDocument/2006/relationships/hyperlink" Target="https://www.facebook.com/share/1USjS6Nb6N/" TargetMode="External"/><Relationship Id="rId1298" Type="http://schemas.openxmlformats.org/officeDocument/2006/relationships/hyperlink" Target="https://www.facebook.com/share/1DdsHbyN3t/" TargetMode="External"/><Relationship Id="rId2145" Type="http://schemas.openxmlformats.org/officeDocument/2006/relationships/hyperlink" Target="https://www.facebook.com/share/1HESFa9Syb/" TargetMode="External"/><Relationship Id="rId464" Type="http://schemas.openxmlformats.org/officeDocument/2006/relationships/hyperlink" Target="https://www.facebook.com/share/1USjS6Nb6N/" TargetMode="External"/><Relationship Id="rId1299" Type="http://schemas.openxmlformats.org/officeDocument/2006/relationships/hyperlink" Target="https://www.facebook.com/share/1DdsHbyN3t/" TargetMode="External"/><Relationship Id="rId2146" Type="http://schemas.openxmlformats.org/officeDocument/2006/relationships/hyperlink" Target="https://www.facebook.com/share/1BBVDSvdA5/" TargetMode="External"/><Relationship Id="rId463" Type="http://schemas.openxmlformats.org/officeDocument/2006/relationships/hyperlink" Target="https://www.facebook.com/share/1AYsczqjVa/" TargetMode="External"/><Relationship Id="rId2147" Type="http://schemas.openxmlformats.org/officeDocument/2006/relationships/hyperlink" Target="https://www.facebook.com/share/18q4BFUWUX/" TargetMode="External"/><Relationship Id="rId2137" Type="http://schemas.openxmlformats.org/officeDocument/2006/relationships/hyperlink" Target="https://www.facebook.com/share/18tQqDrdNo/" TargetMode="External"/><Relationship Id="rId2138" Type="http://schemas.openxmlformats.org/officeDocument/2006/relationships/hyperlink" Target="https://www.facebook.com/share/19E4BJxBfx/" TargetMode="External"/><Relationship Id="rId2139" Type="http://schemas.openxmlformats.org/officeDocument/2006/relationships/hyperlink" Target="https://www.facebook.com/share/1NbkrpVNVL/" TargetMode="External"/><Relationship Id="rId459" Type="http://schemas.openxmlformats.org/officeDocument/2006/relationships/hyperlink" Target="https://www.facebook.com/share/1H6HJNkCEJ/" TargetMode="External"/><Relationship Id="rId458" Type="http://schemas.openxmlformats.org/officeDocument/2006/relationships/hyperlink" Target="https://www.facebook.com/share/1H6HJNkCEJ/" TargetMode="External"/><Relationship Id="rId457" Type="http://schemas.openxmlformats.org/officeDocument/2006/relationships/hyperlink" Target="https://www.facebook.com/share/1DhAHKynd9/" TargetMode="External"/><Relationship Id="rId456" Type="http://schemas.openxmlformats.org/officeDocument/2006/relationships/hyperlink" Target="https://www.facebook.com/share/1DhAHKynd9/" TargetMode="External"/><Relationship Id="rId1280" Type="http://schemas.openxmlformats.org/officeDocument/2006/relationships/hyperlink" Target="https://www.facebook.com/share/18Uf8afaAC/" TargetMode="External"/><Relationship Id="rId1281" Type="http://schemas.openxmlformats.org/officeDocument/2006/relationships/hyperlink" Target="https://www.facebook.com/share/18fFyEXm8q/" TargetMode="External"/><Relationship Id="rId451" Type="http://schemas.openxmlformats.org/officeDocument/2006/relationships/hyperlink" Target="https://www.facebook.com/share/1CmeeuasPc/" TargetMode="External"/><Relationship Id="rId1282" Type="http://schemas.openxmlformats.org/officeDocument/2006/relationships/hyperlink" Target="https://www.facebook.com/share/1DyDBbU31H/" TargetMode="External"/><Relationship Id="rId450" Type="http://schemas.openxmlformats.org/officeDocument/2006/relationships/hyperlink" Target="https://www.facebook.com/thanhvan2802" TargetMode="External"/><Relationship Id="rId1283" Type="http://schemas.openxmlformats.org/officeDocument/2006/relationships/hyperlink" Target="https://www.facebook.com/share/18HNhpD7VF/" TargetMode="External"/><Relationship Id="rId2130" Type="http://schemas.openxmlformats.org/officeDocument/2006/relationships/hyperlink" Target="https://www.facebook.com/share/1E2DKrQMUn/" TargetMode="External"/><Relationship Id="rId1284" Type="http://schemas.openxmlformats.org/officeDocument/2006/relationships/hyperlink" Target="https://www.facebook.com/share/1e6PnmCpnn/" TargetMode="External"/><Relationship Id="rId2131" Type="http://schemas.openxmlformats.org/officeDocument/2006/relationships/hyperlink" Target="https://www.facebook.com/share/17q79oyyMJ/" TargetMode="External"/><Relationship Id="rId1285" Type="http://schemas.openxmlformats.org/officeDocument/2006/relationships/hyperlink" Target="https://www.facebook.com/share/18nMKTMsNo/" TargetMode="External"/><Relationship Id="rId2132" Type="http://schemas.openxmlformats.org/officeDocument/2006/relationships/hyperlink" Target="https://www.facebook.com/share/14d15JGKikG/" TargetMode="External"/><Relationship Id="rId455" Type="http://schemas.openxmlformats.org/officeDocument/2006/relationships/hyperlink" Target="https://www.facebook.com/share/1DhAHKynd9/" TargetMode="External"/><Relationship Id="rId1286" Type="http://schemas.openxmlformats.org/officeDocument/2006/relationships/hyperlink" Target="https://www.facebook.com/share/18eAWfpSXV/" TargetMode="External"/><Relationship Id="rId2133" Type="http://schemas.openxmlformats.org/officeDocument/2006/relationships/hyperlink" Target="https://www.facebook.com/share/1Be4yYjJQ1/" TargetMode="External"/><Relationship Id="rId454" Type="http://schemas.openxmlformats.org/officeDocument/2006/relationships/hyperlink" Target="https://www.facebook.com/share/18iDaDfyMT/" TargetMode="External"/><Relationship Id="rId1287" Type="http://schemas.openxmlformats.org/officeDocument/2006/relationships/hyperlink" Target="https://www.facebook.com/share/1GBSMovzpx/" TargetMode="External"/><Relationship Id="rId2134" Type="http://schemas.openxmlformats.org/officeDocument/2006/relationships/hyperlink" Target="https://www.facebook.com/share/18zmK7DjdZ/" TargetMode="External"/><Relationship Id="rId453" Type="http://schemas.openxmlformats.org/officeDocument/2006/relationships/hyperlink" Target="https://www.facebook.com/share/1BG5punj7H/" TargetMode="External"/><Relationship Id="rId1288" Type="http://schemas.openxmlformats.org/officeDocument/2006/relationships/hyperlink" Target="https://www.facebook.com/share/1BwNYHX37X/" TargetMode="External"/><Relationship Id="rId2135" Type="http://schemas.openxmlformats.org/officeDocument/2006/relationships/hyperlink" Target="https://www.facebook.com/share/1DpsLXUmdX/" TargetMode="External"/><Relationship Id="rId452" Type="http://schemas.openxmlformats.org/officeDocument/2006/relationships/hyperlink" Target="https://www.facebook.com/share/18MQ8PrGhR/" TargetMode="External"/><Relationship Id="rId1289" Type="http://schemas.openxmlformats.org/officeDocument/2006/relationships/hyperlink" Target="https://www.facebook.com/share/1E9pUwEw9y/" TargetMode="External"/><Relationship Id="rId2136" Type="http://schemas.openxmlformats.org/officeDocument/2006/relationships/hyperlink" Target="https://www.facebook.com/share/1D9hyxqFiT/" TargetMode="External"/><Relationship Id="rId491" Type="http://schemas.openxmlformats.org/officeDocument/2006/relationships/hyperlink" Target="https://www.facebook.com/share/1CFsAsqsHk/" TargetMode="External"/><Relationship Id="rId490" Type="http://schemas.openxmlformats.org/officeDocument/2006/relationships/hyperlink" Target="https://www.facebook.com/share/1CFsAsqsHk/" TargetMode="External"/><Relationship Id="rId489" Type="http://schemas.openxmlformats.org/officeDocument/2006/relationships/hyperlink" Target="https://www.facebook.com/share/1CFsAsqsHk/" TargetMode="External"/><Relationship Id="rId2160" Type="http://schemas.openxmlformats.org/officeDocument/2006/relationships/hyperlink" Target="https://www.facebook.com/share/1UWuJf3ES5/" TargetMode="External"/><Relationship Id="rId2161" Type="http://schemas.openxmlformats.org/officeDocument/2006/relationships/hyperlink" Target="https://www.facebook.com/share/1Dv88XY8wC/" TargetMode="External"/><Relationship Id="rId484" Type="http://schemas.openxmlformats.org/officeDocument/2006/relationships/hyperlink" Target="https://www.facebook.com/share/17bUrxiNrT/" TargetMode="External"/><Relationship Id="rId2162" Type="http://schemas.openxmlformats.org/officeDocument/2006/relationships/hyperlink" Target="https://www.facebook.com/share/18ovJtYzt4/" TargetMode="External"/><Relationship Id="rId483" Type="http://schemas.openxmlformats.org/officeDocument/2006/relationships/hyperlink" Target="https://www.facebook.com/share/1EKcyPLr4P/" TargetMode="External"/><Relationship Id="rId2163" Type="http://schemas.openxmlformats.org/officeDocument/2006/relationships/hyperlink" Target="https://www.facebook.com/share/18u1pxRWH6/" TargetMode="External"/><Relationship Id="rId482" Type="http://schemas.openxmlformats.org/officeDocument/2006/relationships/hyperlink" Target="https://www.facebook.com/share/14aWivcGAgj/" TargetMode="External"/><Relationship Id="rId2164" Type="http://schemas.openxmlformats.org/officeDocument/2006/relationships/hyperlink" Target="https://www.facebook.com/haleedung.2403" TargetMode="External"/><Relationship Id="rId481" Type="http://schemas.openxmlformats.org/officeDocument/2006/relationships/hyperlink" Target="https://www.facebook.com/share/1E7d2rmxvb/" TargetMode="External"/><Relationship Id="rId2165" Type="http://schemas.openxmlformats.org/officeDocument/2006/relationships/hyperlink" Target="https://www.facebook.com/share/18jPhf6nix/" TargetMode="External"/><Relationship Id="rId488" Type="http://schemas.openxmlformats.org/officeDocument/2006/relationships/hyperlink" Target="https://www.facebook.com/share/1CFsAsqsHk/" TargetMode="External"/><Relationship Id="rId2166" Type="http://schemas.openxmlformats.org/officeDocument/2006/relationships/hyperlink" Target="https://www.facebook.com/share/18jPhf6nix/" TargetMode="External"/><Relationship Id="rId487" Type="http://schemas.openxmlformats.org/officeDocument/2006/relationships/hyperlink" Target="https://www.facebook.com/share/1JJxSXEHfh/" TargetMode="External"/><Relationship Id="rId2167" Type="http://schemas.openxmlformats.org/officeDocument/2006/relationships/hyperlink" Target="https://www.facebook.com/share/19iZpjiPMK/" TargetMode="External"/><Relationship Id="rId486" Type="http://schemas.openxmlformats.org/officeDocument/2006/relationships/hyperlink" Target="https://www.facebook.com/share/1JJxSXEHfh/" TargetMode="External"/><Relationship Id="rId2168" Type="http://schemas.openxmlformats.org/officeDocument/2006/relationships/hyperlink" Target="https://www.facebook.com/share/19iZpjiPMK/" TargetMode="External"/><Relationship Id="rId485" Type="http://schemas.openxmlformats.org/officeDocument/2006/relationships/hyperlink" Target="https://www.facebook.com/share/1JLuXk68ZT/" TargetMode="External"/><Relationship Id="rId2169" Type="http://schemas.openxmlformats.org/officeDocument/2006/relationships/hyperlink" Target="https://www.facebook.com/share/1KxoNShmDC/" TargetMode="External"/><Relationship Id="rId2159" Type="http://schemas.openxmlformats.org/officeDocument/2006/relationships/hyperlink" Target="https://www.facebook.com/share/1Ba7rxpAbV/" TargetMode="External"/><Relationship Id="rId480" Type="http://schemas.openxmlformats.org/officeDocument/2006/relationships/hyperlink" Target="https://www.facebook.com/share/1E7d2rmxvb/" TargetMode="External"/><Relationship Id="rId479" Type="http://schemas.openxmlformats.org/officeDocument/2006/relationships/hyperlink" Target="https://www.facebook.com/share/1E7d2rmxvb/" TargetMode="External"/><Relationship Id="rId478" Type="http://schemas.openxmlformats.org/officeDocument/2006/relationships/hyperlink" Target="https://www.facebook.com/share/1E7d2rmxvb/" TargetMode="External"/><Relationship Id="rId2150" Type="http://schemas.openxmlformats.org/officeDocument/2006/relationships/hyperlink" Target="https://www.facebook.com/share/1H1M7SuDff/" TargetMode="External"/><Relationship Id="rId473" Type="http://schemas.openxmlformats.org/officeDocument/2006/relationships/hyperlink" Target="https://www.facebook.com/share/18FDsrZBN2/" TargetMode="External"/><Relationship Id="rId2151" Type="http://schemas.openxmlformats.org/officeDocument/2006/relationships/hyperlink" Target="https://www.facebook.com/share/1AuKuRPDJH/" TargetMode="External"/><Relationship Id="rId472" Type="http://schemas.openxmlformats.org/officeDocument/2006/relationships/hyperlink" Target="https://www.facebook.com/share/1CJaXPJ5aQ/" TargetMode="External"/><Relationship Id="rId2152" Type="http://schemas.openxmlformats.org/officeDocument/2006/relationships/hyperlink" Target="https://www.facebook.com/share/1Hymgvo4EL/" TargetMode="External"/><Relationship Id="rId471" Type="http://schemas.openxmlformats.org/officeDocument/2006/relationships/hyperlink" Target="https://www.facebook.com/share/1P1idcptA6/" TargetMode="External"/><Relationship Id="rId2153" Type="http://schemas.openxmlformats.org/officeDocument/2006/relationships/hyperlink" Target="https://www.facebook.com/share/1EHUyagiWJ/" TargetMode="External"/><Relationship Id="rId470" Type="http://schemas.openxmlformats.org/officeDocument/2006/relationships/hyperlink" Target="https://www.facebook.com/share/1P1idcptA6/" TargetMode="External"/><Relationship Id="rId2154" Type="http://schemas.openxmlformats.org/officeDocument/2006/relationships/hyperlink" Target="https://www.facebook.com/share/1EHUyagiWJ/" TargetMode="External"/><Relationship Id="rId477" Type="http://schemas.openxmlformats.org/officeDocument/2006/relationships/hyperlink" Target="https://www.facebook.com/share/1E7d2rmxvb/" TargetMode="External"/><Relationship Id="rId2155" Type="http://schemas.openxmlformats.org/officeDocument/2006/relationships/hyperlink" Target="https://www.facebook.com/share/14ayBSUXbWH/" TargetMode="External"/><Relationship Id="rId476" Type="http://schemas.openxmlformats.org/officeDocument/2006/relationships/hyperlink" Target="https://www.facebook.com/share/1E7d2rmxvb/" TargetMode="External"/><Relationship Id="rId2156" Type="http://schemas.openxmlformats.org/officeDocument/2006/relationships/hyperlink" Target="https://www.facebook.com/share/1DzfUeY8NM/" TargetMode="External"/><Relationship Id="rId475" Type="http://schemas.openxmlformats.org/officeDocument/2006/relationships/hyperlink" Target="https://www.facebook.com/share/1E7d2rmxvb/" TargetMode="External"/><Relationship Id="rId2157" Type="http://schemas.openxmlformats.org/officeDocument/2006/relationships/hyperlink" Target="https://www.facebook.com/share/1D9n8Ri5ik/" TargetMode="External"/><Relationship Id="rId474" Type="http://schemas.openxmlformats.org/officeDocument/2006/relationships/hyperlink" Target="https://www.facebook.com/share/1H6ipSQtWq/" TargetMode="External"/><Relationship Id="rId2158" Type="http://schemas.openxmlformats.org/officeDocument/2006/relationships/hyperlink" Target="https://www.facebook.com/share/18vUsW57D6/" TargetMode="External"/><Relationship Id="rId1257" Type="http://schemas.openxmlformats.org/officeDocument/2006/relationships/hyperlink" Target="https://www.facebook.com/share/17FJbRmxet/" TargetMode="External"/><Relationship Id="rId2104" Type="http://schemas.openxmlformats.org/officeDocument/2006/relationships/hyperlink" Target="https://www.facebook.com/share/1EAabKEaAh/" TargetMode="External"/><Relationship Id="rId1258" Type="http://schemas.openxmlformats.org/officeDocument/2006/relationships/hyperlink" Target="https://www.facebook.com/share/1E92ckXU9G/" TargetMode="External"/><Relationship Id="rId2105" Type="http://schemas.openxmlformats.org/officeDocument/2006/relationships/hyperlink" Target="https://www.facebook.com/share/1BEJTxw9Ny/" TargetMode="External"/><Relationship Id="rId1259" Type="http://schemas.openxmlformats.org/officeDocument/2006/relationships/hyperlink" Target="https://www.facebook.com/share/1E92ckXU9G/" TargetMode="External"/><Relationship Id="rId2106" Type="http://schemas.openxmlformats.org/officeDocument/2006/relationships/hyperlink" Target="https://www.facebook.com/share/1BEJTxw9Ny/" TargetMode="External"/><Relationship Id="rId2107" Type="http://schemas.openxmlformats.org/officeDocument/2006/relationships/hyperlink" Target="https://www.facebook.com/share/1EYwJVmj5G/" TargetMode="External"/><Relationship Id="rId2108" Type="http://schemas.openxmlformats.org/officeDocument/2006/relationships/hyperlink" Target="https://www.facebook.com/share/14egnfEw3Fk/" TargetMode="External"/><Relationship Id="rId2109" Type="http://schemas.openxmlformats.org/officeDocument/2006/relationships/hyperlink" Target="https://www.facebook.com/share/1EgvJH8MDi/" TargetMode="External"/><Relationship Id="rId426" Type="http://schemas.openxmlformats.org/officeDocument/2006/relationships/hyperlink" Target="https://www.facebook.com/share/18HNhpD7VF/" TargetMode="External"/><Relationship Id="rId425" Type="http://schemas.openxmlformats.org/officeDocument/2006/relationships/hyperlink" Target="https://www.facebook.com/share/18HNhpD7VF/" TargetMode="External"/><Relationship Id="rId424" Type="http://schemas.openxmlformats.org/officeDocument/2006/relationships/hyperlink" Target="https://www.facebook.com/share/1ZRCy5aiom/" TargetMode="External"/><Relationship Id="rId423" Type="http://schemas.openxmlformats.org/officeDocument/2006/relationships/hyperlink" Target="https://www.facebook.com/share/1ZRCy5aiom/" TargetMode="External"/><Relationship Id="rId429" Type="http://schemas.openxmlformats.org/officeDocument/2006/relationships/hyperlink" Target="https://www.facebook.com/share/18JeBxo91P/" TargetMode="External"/><Relationship Id="rId428" Type="http://schemas.openxmlformats.org/officeDocument/2006/relationships/hyperlink" Target="https://www.facebook.com/share/181MeUHP52/" TargetMode="External"/><Relationship Id="rId427" Type="http://schemas.openxmlformats.org/officeDocument/2006/relationships/hyperlink" Target="https://www.facebook.com/share/181MeUHP52/" TargetMode="External"/><Relationship Id="rId1250" Type="http://schemas.openxmlformats.org/officeDocument/2006/relationships/hyperlink" Target="https://www.facebook.com/share/1KQPtPKpH2/" TargetMode="External"/><Relationship Id="rId1251" Type="http://schemas.openxmlformats.org/officeDocument/2006/relationships/hyperlink" Target="https://www.facebook.com/share/1KQPtPKpH2/" TargetMode="External"/><Relationship Id="rId1252" Type="http://schemas.openxmlformats.org/officeDocument/2006/relationships/hyperlink" Target="https://www.facebook.com/share/1KQPtPKpH2/" TargetMode="External"/><Relationship Id="rId422" Type="http://schemas.openxmlformats.org/officeDocument/2006/relationships/hyperlink" Target="https://www.facebook.com/share/1LewJpEJsu/" TargetMode="External"/><Relationship Id="rId1253" Type="http://schemas.openxmlformats.org/officeDocument/2006/relationships/hyperlink" Target="https://www.facebook.com/share/1GpsRnttMR/" TargetMode="External"/><Relationship Id="rId2100" Type="http://schemas.openxmlformats.org/officeDocument/2006/relationships/hyperlink" Target="https://www.facebook.com/share/1Ci6yWNmh3/" TargetMode="External"/><Relationship Id="rId421" Type="http://schemas.openxmlformats.org/officeDocument/2006/relationships/hyperlink" Target="https://www.facebook.com/share/1LewJpEJsu/" TargetMode="External"/><Relationship Id="rId1254" Type="http://schemas.openxmlformats.org/officeDocument/2006/relationships/hyperlink" Target="https://www.facebook.com/share/1GpsRnttMR/" TargetMode="External"/><Relationship Id="rId2101" Type="http://schemas.openxmlformats.org/officeDocument/2006/relationships/hyperlink" Target="https://www.facebook.com/share/19CzbuNt4w/" TargetMode="External"/><Relationship Id="rId420" Type="http://schemas.openxmlformats.org/officeDocument/2006/relationships/hyperlink" Target="https://www.facebook.com/share/1LewJpEJsu/" TargetMode="External"/><Relationship Id="rId1255" Type="http://schemas.openxmlformats.org/officeDocument/2006/relationships/hyperlink" Target="https://www.facebook.com/share/1GpsRnttMR/" TargetMode="External"/><Relationship Id="rId2102" Type="http://schemas.openxmlformats.org/officeDocument/2006/relationships/hyperlink" Target="https://www.facebook.com/share/19CzbuNt4w/" TargetMode="External"/><Relationship Id="rId1256" Type="http://schemas.openxmlformats.org/officeDocument/2006/relationships/hyperlink" Target="https://www.facebook.com/share/1GpsRnttMR/" TargetMode="External"/><Relationship Id="rId2103" Type="http://schemas.openxmlformats.org/officeDocument/2006/relationships/hyperlink" Target="https://www.facebook.com/share/1EAabKEaAh/" TargetMode="External"/><Relationship Id="rId1246" Type="http://schemas.openxmlformats.org/officeDocument/2006/relationships/hyperlink" Target="https://www.facebook.com/share/18R5s1ZjTc/" TargetMode="External"/><Relationship Id="rId1247" Type="http://schemas.openxmlformats.org/officeDocument/2006/relationships/hyperlink" Target="https://www.facebook.com/share/1GGizjY78Q/" TargetMode="External"/><Relationship Id="rId1248" Type="http://schemas.openxmlformats.org/officeDocument/2006/relationships/hyperlink" Target="https://www.facebook.com/share/1GGizjY78Q/" TargetMode="External"/><Relationship Id="rId1249" Type="http://schemas.openxmlformats.org/officeDocument/2006/relationships/hyperlink" Target="https://www.facebook.com/share/1GGizjY78Q/" TargetMode="External"/><Relationship Id="rId415" Type="http://schemas.openxmlformats.org/officeDocument/2006/relationships/hyperlink" Target="https://www.facebook.com/share/1Dg8bQTsNd/" TargetMode="External"/><Relationship Id="rId899" Type="http://schemas.openxmlformats.org/officeDocument/2006/relationships/hyperlink" Target="https://www.facebook.com/share/1AvgCpRN73/" TargetMode="External"/><Relationship Id="rId414" Type="http://schemas.openxmlformats.org/officeDocument/2006/relationships/hyperlink" Target="https://www.facebook.com/share/1Dg8bQTsNd/" TargetMode="External"/><Relationship Id="rId898" Type="http://schemas.openxmlformats.org/officeDocument/2006/relationships/hyperlink" Target="https://www.facebook.com/share/18h9z8fh1E/" TargetMode="External"/><Relationship Id="rId413" Type="http://schemas.openxmlformats.org/officeDocument/2006/relationships/hyperlink" Target="https://www.facebook.com/share/1Dg8bQTsNd/" TargetMode="External"/><Relationship Id="rId897" Type="http://schemas.openxmlformats.org/officeDocument/2006/relationships/hyperlink" Target="https://www.facebook.com/share/18h9z8fh1E/" TargetMode="External"/><Relationship Id="rId412" Type="http://schemas.openxmlformats.org/officeDocument/2006/relationships/hyperlink" Target="https://www.facebook.com/share/1Dg8bQTsNd/" TargetMode="External"/><Relationship Id="rId896" Type="http://schemas.openxmlformats.org/officeDocument/2006/relationships/hyperlink" Target="https://www.facebook.com/share/18UEXm5Z6U/" TargetMode="External"/><Relationship Id="rId419" Type="http://schemas.openxmlformats.org/officeDocument/2006/relationships/hyperlink" Target="https://www.facebook.com/share/1LewJpEJsu/" TargetMode="External"/><Relationship Id="rId418" Type="http://schemas.openxmlformats.org/officeDocument/2006/relationships/hyperlink" Target="https://www.facebook.com/share/196uaGbB3t/" TargetMode="External"/><Relationship Id="rId417" Type="http://schemas.openxmlformats.org/officeDocument/2006/relationships/hyperlink" Target="https://www.facebook.com/share/196uaGbB3t/" TargetMode="External"/><Relationship Id="rId416" Type="http://schemas.openxmlformats.org/officeDocument/2006/relationships/hyperlink" Target="https://www.facebook.com/share/196uaGbB3t/" TargetMode="External"/><Relationship Id="rId891" Type="http://schemas.openxmlformats.org/officeDocument/2006/relationships/hyperlink" Target="https://www.facebook.com/share/19cDxRh8W9/" TargetMode="External"/><Relationship Id="rId890" Type="http://schemas.openxmlformats.org/officeDocument/2006/relationships/hyperlink" Target="https://www.facebook.com/share/19cDxRh8W9/" TargetMode="External"/><Relationship Id="rId1240" Type="http://schemas.openxmlformats.org/officeDocument/2006/relationships/hyperlink" Target="https://www.facebook.com/share/17ChGzXbJ7/" TargetMode="External"/><Relationship Id="rId1241" Type="http://schemas.openxmlformats.org/officeDocument/2006/relationships/hyperlink" Target="https://www.facebook.com/share/1Aen4qAdYq/" TargetMode="External"/><Relationship Id="rId411" Type="http://schemas.openxmlformats.org/officeDocument/2006/relationships/hyperlink" Target="https://www.facebook.com/share/17zeitFdWJ/" TargetMode="External"/><Relationship Id="rId895" Type="http://schemas.openxmlformats.org/officeDocument/2006/relationships/hyperlink" Target="https://www.facebook.com/share/18UEXm5Z6U/" TargetMode="External"/><Relationship Id="rId1242" Type="http://schemas.openxmlformats.org/officeDocument/2006/relationships/hyperlink" Target="https://www.facebook.com/share/1Aen4qAdYq/" TargetMode="External"/><Relationship Id="rId410" Type="http://schemas.openxmlformats.org/officeDocument/2006/relationships/hyperlink" Target="https://www.facebook.com/share/17zeitFdWJ/" TargetMode="External"/><Relationship Id="rId894" Type="http://schemas.openxmlformats.org/officeDocument/2006/relationships/hyperlink" Target="https://www.facebook.com/share/1Azf7z2o4Q/" TargetMode="External"/><Relationship Id="rId1243" Type="http://schemas.openxmlformats.org/officeDocument/2006/relationships/hyperlink" Target="https://www.facebook.com/share/1Capd2jYfk/" TargetMode="External"/><Relationship Id="rId893" Type="http://schemas.openxmlformats.org/officeDocument/2006/relationships/hyperlink" Target="https://www.facebook.com/share/1Azf7z2o4Q/" TargetMode="External"/><Relationship Id="rId1244" Type="http://schemas.openxmlformats.org/officeDocument/2006/relationships/hyperlink" Target="https://www.facebook.com/share/18R5s1ZjTc/" TargetMode="External"/><Relationship Id="rId892" Type="http://schemas.openxmlformats.org/officeDocument/2006/relationships/hyperlink" Target="https://www.facebook.com/share/19cDxRh8W9/" TargetMode="External"/><Relationship Id="rId1245" Type="http://schemas.openxmlformats.org/officeDocument/2006/relationships/hyperlink" Target="https://www.facebook.com/share/18R5s1ZjTc/" TargetMode="External"/><Relationship Id="rId1279" Type="http://schemas.openxmlformats.org/officeDocument/2006/relationships/hyperlink" Target="https://www.facebook.com/share/1BHE2uCUTh/" TargetMode="External"/><Relationship Id="rId2126" Type="http://schemas.openxmlformats.org/officeDocument/2006/relationships/hyperlink" Target="https://www.facebook.com/share/1AuKuRPDJH/" TargetMode="External"/><Relationship Id="rId2127" Type="http://schemas.openxmlformats.org/officeDocument/2006/relationships/hyperlink" Target="https://www.facebook.com/share/18jWJUMsdm/" TargetMode="External"/><Relationship Id="rId2128" Type="http://schemas.openxmlformats.org/officeDocument/2006/relationships/hyperlink" Target="https://www.facebook.com/share/1DtwkU72s2/" TargetMode="External"/><Relationship Id="rId2129" Type="http://schemas.openxmlformats.org/officeDocument/2006/relationships/hyperlink" Target="https://www.facebook.com/share/1DNy2bNk5o/" TargetMode="External"/><Relationship Id="rId448" Type="http://schemas.openxmlformats.org/officeDocument/2006/relationships/hyperlink" Target="https://www.facebook.com/share/14ZoJNX9CCa/" TargetMode="External"/><Relationship Id="rId447" Type="http://schemas.openxmlformats.org/officeDocument/2006/relationships/hyperlink" Target="https://www.facebook.com/share/1CT5tYj4o3/" TargetMode="External"/><Relationship Id="rId446" Type="http://schemas.openxmlformats.org/officeDocument/2006/relationships/hyperlink" Target="https://www.facebook.com/share/1GoNjk9PrP/" TargetMode="External"/><Relationship Id="rId445" Type="http://schemas.openxmlformats.org/officeDocument/2006/relationships/hyperlink" Target="https://www.facebook.com/kieuscons.cochu.5" TargetMode="External"/><Relationship Id="rId449" Type="http://schemas.openxmlformats.org/officeDocument/2006/relationships/hyperlink" Target="https://www.facebook.com/share/1BdYJyecSP/" TargetMode="External"/><Relationship Id="rId1270" Type="http://schemas.openxmlformats.org/officeDocument/2006/relationships/hyperlink" Target="https://www.facebook.com/share/1Ft7HP4c4y/" TargetMode="External"/><Relationship Id="rId440" Type="http://schemas.openxmlformats.org/officeDocument/2006/relationships/hyperlink" Target="https://www.facebook.com/share/1KAShWrtGq/" TargetMode="External"/><Relationship Id="rId1271" Type="http://schemas.openxmlformats.org/officeDocument/2006/relationships/hyperlink" Target="https://www.facebook.com/share/1Ft7HP4c4y/" TargetMode="External"/><Relationship Id="rId1272" Type="http://schemas.openxmlformats.org/officeDocument/2006/relationships/hyperlink" Target="https://www.facebook.com/share/1EtuB4oGhP/" TargetMode="External"/><Relationship Id="rId1273" Type="http://schemas.openxmlformats.org/officeDocument/2006/relationships/hyperlink" Target="https://www.facebook.com/share/1KcCQcNJgZ/" TargetMode="External"/><Relationship Id="rId2120" Type="http://schemas.openxmlformats.org/officeDocument/2006/relationships/hyperlink" Target="https://www.facebook.com/share/1aUMYwKs3V/" TargetMode="External"/><Relationship Id="rId1274" Type="http://schemas.openxmlformats.org/officeDocument/2006/relationships/hyperlink" Target="https://www.facebook.com/pham.mun.52643821" TargetMode="External"/><Relationship Id="rId2121" Type="http://schemas.openxmlformats.org/officeDocument/2006/relationships/hyperlink" Target="https://www.facebook.com/share/1H2TWBu2DW/" TargetMode="External"/><Relationship Id="rId444" Type="http://schemas.openxmlformats.org/officeDocument/2006/relationships/hyperlink" Target="https://www.facebook.com/share/18oY2A6HaG/" TargetMode="External"/><Relationship Id="rId1275" Type="http://schemas.openxmlformats.org/officeDocument/2006/relationships/hyperlink" Target="https://www.facebook.com/share/1HSkscxCFT/" TargetMode="External"/><Relationship Id="rId2122" Type="http://schemas.openxmlformats.org/officeDocument/2006/relationships/hyperlink" Target="https://www.facebook.com/share/1AwAssEDjE/" TargetMode="External"/><Relationship Id="rId443" Type="http://schemas.openxmlformats.org/officeDocument/2006/relationships/hyperlink" Target="https://www.facebook.com/share/1AvKTP68qh/" TargetMode="External"/><Relationship Id="rId1276" Type="http://schemas.openxmlformats.org/officeDocument/2006/relationships/hyperlink" Target="https://www.facebook.com/share/1UWuJf3ES5/" TargetMode="External"/><Relationship Id="rId2123" Type="http://schemas.openxmlformats.org/officeDocument/2006/relationships/hyperlink" Target="https://www.facebook.com/share/18oALGtkBb/" TargetMode="External"/><Relationship Id="rId442" Type="http://schemas.openxmlformats.org/officeDocument/2006/relationships/hyperlink" Target="https://www.facebook.com/share/1BpTGjwCnp/" TargetMode="External"/><Relationship Id="rId1277" Type="http://schemas.openxmlformats.org/officeDocument/2006/relationships/hyperlink" Target="https://www.facebook.com/share/14Vs68psLXN/" TargetMode="External"/><Relationship Id="rId2124" Type="http://schemas.openxmlformats.org/officeDocument/2006/relationships/hyperlink" Target="https://www.facebook.com/share/18vUsW57D6/" TargetMode="External"/><Relationship Id="rId441" Type="http://schemas.openxmlformats.org/officeDocument/2006/relationships/hyperlink" Target="https://www.facebook.com/share/1GoNjk9PrP/" TargetMode="External"/><Relationship Id="rId1278" Type="http://schemas.openxmlformats.org/officeDocument/2006/relationships/hyperlink" Target="https://www.facebook.com/share/1CAPi6MbiQ/" TargetMode="External"/><Relationship Id="rId2125" Type="http://schemas.openxmlformats.org/officeDocument/2006/relationships/hyperlink" Target="https://www.facebook.com/share/18bhhzjC4Q/" TargetMode="External"/><Relationship Id="rId1268" Type="http://schemas.openxmlformats.org/officeDocument/2006/relationships/hyperlink" Target="https://www.facebook.com/share/1811JmUqUj/" TargetMode="External"/><Relationship Id="rId2115" Type="http://schemas.openxmlformats.org/officeDocument/2006/relationships/hyperlink" Target="https://www.facebook.com/share/1DVCjutg9J/" TargetMode="External"/><Relationship Id="rId1269" Type="http://schemas.openxmlformats.org/officeDocument/2006/relationships/hyperlink" Target="https://www.facebook.com/share/1811JmUqUj/" TargetMode="External"/><Relationship Id="rId2116" Type="http://schemas.openxmlformats.org/officeDocument/2006/relationships/hyperlink" Target="https://www.facebook.com/share/18pzvT6vNq/" TargetMode="External"/><Relationship Id="rId2117" Type="http://schemas.openxmlformats.org/officeDocument/2006/relationships/hyperlink" Target="https://www.facebook.com/share/1JDPwaaahP/" TargetMode="External"/><Relationship Id="rId2118" Type="http://schemas.openxmlformats.org/officeDocument/2006/relationships/hyperlink" Target="https://www.facebook.com/share/17tf3MEewe/" TargetMode="External"/><Relationship Id="rId2119" Type="http://schemas.openxmlformats.org/officeDocument/2006/relationships/hyperlink" Target="https://www.facebook.com/share/1XUeMcy5x8/" TargetMode="External"/><Relationship Id="rId437" Type="http://schemas.openxmlformats.org/officeDocument/2006/relationships/hyperlink" Target="https://www.facebook.com/share/1DkLZKVmvg/" TargetMode="External"/><Relationship Id="rId436" Type="http://schemas.openxmlformats.org/officeDocument/2006/relationships/hyperlink" Target="https://www.facebook.com/share/19gu6tdbrM/" TargetMode="External"/><Relationship Id="rId435" Type="http://schemas.openxmlformats.org/officeDocument/2006/relationships/hyperlink" Target="https://www.facebook.com/share/19gu6tdbrM/" TargetMode="External"/><Relationship Id="rId434" Type="http://schemas.openxmlformats.org/officeDocument/2006/relationships/hyperlink" Target="https://www.facebook.com/share/1C8YfDMZoV/" TargetMode="External"/><Relationship Id="rId439" Type="http://schemas.openxmlformats.org/officeDocument/2006/relationships/hyperlink" Target="https://www.facebook.com/share/1FUUgJLNHA/" TargetMode="External"/><Relationship Id="rId438" Type="http://schemas.openxmlformats.org/officeDocument/2006/relationships/hyperlink" Target="https://www.facebook.com/share/1JKXxma68G/" TargetMode="External"/><Relationship Id="rId1260" Type="http://schemas.openxmlformats.org/officeDocument/2006/relationships/hyperlink" Target="https://www.facebook.com/share/1E92ckXU9G/" TargetMode="External"/><Relationship Id="rId1261" Type="http://schemas.openxmlformats.org/officeDocument/2006/relationships/hyperlink" Target="https://www.facebook.com/share/1DQd6rMmWm/" TargetMode="External"/><Relationship Id="rId1262" Type="http://schemas.openxmlformats.org/officeDocument/2006/relationships/hyperlink" Target="https://www.facebook.com/share/1DQd6rMmWm/" TargetMode="External"/><Relationship Id="rId1263" Type="http://schemas.openxmlformats.org/officeDocument/2006/relationships/hyperlink" Target="https://www.facebook.com/share/18iCGCpJZN/" TargetMode="External"/><Relationship Id="rId2110" Type="http://schemas.openxmlformats.org/officeDocument/2006/relationships/hyperlink" Target="https://www.facebook.com/profile.php?id=100081865760635" TargetMode="External"/><Relationship Id="rId433" Type="http://schemas.openxmlformats.org/officeDocument/2006/relationships/hyperlink" Target="https://www.facebook.com/share/1AeYmu7cH3/" TargetMode="External"/><Relationship Id="rId1264" Type="http://schemas.openxmlformats.org/officeDocument/2006/relationships/hyperlink" Target="https://www.facebook.com/share/1UWuJf3ES5/" TargetMode="External"/><Relationship Id="rId2111" Type="http://schemas.openxmlformats.org/officeDocument/2006/relationships/hyperlink" Target="https://www.facebook.com/share/1Bupo4tj4N/" TargetMode="External"/><Relationship Id="rId432" Type="http://schemas.openxmlformats.org/officeDocument/2006/relationships/hyperlink" Target="https://www.facebook.com/share/1E5iZTLH25/" TargetMode="External"/><Relationship Id="rId1265" Type="http://schemas.openxmlformats.org/officeDocument/2006/relationships/hyperlink" Target="https://www.facebook.com/share/1UWuJf3ES5/" TargetMode="External"/><Relationship Id="rId2112" Type="http://schemas.openxmlformats.org/officeDocument/2006/relationships/hyperlink" Target="https://www.facebook.com/share/1EVYEGfpMu/" TargetMode="External"/><Relationship Id="rId431" Type="http://schemas.openxmlformats.org/officeDocument/2006/relationships/hyperlink" Target="https://www.facebook.com/share/1E5iZTLH25/" TargetMode="External"/><Relationship Id="rId1266" Type="http://schemas.openxmlformats.org/officeDocument/2006/relationships/hyperlink" Target="https://www.facebook.com/share/1UWuJf3ES5/" TargetMode="External"/><Relationship Id="rId2113" Type="http://schemas.openxmlformats.org/officeDocument/2006/relationships/hyperlink" Target="https://www.facebook.com/share/1HPxVfCgJn/" TargetMode="External"/><Relationship Id="rId430" Type="http://schemas.openxmlformats.org/officeDocument/2006/relationships/hyperlink" Target="https://www.facebook.com/share/1XzBhUgAqP/" TargetMode="External"/><Relationship Id="rId1267" Type="http://schemas.openxmlformats.org/officeDocument/2006/relationships/hyperlink" Target="https://www.facebook.com/share/1811JmUqUj/" TargetMode="External"/><Relationship Id="rId2114" Type="http://schemas.openxmlformats.org/officeDocument/2006/relationships/hyperlink" Target="https://www.facebook.com/share/1DmGHVjEx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cebook.com/share/1GFVuaM7ZC/" TargetMode="External"/><Relationship Id="rId2" Type="http://schemas.openxmlformats.org/officeDocument/2006/relationships/hyperlink" Target="https://www.facebook.com/share/1GFVuaM7ZC/" TargetMode="External"/><Relationship Id="rId3" Type="http://schemas.openxmlformats.org/officeDocument/2006/relationships/hyperlink" Target="https://www.facebook.com/share/1GFVuaM7ZC/" TargetMode="External"/><Relationship Id="rId4" Type="http://schemas.openxmlformats.org/officeDocument/2006/relationships/hyperlink" Target="https://www.facebook.com/share/1GFVuaM7ZC/" TargetMode="External"/><Relationship Id="rId9" Type="http://schemas.openxmlformats.org/officeDocument/2006/relationships/hyperlink" Target="https://www.facebook.com/share/1CYRqHhKAG/" TargetMode="External"/><Relationship Id="rId5" Type="http://schemas.openxmlformats.org/officeDocument/2006/relationships/hyperlink" Target="https://www.facebook.com/share/1GFVuaM7ZC/" TargetMode="External"/><Relationship Id="rId6" Type="http://schemas.openxmlformats.org/officeDocument/2006/relationships/hyperlink" Target="https://www.facebook.com/share/1GFVuaM7ZC/" TargetMode="External"/><Relationship Id="rId7" Type="http://schemas.openxmlformats.org/officeDocument/2006/relationships/hyperlink" Target="https://www.facebook.com/share/14e2CsYrAZ6/" TargetMode="External"/><Relationship Id="rId8" Type="http://schemas.openxmlformats.org/officeDocument/2006/relationships/hyperlink" Target="https://www.facebook.com/share/1CYRqHhKAG/" TargetMode="External"/><Relationship Id="rId40" Type="http://schemas.openxmlformats.org/officeDocument/2006/relationships/hyperlink" Target="https://www.facebook.com/share/1DA2igw8tf/" TargetMode="External"/><Relationship Id="rId42" Type="http://schemas.openxmlformats.org/officeDocument/2006/relationships/hyperlink" Target="https://www.facebook.com/share/1E5L6upzSm/" TargetMode="External"/><Relationship Id="rId41" Type="http://schemas.openxmlformats.org/officeDocument/2006/relationships/hyperlink" Target="https://www.facebook.com/share/1DA2igw8tf/" TargetMode="External"/><Relationship Id="rId44" Type="http://schemas.openxmlformats.org/officeDocument/2006/relationships/hyperlink" Target="https://www.facebook.com/share/1LQbv6gYi3/" TargetMode="External"/><Relationship Id="rId43" Type="http://schemas.openxmlformats.org/officeDocument/2006/relationships/hyperlink" Target="https://www.facebook.com/share/1E5L6upzSm/" TargetMode="External"/><Relationship Id="rId46" Type="http://schemas.openxmlformats.org/officeDocument/2006/relationships/hyperlink" Target="https://www.facebook.com/share/18NDLeTSvX/" TargetMode="External"/><Relationship Id="rId45" Type="http://schemas.openxmlformats.org/officeDocument/2006/relationships/hyperlink" Target="https://www.facebook.com/share/18NDLeTSvX/" TargetMode="External"/><Relationship Id="rId47" Type="http://schemas.openxmlformats.org/officeDocument/2006/relationships/drawing" Target="../drawings/drawing4.xml"/><Relationship Id="rId31" Type="http://schemas.openxmlformats.org/officeDocument/2006/relationships/hyperlink" Target="https://www.facebook.com/share/178jkpzZUv/" TargetMode="External"/><Relationship Id="rId30" Type="http://schemas.openxmlformats.org/officeDocument/2006/relationships/hyperlink" Target="https://www.facebook.com/share/178jkpzZUv/" TargetMode="External"/><Relationship Id="rId33" Type="http://schemas.openxmlformats.org/officeDocument/2006/relationships/hyperlink" Target="https://www.facebook.com/share/178jkpzZUv/" TargetMode="External"/><Relationship Id="rId32" Type="http://schemas.openxmlformats.org/officeDocument/2006/relationships/hyperlink" Target="https://www.facebook.com/share/178jkpzZUv/" TargetMode="External"/><Relationship Id="rId35" Type="http://schemas.openxmlformats.org/officeDocument/2006/relationships/hyperlink" Target="https://www.facebook.com/share/18WM8uv7fF/" TargetMode="External"/><Relationship Id="rId34" Type="http://schemas.openxmlformats.org/officeDocument/2006/relationships/hyperlink" Target="https://www.facebook.com/share/178jkpzZUv/" TargetMode="External"/><Relationship Id="rId37" Type="http://schemas.openxmlformats.org/officeDocument/2006/relationships/hyperlink" Target="https://www.facebook.com/share/1Aen4qAdYq/" TargetMode="External"/><Relationship Id="rId36" Type="http://schemas.openxmlformats.org/officeDocument/2006/relationships/hyperlink" Target="https://www.facebook.com/share/1Aen4qAdYq/" TargetMode="External"/><Relationship Id="rId39" Type="http://schemas.openxmlformats.org/officeDocument/2006/relationships/hyperlink" Target="https://www.facebook.com/share/1EZ24v5RFB/" TargetMode="External"/><Relationship Id="rId38" Type="http://schemas.openxmlformats.org/officeDocument/2006/relationships/hyperlink" Target="https://www.facebook.com/share/18nQLAfLNh/" TargetMode="External"/><Relationship Id="rId20" Type="http://schemas.openxmlformats.org/officeDocument/2006/relationships/hyperlink" Target="https://www.facebook.com/share/1BKnyGxqCz/" TargetMode="External"/><Relationship Id="rId22" Type="http://schemas.openxmlformats.org/officeDocument/2006/relationships/hyperlink" Target="https://www.facebook.com/share/1BKnyGxqCz/" TargetMode="External"/><Relationship Id="rId21" Type="http://schemas.openxmlformats.org/officeDocument/2006/relationships/hyperlink" Target="https://www.facebook.com/share/1BKnyGxqCz/" TargetMode="External"/><Relationship Id="rId24" Type="http://schemas.openxmlformats.org/officeDocument/2006/relationships/hyperlink" Target="https://www.facebook.com/share/1Ddu6gKtDs/" TargetMode="External"/><Relationship Id="rId23" Type="http://schemas.openxmlformats.org/officeDocument/2006/relationships/hyperlink" Target="https://www.facebook.com/share/1Ddu6gKtDs/" TargetMode="External"/><Relationship Id="rId26" Type="http://schemas.openxmlformats.org/officeDocument/2006/relationships/hyperlink" Target="https://www.facebook.com/share/1Ddu6gKtDs/" TargetMode="External"/><Relationship Id="rId25" Type="http://schemas.openxmlformats.org/officeDocument/2006/relationships/hyperlink" Target="https://www.facebook.com/share/1Ddu6gKtDs/" TargetMode="External"/><Relationship Id="rId28" Type="http://schemas.openxmlformats.org/officeDocument/2006/relationships/hyperlink" Target="https://www.facebook.com/share/178jkpzZUv/" TargetMode="External"/><Relationship Id="rId27" Type="http://schemas.openxmlformats.org/officeDocument/2006/relationships/hyperlink" Target="https://www.facebook.com/share/178jkpzZUv/" TargetMode="External"/><Relationship Id="rId29" Type="http://schemas.openxmlformats.org/officeDocument/2006/relationships/hyperlink" Target="https://www.facebook.com/share/178jkpzZUv/" TargetMode="External"/><Relationship Id="rId11" Type="http://schemas.openxmlformats.org/officeDocument/2006/relationships/hyperlink" Target="https://www.facebook.com/share/1CYRqHhKAG/" TargetMode="External"/><Relationship Id="rId10" Type="http://schemas.openxmlformats.org/officeDocument/2006/relationships/hyperlink" Target="https://www.facebook.com/share/1CYRqHhKAG/" TargetMode="External"/><Relationship Id="rId13" Type="http://schemas.openxmlformats.org/officeDocument/2006/relationships/hyperlink" Target="https://www.facebook.com/share/1CJaXPJ5aQ/" TargetMode="External"/><Relationship Id="rId12" Type="http://schemas.openxmlformats.org/officeDocument/2006/relationships/hyperlink" Target="https://www.facebook.com/share/1CJaXPJ5aQ/" TargetMode="External"/><Relationship Id="rId15" Type="http://schemas.openxmlformats.org/officeDocument/2006/relationships/hyperlink" Target="https://www.facebook.com/share/14bDUZJAxHW/" TargetMode="External"/><Relationship Id="rId14" Type="http://schemas.openxmlformats.org/officeDocument/2006/relationships/hyperlink" Target="https://www.facebook.com/share/14bDUZJAxHW/" TargetMode="External"/><Relationship Id="rId17" Type="http://schemas.openxmlformats.org/officeDocument/2006/relationships/hyperlink" Target="https://www.facebook.com/share/14bDUZJAxHW/" TargetMode="External"/><Relationship Id="rId16" Type="http://schemas.openxmlformats.org/officeDocument/2006/relationships/hyperlink" Target="https://www.facebook.com/share/14bDUZJAxHW/" TargetMode="External"/><Relationship Id="rId19" Type="http://schemas.openxmlformats.org/officeDocument/2006/relationships/hyperlink" Target="https://www.facebook.com/share/1AznU6QD5p/" TargetMode="External"/><Relationship Id="rId18" Type="http://schemas.openxmlformats.org/officeDocument/2006/relationships/hyperlink" Target="https://www.facebook.com/share/14bDUZJAxHW/"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uc?export=view&amp;id=1XoV0Nxk0pmbK3b2gVr7xuDeFci5SBO_A" TargetMode="External"/><Relationship Id="rId2" Type="http://schemas.openxmlformats.org/officeDocument/2006/relationships/hyperlink" Target="https://drive.google.com/uc?export=view&amp;id=1gRZGgsaAlixTqG-fw_CaTSxsDz7UJNYp" TargetMode="External"/><Relationship Id="rId3" Type="http://schemas.openxmlformats.org/officeDocument/2006/relationships/hyperlink" Target="https://drive.google.com/uc?export=view&amp;id=1qFN_ZPeHCdAPmzweF-E1DPzUDXD4-E0V" TargetMode="External"/><Relationship Id="rId4" Type="http://schemas.openxmlformats.org/officeDocument/2006/relationships/hyperlink" Target="https://drive.google.com/uc?export=view&amp;id=1haFrYlClnn_4SD0mDZyE7Hh2u-Z7ck-m" TargetMode="External"/><Relationship Id="rId9" Type="http://schemas.openxmlformats.org/officeDocument/2006/relationships/hyperlink" Target="https://drive.google.com/uc?export=view&amp;id=1F-sa9s7-E_d_ZvUuuQ6OagclmipjD3ft" TargetMode="External"/><Relationship Id="rId5" Type="http://schemas.openxmlformats.org/officeDocument/2006/relationships/hyperlink" Target="https://drive.google.com/uc?export=view&amp;id=1TC0p5pIKaLn2YKGMcG7p1Qz8t23d-Wpi" TargetMode="External"/><Relationship Id="rId6" Type="http://schemas.openxmlformats.org/officeDocument/2006/relationships/hyperlink" Target="https://drive.google.com/uc?export=view&amp;id=1xYIx5Ce1_Q0-qJs8j00BOsARTmvE8Cnj" TargetMode="External"/><Relationship Id="rId7" Type="http://schemas.openxmlformats.org/officeDocument/2006/relationships/hyperlink" Target="https://drive.google.com/uc?export=view&amp;id=1iS2bq0Dpu0U_0XdwnAvNunOiNTedNO7n" TargetMode="External"/><Relationship Id="rId8" Type="http://schemas.openxmlformats.org/officeDocument/2006/relationships/hyperlink" Target="https://drive.google.com/uc?export=view&amp;id=1WXriGQa1X6gRDHOPk2BM9dkamEwYh9Ro" TargetMode="External"/><Relationship Id="rId11" Type="http://schemas.openxmlformats.org/officeDocument/2006/relationships/hyperlink" Target="https://drive.google.com/uc?export=view&amp;id=1iBcuXcyXFWfXE08ous3zNvzLLe1LVYCa" TargetMode="External"/><Relationship Id="rId10" Type="http://schemas.openxmlformats.org/officeDocument/2006/relationships/hyperlink" Target="https://drive.google.com/uc?export=view&amp;id=1mlS03U1_3WXR4q6ElJiW72FpvKBnRDG5" TargetMode="External"/><Relationship Id="rId13" Type="http://schemas.openxmlformats.org/officeDocument/2006/relationships/drawing" Target="../drawings/drawing7.xml"/><Relationship Id="rId12" Type="http://schemas.openxmlformats.org/officeDocument/2006/relationships/hyperlink" Target="https://drive.google.com/uc?export=view&amp;id=1Cbq3Jpfow-D66QnxD2coy6f04UebXTbG" TargetMode="External"/><Relationship Id="rId15"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92" Type="http://schemas.openxmlformats.org/officeDocument/2006/relationships/hyperlink" Target="https://www.facebook.com/share/14XMtwmxsBV/" TargetMode="External"/><Relationship Id="rId391" Type="http://schemas.openxmlformats.org/officeDocument/2006/relationships/hyperlink" Target="https://www.facebook.com/share/18TByQthF8/" TargetMode="External"/><Relationship Id="rId390" Type="http://schemas.openxmlformats.org/officeDocument/2006/relationships/hyperlink" Target="https://www.facebook.com/share/1E549gtCY9/" TargetMode="External"/><Relationship Id="rId1" Type="http://schemas.openxmlformats.org/officeDocument/2006/relationships/hyperlink" Target="https://www.facebook.com/share/181MeUHP52/" TargetMode="External"/><Relationship Id="rId2" Type="http://schemas.openxmlformats.org/officeDocument/2006/relationships/hyperlink" Target="https://www.facebook.com/share/1AYsczqjVa/" TargetMode="External"/><Relationship Id="rId3" Type="http://schemas.openxmlformats.org/officeDocument/2006/relationships/hyperlink" Target="https://www.facebook.com/share/1P1idcptA6/" TargetMode="External"/><Relationship Id="rId4" Type="http://schemas.openxmlformats.org/officeDocument/2006/relationships/hyperlink" Target="https://www.facebook.com/share/1EH2DAkYNo/" TargetMode="External"/><Relationship Id="rId9" Type="http://schemas.openxmlformats.org/officeDocument/2006/relationships/hyperlink" Target="https://www.facebook.com/share/1D5FNq918g/" TargetMode="External"/><Relationship Id="rId385" Type="http://schemas.openxmlformats.org/officeDocument/2006/relationships/hyperlink" Target="https://www.facebook.com/share/1CGWyuX6qY/" TargetMode="External"/><Relationship Id="rId384" Type="http://schemas.openxmlformats.org/officeDocument/2006/relationships/hyperlink" Target="https://www.facebook.com/share/1UQrAejni5/" TargetMode="External"/><Relationship Id="rId383" Type="http://schemas.openxmlformats.org/officeDocument/2006/relationships/hyperlink" Target="https://www.facebook.com/share/1bgeuinth8/" TargetMode="External"/><Relationship Id="rId382" Type="http://schemas.openxmlformats.org/officeDocument/2006/relationships/hyperlink" Target="https://www.facebook.com/share/18TzX38M5Y/" TargetMode="External"/><Relationship Id="rId5" Type="http://schemas.openxmlformats.org/officeDocument/2006/relationships/hyperlink" Target="https://www.facebook.com/share/17xYXxAfog/" TargetMode="External"/><Relationship Id="rId389" Type="http://schemas.openxmlformats.org/officeDocument/2006/relationships/hyperlink" Target="https://www.facebook.com/share/1EWutUbTpL/" TargetMode="External"/><Relationship Id="rId6" Type="http://schemas.openxmlformats.org/officeDocument/2006/relationships/hyperlink" Target="https://www.facebook.com/profile.php?id=100008702644577" TargetMode="External"/><Relationship Id="rId388" Type="http://schemas.openxmlformats.org/officeDocument/2006/relationships/hyperlink" Target="https://www.facebook.com/share/1E5L6upzSm/" TargetMode="External"/><Relationship Id="rId7" Type="http://schemas.openxmlformats.org/officeDocument/2006/relationships/hyperlink" Target="https://www.facebook.com/share/1H56ngrqG1/" TargetMode="External"/><Relationship Id="rId387" Type="http://schemas.openxmlformats.org/officeDocument/2006/relationships/hyperlink" Target="https://www.facebook.com/share/1HzVAd1hgJ/" TargetMode="External"/><Relationship Id="rId8" Type="http://schemas.openxmlformats.org/officeDocument/2006/relationships/hyperlink" Target="https://www.facebook.com/share/1GBjohn9bz/" TargetMode="External"/><Relationship Id="rId386" Type="http://schemas.openxmlformats.org/officeDocument/2006/relationships/hyperlink" Target="https://www.facebook.com/share/1CXzX14Tdh/" TargetMode="External"/><Relationship Id="rId381" Type="http://schemas.openxmlformats.org/officeDocument/2006/relationships/hyperlink" Target="https://www.facebook.com/share/17PVHmEAc7/" TargetMode="External"/><Relationship Id="rId380" Type="http://schemas.openxmlformats.org/officeDocument/2006/relationships/hyperlink" Target="https://www.facebook.com/share/1DzVMAy8pB/" TargetMode="External"/><Relationship Id="rId379" Type="http://schemas.openxmlformats.org/officeDocument/2006/relationships/hyperlink" Target="https://www.facebook.com/share/1EVjzgMu69/" TargetMode="External"/><Relationship Id="rId374" Type="http://schemas.openxmlformats.org/officeDocument/2006/relationships/hyperlink" Target="https://www.facebook.com/share/18UEXm5Z6U/" TargetMode="External"/><Relationship Id="rId373" Type="http://schemas.openxmlformats.org/officeDocument/2006/relationships/hyperlink" Target="https://www.facebook.com/share/1E4Yiwgmrj/" TargetMode="External"/><Relationship Id="rId372" Type="http://schemas.openxmlformats.org/officeDocument/2006/relationships/hyperlink" Target="https://www.facebook.com/share/1HnmKqMEg4/" TargetMode="External"/><Relationship Id="rId371" Type="http://schemas.openxmlformats.org/officeDocument/2006/relationships/hyperlink" Target="https://www.facebook.com/htrazf" TargetMode="External"/><Relationship Id="rId378" Type="http://schemas.openxmlformats.org/officeDocument/2006/relationships/hyperlink" Target="https://www.facebook.com/share/18eAWfpSXV/" TargetMode="External"/><Relationship Id="rId377" Type="http://schemas.openxmlformats.org/officeDocument/2006/relationships/hyperlink" Target="https://www.facebook.com/share/1GbCTuNHXi/" TargetMode="External"/><Relationship Id="rId376" Type="http://schemas.openxmlformats.org/officeDocument/2006/relationships/hyperlink" Target="https://www.facebook.com/share/18vh5rv9xs/" TargetMode="External"/><Relationship Id="rId375" Type="http://schemas.openxmlformats.org/officeDocument/2006/relationships/hyperlink" Target="https://www.facebook.com/share/16w38LHfLv/" TargetMode="External"/><Relationship Id="rId396" Type="http://schemas.openxmlformats.org/officeDocument/2006/relationships/hyperlink" Target="https://www.facebook.com/share/17SXdBthCr/" TargetMode="External"/><Relationship Id="rId395" Type="http://schemas.openxmlformats.org/officeDocument/2006/relationships/hyperlink" Target="https://www.facebook.com/share/18HEUEWdGm/" TargetMode="External"/><Relationship Id="rId394" Type="http://schemas.openxmlformats.org/officeDocument/2006/relationships/hyperlink" Target="https://www.facebook.com/share/1B5iU8nArN/" TargetMode="External"/><Relationship Id="rId393" Type="http://schemas.openxmlformats.org/officeDocument/2006/relationships/hyperlink" Target="https://www.facebook.com/share/18piuwFyKm/" TargetMode="External"/><Relationship Id="rId399" Type="http://schemas.openxmlformats.org/officeDocument/2006/relationships/hyperlink" Target="https://www.facebook.com/share/1DsV7KVC6i/" TargetMode="External"/><Relationship Id="rId398" Type="http://schemas.openxmlformats.org/officeDocument/2006/relationships/hyperlink" Target="https://www.facebook.com/share/1EquFGLus1/" TargetMode="External"/><Relationship Id="rId397" Type="http://schemas.openxmlformats.org/officeDocument/2006/relationships/hyperlink" Target="https://www.facebook.com/share/18dFv9vaZ1/" TargetMode="External"/><Relationship Id="rId40" Type="http://schemas.openxmlformats.org/officeDocument/2006/relationships/hyperlink" Target="https://www.facebook.com/share/1B7vuz3xum/" TargetMode="External"/><Relationship Id="rId42" Type="http://schemas.openxmlformats.org/officeDocument/2006/relationships/hyperlink" Target="https://www.facebook.com/share/1HTs6AEBrx/" TargetMode="External"/><Relationship Id="rId41" Type="http://schemas.openxmlformats.org/officeDocument/2006/relationships/hyperlink" Target="https://www.facebook.com/share/1Dg8bQTsNd/" TargetMode="External"/><Relationship Id="rId44" Type="http://schemas.openxmlformats.org/officeDocument/2006/relationships/hyperlink" Target="https://www.facebook.com/share/1AxJ2BYNjp/" TargetMode="External"/><Relationship Id="rId43" Type="http://schemas.openxmlformats.org/officeDocument/2006/relationships/hyperlink" Target="https://www.facebook.com/share/1Vr7N7RvQ8/" TargetMode="External"/><Relationship Id="rId46" Type="http://schemas.openxmlformats.org/officeDocument/2006/relationships/hyperlink" Target="https://www.facebook.com/profile.php?id=100016762638666" TargetMode="External"/><Relationship Id="rId45" Type="http://schemas.openxmlformats.org/officeDocument/2006/relationships/hyperlink" Target="https://www.facebook.com/share/18Qej2Zu6y/" TargetMode="External"/><Relationship Id="rId48" Type="http://schemas.openxmlformats.org/officeDocument/2006/relationships/hyperlink" Target="https://www.facebook.com/share/183YEj8tMP/" TargetMode="External"/><Relationship Id="rId47" Type="http://schemas.openxmlformats.org/officeDocument/2006/relationships/hyperlink" Target="https://www.facebook.com/share/1LgSRbAfuA/" TargetMode="External"/><Relationship Id="rId49" Type="http://schemas.openxmlformats.org/officeDocument/2006/relationships/hyperlink" Target="https://www.facebook.com/share/1FRWL6oweC/" TargetMode="External"/><Relationship Id="rId31" Type="http://schemas.openxmlformats.org/officeDocument/2006/relationships/hyperlink" Target="https://www.facebook.com/share/1CtJFt5RSx/" TargetMode="External"/><Relationship Id="rId30" Type="http://schemas.openxmlformats.org/officeDocument/2006/relationships/hyperlink" Target="https://www.facebook.com/share/1AsSUmzeNB/" TargetMode="External"/><Relationship Id="rId33" Type="http://schemas.openxmlformats.org/officeDocument/2006/relationships/hyperlink" Target="https://www.facebook.com/share/1DbYqkGw2y/" TargetMode="External"/><Relationship Id="rId32" Type="http://schemas.openxmlformats.org/officeDocument/2006/relationships/hyperlink" Target="https://www.facebook.com/share/18V5atZ5Ho/" TargetMode="External"/><Relationship Id="rId35" Type="http://schemas.openxmlformats.org/officeDocument/2006/relationships/hyperlink" Target="https://www.facebook.com/share/1GStDBv9J5/" TargetMode="External"/><Relationship Id="rId34" Type="http://schemas.openxmlformats.org/officeDocument/2006/relationships/hyperlink" Target="https://www.facebook.com/share/1AtgcGoDTg/" TargetMode="External"/><Relationship Id="rId37" Type="http://schemas.openxmlformats.org/officeDocument/2006/relationships/hyperlink" Target="https://www.facebook.com/share/1CmeeuasPc/" TargetMode="External"/><Relationship Id="rId36" Type="http://schemas.openxmlformats.org/officeDocument/2006/relationships/hyperlink" Target="https://www.facebook.com/thuanh.duong.925" TargetMode="External"/><Relationship Id="rId39" Type="http://schemas.openxmlformats.org/officeDocument/2006/relationships/hyperlink" Target="https://www.facebook.com/share/19gu6tdbrM/" TargetMode="External"/><Relationship Id="rId38" Type="http://schemas.openxmlformats.org/officeDocument/2006/relationships/hyperlink" Target="https://www.facebook.com/share/1JRjGvQXei/" TargetMode="External"/><Relationship Id="rId20" Type="http://schemas.openxmlformats.org/officeDocument/2006/relationships/hyperlink" Target="https://www.facebook.com/Huongnhat.tokyo" TargetMode="External"/><Relationship Id="rId22" Type="http://schemas.openxmlformats.org/officeDocument/2006/relationships/hyperlink" Target="https://www.facebook.com/share/1FrfUX4efh/" TargetMode="External"/><Relationship Id="rId21" Type="http://schemas.openxmlformats.org/officeDocument/2006/relationships/hyperlink" Target="https://www.facebook.com/profile.php?id=100034218013749" TargetMode="External"/><Relationship Id="rId24" Type="http://schemas.openxmlformats.org/officeDocument/2006/relationships/hyperlink" Target="https://www.facebook.com/share/196uaGbB3t/" TargetMode="External"/><Relationship Id="rId23" Type="http://schemas.openxmlformats.org/officeDocument/2006/relationships/hyperlink" Target="https://www.facebook.com/share/18CFd9jzMG/" TargetMode="External"/><Relationship Id="rId26" Type="http://schemas.openxmlformats.org/officeDocument/2006/relationships/hyperlink" Target="https://www.facebook.com/profile.php?id=100008951794453" TargetMode="External"/><Relationship Id="rId25" Type="http://schemas.openxmlformats.org/officeDocument/2006/relationships/hyperlink" Target="https://www.facebook.com/profile.php?id=100037242972472" TargetMode="External"/><Relationship Id="rId28" Type="http://schemas.openxmlformats.org/officeDocument/2006/relationships/hyperlink" Target="https://www.facebook.com/share/17zeitFdWJ/" TargetMode="External"/><Relationship Id="rId27" Type="http://schemas.openxmlformats.org/officeDocument/2006/relationships/hyperlink" Target="https://www.facebook.com/share/17CKfbh5AB/" TargetMode="External"/><Relationship Id="rId29" Type="http://schemas.openxmlformats.org/officeDocument/2006/relationships/hyperlink" Target="https://www.facebook.com/share/18DoYNLTjW/" TargetMode="External"/><Relationship Id="rId11" Type="http://schemas.openxmlformats.org/officeDocument/2006/relationships/hyperlink" Target="https://www.facebook.com/share/1E8uDmku72/" TargetMode="External"/><Relationship Id="rId10" Type="http://schemas.openxmlformats.org/officeDocument/2006/relationships/hyperlink" Target="https://www.facebook.com/share/1e6PnmCpnn/" TargetMode="External"/><Relationship Id="rId13" Type="http://schemas.openxmlformats.org/officeDocument/2006/relationships/hyperlink" Target="https://www.facebook.com/share/1CbKfVgkJ2/" TargetMode="External"/><Relationship Id="rId12" Type="http://schemas.openxmlformats.org/officeDocument/2006/relationships/hyperlink" Target="https://www.facebook.com/share/18tQqDrdNo/" TargetMode="External"/><Relationship Id="rId15" Type="http://schemas.openxmlformats.org/officeDocument/2006/relationships/hyperlink" Target="https://www.facebook.com/share/1CdvwuiRZ5/" TargetMode="External"/><Relationship Id="rId14" Type="http://schemas.openxmlformats.org/officeDocument/2006/relationships/hyperlink" Target="https://www.facebook.com/share/1LPtZWFZN3/" TargetMode="External"/><Relationship Id="rId17" Type="http://schemas.openxmlformats.org/officeDocument/2006/relationships/hyperlink" Target="https://www.facebook.com/share/1B9eXpfuMf/" TargetMode="External"/><Relationship Id="rId16" Type="http://schemas.openxmlformats.org/officeDocument/2006/relationships/hyperlink" Target="https://www.facebook.com/share/1EHXz48UTB/" TargetMode="External"/><Relationship Id="rId19" Type="http://schemas.openxmlformats.org/officeDocument/2006/relationships/hyperlink" Target="https://www.facebook.com/profile.php?id=100006539089039" TargetMode="External"/><Relationship Id="rId18" Type="http://schemas.openxmlformats.org/officeDocument/2006/relationships/hyperlink" Target="https://www.facebook.com/share/19cDxRh8W9/" TargetMode="External"/><Relationship Id="rId84" Type="http://schemas.openxmlformats.org/officeDocument/2006/relationships/hyperlink" Target="https://www.facebook.com/share/1QfVSEJJ5A/" TargetMode="External"/><Relationship Id="rId83" Type="http://schemas.openxmlformats.org/officeDocument/2006/relationships/hyperlink" Target="https://www.facebook.com/share/1Sbjq2GBhf/" TargetMode="External"/><Relationship Id="rId86" Type="http://schemas.openxmlformats.org/officeDocument/2006/relationships/hyperlink" Target="https://www.facebook.com/share/1AyCXkFFCR/" TargetMode="External"/><Relationship Id="rId85" Type="http://schemas.openxmlformats.org/officeDocument/2006/relationships/hyperlink" Target="https://www.facebook.com/share/1KAShWrtGq/" TargetMode="External"/><Relationship Id="rId88" Type="http://schemas.openxmlformats.org/officeDocument/2006/relationships/hyperlink" Target="https://www.facebook.com/share/1EAjiabKJ8/" TargetMode="External"/><Relationship Id="rId87" Type="http://schemas.openxmlformats.org/officeDocument/2006/relationships/hyperlink" Target="https://www.facebook.com/share/1JJxSXEHfh/" TargetMode="External"/><Relationship Id="rId89" Type="http://schemas.openxmlformats.org/officeDocument/2006/relationships/hyperlink" Target="https://www.facebook.com/share/1CYPqdn9G2/" TargetMode="External"/><Relationship Id="rId80" Type="http://schemas.openxmlformats.org/officeDocument/2006/relationships/hyperlink" Target="https://www.facebook.com/share/1TG9MuRy13/" TargetMode="External"/><Relationship Id="rId82" Type="http://schemas.openxmlformats.org/officeDocument/2006/relationships/hyperlink" Target="https://www.facebook.com/share/1H6ipSQtWq/" TargetMode="External"/><Relationship Id="rId81" Type="http://schemas.openxmlformats.org/officeDocument/2006/relationships/hyperlink" Target="https://www.facebook.com/share/1E7d2rmxvb/" TargetMode="External"/><Relationship Id="rId73" Type="http://schemas.openxmlformats.org/officeDocument/2006/relationships/hyperlink" Target="https://www.facebook.com/share/1KcCQcNJgZ/" TargetMode="External"/><Relationship Id="rId72" Type="http://schemas.openxmlformats.org/officeDocument/2006/relationships/hyperlink" Target="https://www.facebook.com/share/1CPgqT37o2/" TargetMode="External"/><Relationship Id="rId75" Type="http://schemas.openxmlformats.org/officeDocument/2006/relationships/hyperlink" Target="https://www.facebook.com/share/1DTcc9BqkR/" TargetMode="External"/><Relationship Id="rId74" Type="http://schemas.openxmlformats.org/officeDocument/2006/relationships/hyperlink" Target="https://www.facebook.com/share/18USNN5Ncs/" TargetMode="External"/><Relationship Id="rId77" Type="http://schemas.openxmlformats.org/officeDocument/2006/relationships/hyperlink" Target="https://www.facebook.com/share/17tXp8HeJV/" TargetMode="External"/><Relationship Id="rId76" Type="http://schemas.openxmlformats.org/officeDocument/2006/relationships/hyperlink" Target="https://www.facebook.com/share/1BpTGjwCnp/" TargetMode="External"/><Relationship Id="rId79" Type="http://schemas.openxmlformats.org/officeDocument/2006/relationships/hyperlink" Target="https://www.facebook.com/share/1buS1FWDvs/" TargetMode="External"/><Relationship Id="rId78" Type="http://schemas.openxmlformats.org/officeDocument/2006/relationships/hyperlink" Target="https://www.facebook.com/share/1BW9pGS46g/" TargetMode="External"/><Relationship Id="rId71" Type="http://schemas.openxmlformats.org/officeDocument/2006/relationships/hyperlink" Target="https://www.facebook.com/share/1DhAHKynd9/" TargetMode="External"/><Relationship Id="rId70" Type="http://schemas.openxmlformats.org/officeDocument/2006/relationships/hyperlink" Target="https://www.facebook.com/share/18WtG956fF/" TargetMode="External"/><Relationship Id="rId62" Type="http://schemas.openxmlformats.org/officeDocument/2006/relationships/hyperlink" Target="https://www.facebook.com/thao.phan.5667901" TargetMode="External"/><Relationship Id="rId61" Type="http://schemas.openxmlformats.org/officeDocument/2006/relationships/hyperlink" Target="https://www.facebook.com/share/1a7VcY7KV3/" TargetMode="External"/><Relationship Id="rId64" Type="http://schemas.openxmlformats.org/officeDocument/2006/relationships/hyperlink" Target="http://facebook.com/profile.php" TargetMode="External"/><Relationship Id="rId63" Type="http://schemas.openxmlformats.org/officeDocument/2006/relationships/hyperlink" Target="https://www.facebook.com/share/18HNhpD7VF/" TargetMode="External"/><Relationship Id="rId66" Type="http://schemas.openxmlformats.org/officeDocument/2006/relationships/hyperlink" Target="https://www.facebook.com/share/18MvsGjdCR/" TargetMode="External"/><Relationship Id="rId65" Type="http://schemas.openxmlformats.org/officeDocument/2006/relationships/hyperlink" Target="https://www.facebook.com/havi.phamthi.33" TargetMode="External"/><Relationship Id="rId68" Type="http://schemas.openxmlformats.org/officeDocument/2006/relationships/hyperlink" Target="https://www.facebook.com/share/1AzKp7fSji/" TargetMode="External"/><Relationship Id="rId67" Type="http://schemas.openxmlformats.org/officeDocument/2006/relationships/hyperlink" Target="https://www.facebook.com/share/1DkLZKVmvg/" TargetMode="External"/><Relationship Id="rId60" Type="http://schemas.openxmlformats.org/officeDocument/2006/relationships/hyperlink" Target="https://www.facebook.com/profile.php?id=100048924420984" TargetMode="External"/><Relationship Id="rId69" Type="http://schemas.openxmlformats.org/officeDocument/2006/relationships/hyperlink" Target="https://www.facebook.com/share/1CFsAsqsHk/" TargetMode="External"/><Relationship Id="rId51" Type="http://schemas.openxmlformats.org/officeDocument/2006/relationships/hyperlink" Target="https://www.facebook.com/share/1JbnKjuq2H/" TargetMode="External"/><Relationship Id="rId50" Type="http://schemas.openxmlformats.org/officeDocument/2006/relationships/hyperlink" Target="https://www.facebook.com/share/18MQ8PrGhR/" TargetMode="External"/><Relationship Id="rId53" Type="http://schemas.openxmlformats.org/officeDocument/2006/relationships/hyperlink" Target="https://www.facebook.com/share/1GoNjk9PrP/" TargetMode="External"/><Relationship Id="rId52" Type="http://schemas.openxmlformats.org/officeDocument/2006/relationships/hyperlink" Target="https://www.facebook.com/share/1CtCcxfpvc/" TargetMode="External"/><Relationship Id="rId55" Type="http://schemas.openxmlformats.org/officeDocument/2006/relationships/hyperlink" Target="https://www.facebook.com/share/1AvgCpRN73/" TargetMode="External"/><Relationship Id="rId54" Type="http://schemas.openxmlformats.org/officeDocument/2006/relationships/hyperlink" Target="https://www.facebook.com/share/1ApHfEfEJX/" TargetMode="External"/><Relationship Id="rId57" Type="http://schemas.openxmlformats.org/officeDocument/2006/relationships/hyperlink" Target="https://www.facebook.com/share/1HkP4iBJQd/" TargetMode="External"/><Relationship Id="rId56" Type="http://schemas.openxmlformats.org/officeDocument/2006/relationships/hyperlink" Target="https://www.facebook.com/hanhtho210619975555" TargetMode="External"/><Relationship Id="rId59" Type="http://schemas.openxmlformats.org/officeDocument/2006/relationships/hyperlink" Target="https://www.facebook.com/share/16aK5P8NqS/" TargetMode="External"/><Relationship Id="rId58" Type="http://schemas.openxmlformats.org/officeDocument/2006/relationships/hyperlink" Target="https://www.facebook.com/hoang.anhh.7106" TargetMode="External"/><Relationship Id="rId349" Type="http://schemas.openxmlformats.org/officeDocument/2006/relationships/hyperlink" Target="https://www.facebook.com/share/1EuPpPB9xC/" TargetMode="External"/><Relationship Id="rId348" Type="http://schemas.openxmlformats.org/officeDocument/2006/relationships/hyperlink" Target="https://www.facebook.com/share/1CKTEc6hH9/" TargetMode="External"/><Relationship Id="rId347" Type="http://schemas.openxmlformats.org/officeDocument/2006/relationships/hyperlink" Target="https://www.facebook.com/share/1GQEGpRwD5/" TargetMode="External"/><Relationship Id="rId346" Type="http://schemas.openxmlformats.org/officeDocument/2006/relationships/hyperlink" Target="https://www.facebook.com/share/18YGqCS6w5/" TargetMode="External"/><Relationship Id="rId341" Type="http://schemas.openxmlformats.org/officeDocument/2006/relationships/hyperlink" Target="https://www.facebook.com/share/1DA2igw8tf/" TargetMode="External"/><Relationship Id="rId340" Type="http://schemas.openxmlformats.org/officeDocument/2006/relationships/hyperlink" Target="https://www.facebook.com/share/1Cavxcv1jx/" TargetMode="External"/><Relationship Id="rId345" Type="http://schemas.openxmlformats.org/officeDocument/2006/relationships/hyperlink" Target="https://www.facebook.com/share/1A3MQ9GWRv/" TargetMode="External"/><Relationship Id="rId344" Type="http://schemas.openxmlformats.org/officeDocument/2006/relationships/hyperlink" Target="https://www.facebook.com/share/1ERyvCU4yC/" TargetMode="External"/><Relationship Id="rId343" Type="http://schemas.openxmlformats.org/officeDocument/2006/relationships/hyperlink" Target="https://www.facebook.com/share/1NJCC5ambN/" TargetMode="External"/><Relationship Id="rId342" Type="http://schemas.openxmlformats.org/officeDocument/2006/relationships/hyperlink" Target="https://www.facebook.com/share/1Ku8ouonzf/" TargetMode="External"/><Relationship Id="rId338" Type="http://schemas.openxmlformats.org/officeDocument/2006/relationships/hyperlink" Target="https://www.facebook.com/share/1c3DPxsS2c/" TargetMode="External"/><Relationship Id="rId337" Type="http://schemas.openxmlformats.org/officeDocument/2006/relationships/hyperlink" Target="https://www.facebook.com/share/1E92ckXU9G/" TargetMode="External"/><Relationship Id="rId336" Type="http://schemas.openxmlformats.org/officeDocument/2006/relationships/hyperlink" Target="https://www.facebook.com/share/1CYCJgfgF8/" TargetMode="External"/><Relationship Id="rId335" Type="http://schemas.openxmlformats.org/officeDocument/2006/relationships/hyperlink" Target="https://www.facebook.com/share/17FneLXveE/" TargetMode="External"/><Relationship Id="rId339" Type="http://schemas.openxmlformats.org/officeDocument/2006/relationships/hyperlink" Target="https://www.facebook.com/share/1UWuJf3ES5/" TargetMode="External"/><Relationship Id="rId330" Type="http://schemas.openxmlformats.org/officeDocument/2006/relationships/hyperlink" Target="https://www.facebook.com/share/1BCRc5CWXa/" TargetMode="External"/><Relationship Id="rId334" Type="http://schemas.openxmlformats.org/officeDocument/2006/relationships/hyperlink" Target="https://www.facebook.com/share/1JkxuLgYQR/" TargetMode="External"/><Relationship Id="rId333" Type="http://schemas.openxmlformats.org/officeDocument/2006/relationships/hyperlink" Target="https://www.facebook.com/share/1EtuB4oGhP/" TargetMode="External"/><Relationship Id="rId332" Type="http://schemas.openxmlformats.org/officeDocument/2006/relationships/hyperlink" Target="https://www.facebook.com/share/1GpmjwDRuR/" TargetMode="External"/><Relationship Id="rId331" Type="http://schemas.openxmlformats.org/officeDocument/2006/relationships/hyperlink" Target="https://www.facebook.com/share/18xQ6EMuHr/" TargetMode="External"/><Relationship Id="rId370" Type="http://schemas.openxmlformats.org/officeDocument/2006/relationships/hyperlink" Target="https://www.facebook.com/share/1GGizjY78Q/" TargetMode="External"/><Relationship Id="rId369" Type="http://schemas.openxmlformats.org/officeDocument/2006/relationships/hyperlink" Target="https://www.facebook.com/share/1AmjHmcL7U/" TargetMode="External"/><Relationship Id="rId368" Type="http://schemas.openxmlformats.org/officeDocument/2006/relationships/hyperlink" Target="https://www.facebook.com/share/1FREMhWyFm/" TargetMode="External"/><Relationship Id="rId363" Type="http://schemas.openxmlformats.org/officeDocument/2006/relationships/hyperlink" Target="https://www.facebook.com/share/18QqVSU64H/" TargetMode="External"/><Relationship Id="rId362" Type="http://schemas.openxmlformats.org/officeDocument/2006/relationships/hyperlink" Target="https://www.facebook.com/share/1D1RgEtsS5/" TargetMode="External"/><Relationship Id="rId361" Type="http://schemas.openxmlformats.org/officeDocument/2006/relationships/hyperlink" Target="https://www.facebook.com/share/1B9LLSFUzL/" TargetMode="External"/><Relationship Id="rId360" Type="http://schemas.openxmlformats.org/officeDocument/2006/relationships/hyperlink" Target="https://www.facebook.com/share/1CXpLK2cxy/" TargetMode="External"/><Relationship Id="rId367" Type="http://schemas.openxmlformats.org/officeDocument/2006/relationships/hyperlink" Target="https://www.facebook.com/share/17AguGKEwa/" TargetMode="External"/><Relationship Id="rId366" Type="http://schemas.openxmlformats.org/officeDocument/2006/relationships/hyperlink" Target="https://www.facebook.com/share/18M9veT27c/" TargetMode="External"/><Relationship Id="rId365" Type="http://schemas.openxmlformats.org/officeDocument/2006/relationships/hyperlink" Target="https://www.facebook.com/share/1JWpQYNj72/" TargetMode="External"/><Relationship Id="rId364" Type="http://schemas.openxmlformats.org/officeDocument/2006/relationships/hyperlink" Target="https://www.facebook.com/share/1De5svUcKX/" TargetMode="External"/><Relationship Id="rId95" Type="http://schemas.openxmlformats.org/officeDocument/2006/relationships/hyperlink" Target="https://www.facebook.com/share/1ShKp9oKHY/" TargetMode="External"/><Relationship Id="rId94" Type="http://schemas.openxmlformats.org/officeDocument/2006/relationships/hyperlink" Target="https://www.facebook.com/share/1DMeh29c5j/" TargetMode="External"/><Relationship Id="rId97" Type="http://schemas.openxmlformats.org/officeDocument/2006/relationships/hyperlink" Target="https://www.facebook.com/share/1CqxBBY32C/" TargetMode="External"/><Relationship Id="rId96" Type="http://schemas.openxmlformats.org/officeDocument/2006/relationships/hyperlink" Target="https://www.facebook.com/share/1GnkuzoUDy/" TargetMode="External"/><Relationship Id="rId99" Type="http://schemas.openxmlformats.org/officeDocument/2006/relationships/hyperlink" Target="https://www.facebook.com/share/1JMDHXcfmv/" TargetMode="External"/><Relationship Id="rId98" Type="http://schemas.openxmlformats.org/officeDocument/2006/relationships/hyperlink" Target="https://www.facebook.com/share/1CS1TUhrxP/" TargetMode="External"/><Relationship Id="rId91" Type="http://schemas.openxmlformats.org/officeDocument/2006/relationships/hyperlink" Target="https://www.facebook.com/share/1AznU6QD5p/" TargetMode="External"/><Relationship Id="rId90" Type="http://schemas.openxmlformats.org/officeDocument/2006/relationships/hyperlink" Target="https://www.facebook.com/share/1Az8wwEdS2/" TargetMode="External"/><Relationship Id="rId93" Type="http://schemas.openxmlformats.org/officeDocument/2006/relationships/hyperlink" Target="https://www.facebook.com/share/1EoaHnD36n/" TargetMode="External"/><Relationship Id="rId92" Type="http://schemas.openxmlformats.org/officeDocument/2006/relationships/hyperlink" Target="https://www.facebook.com/share/1ZtFwn4jRS/" TargetMode="External"/><Relationship Id="rId359" Type="http://schemas.openxmlformats.org/officeDocument/2006/relationships/hyperlink" Target="https://www.facebook.com/share/1LeFxRDk7j/" TargetMode="External"/><Relationship Id="rId358" Type="http://schemas.openxmlformats.org/officeDocument/2006/relationships/hyperlink" Target="https://www.facebook.com/share/1AsBZb17om/" TargetMode="External"/><Relationship Id="rId357" Type="http://schemas.openxmlformats.org/officeDocument/2006/relationships/hyperlink" Target="https://www.facebook.com/share/18nQLAfLNh/" TargetMode="External"/><Relationship Id="rId352" Type="http://schemas.openxmlformats.org/officeDocument/2006/relationships/hyperlink" Target="https://www.facebook.com/share/1Av4dMPYic/" TargetMode="External"/><Relationship Id="rId351" Type="http://schemas.openxmlformats.org/officeDocument/2006/relationships/hyperlink" Target="https://www.facebook.com/share/18Jsb7zdnD/" TargetMode="External"/><Relationship Id="rId350" Type="http://schemas.openxmlformats.org/officeDocument/2006/relationships/hyperlink" Target="https://www.facebook.com/share/1FWHwd2KmK/" TargetMode="External"/><Relationship Id="rId356" Type="http://schemas.openxmlformats.org/officeDocument/2006/relationships/hyperlink" Target="https://www.facebook.com/share/1CqgCxaWNi/" TargetMode="External"/><Relationship Id="rId355" Type="http://schemas.openxmlformats.org/officeDocument/2006/relationships/hyperlink" Target="https://www.facebook.com/share/1B9NLcWY2N/" TargetMode="External"/><Relationship Id="rId354" Type="http://schemas.openxmlformats.org/officeDocument/2006/relationships/hyperlink" Target="https://www.facebook.com/share/17SyS1d3YA/" TargetMode="External"/><Relationship Id="rId353" Type="http://schemas.openxmlformats.org/officeDocument/2006/relationships/hyperlink" Target="https://www.facebook.com/share/1CivxaztoZ/" TargetMode="External"/><Relationship Id="rId305" Type="http://schemas.openxmlformats.org/officeDocument/2006/relationships/hyperlink" Target="https://www.facebook.com/share/1JLuXk68ZT/" TargetMode="External"/><Relationship Id="rId304" Type="http://schemas.openxmlformats.org/officeDocument/2006/relationships/hyperlink" Target="https://www.facebook.com/share/1BxhrMGM3h/" TargetMode="External"/><Relationship Id="rId303" Type="http://schemas.openxmlformats.org/officeDocument/2006/relationships/hyperlink" Target="https://www.facebook.com/share/18WM8uv7fF/" TargetMode="External"/><Relationship Id="rId302" Type="http://schemas.openxmlformats.org/officeDocument/2006/relationships/hyperlink" Target="https://www.facebook.com/share/17T43UfoEu/" TargetMode="External"/><Relationship Id="rId309" Type="http://schemas.openxmlformats.org/officeDocument/2006/relationships/hyperlink" Target="https://www.facebook.com/share/1FNk1o5org/" TargetMode="External"/><Relationship Id="rId308" Type="http://schemas.openxmlformats.org/officeDocument/2006/relationships/hyperlink" Target="https://www.facebook.com/share/1Azf7z2o4Q/" TargetMode="External"/><Relationship Id="rId307" Type="http://schemas.openxmlformats.org/officeDocument/2006/relationships/hyperlink" Target="https://www.facebook.com/share/1Gwx8ScyXz/" TargetMode="External"/><Relationship Id="rId306" Type="http://schemas.openxmlformats.org/officeDocument/2006/relationships/hyperlink" Target="https://www.facebook.com/share/1GpsRnttMR/" TargetMode="External"/><Relationship Id="rId301" Type="http://schemas.openxmlformats.org/officeDocument/2006/relationships/hyperlink" Target="https://www.facebook.com/share/15jTpvp9ZSK/" TargetMode="External"/><Relationship Id="rId300" Type="http://schemas.openxmlformats.org/officeDocument/2006/relationships/hyperlink" Target="https://www.facebook.com/share/18JPVoaP72/" TargetMode="External"/><Relationship Id="rId327" Type="http://schemas.openxmlformats.org/officeDocument/2006/relationships/hyperlink" Target="https://www.facebook.com/share/17cbbwByUH/" TargetMode="External"/><Relationship Id="rId326" Type="http://schemas.openxmlformats.org/officeDocument/2006/relationships/hyperlink" Target="https://www.facebook.com/yen.nguyet.5477" TargetMode="External"/><Relationship Id="rId325" Type="http://schemas.openxmlformats.org/officeDocument/2006/relationships/hyperlink" Target="https://www.facebook.com/share/1BQVsupuUM/" TargetMode="External"/><Relationship Id="rId324" Type="http://schemas.openxmlformats.org/officeDocument/2006/relationships/hyperlink" Target="https://www.facebook.com/share/18oLBxPTFA/" TargetMode="External"/><Relationship Id="rId329" Type="http://schemas.openxmlformats.org/officeDocument/2006/relationships/hyperlink" Target="https://www.facebook.com/share/1AH3vwWW6a/" TargetMode="External"/><Relationship Id="rId328" Type="http://schemas.openxmlformats.org/officeDocument/2006/relationships/hyperlink" Target="https://www.facebook.com/share/1Ph4GfdcAk/" TargetMode="External"/><Relationship Id="rId323" Type="http://schemas.openxmlformats.org/officeDocument/2006/relationships/hyperlink" Target="https://www.facebook.com/share/18bYkQ9tZw/" TargetMode="External"/><Relationship Id="rId322" Type="http://schemas.openxmlformats.org/officeDocument/2006/relationships/hyperlink" Target="https://www.facebook.com/share/18ECb1p3Ci/" TargetMode="External"/><Relationship Id="rId321" Type="http://schemas.openxmlformats.org/officeDocument/2006/relationships/hyperlink" Target="https://www.facebook.com/share/1GQAG1AMx3/" TargetMode="External"/><Relationship Id="rId320" Type="http://schemas.openxmlformats.org/officeDocument/2006/relationships/hyperlink" Target="https://www.facebook.com/share/1AzEcJu6wD/" TargetMode="External"/><Relationship Id="rId316" Type="http://schemas.openxmlformats.org/officeDocument/2006/relationships/hyperlink" Target="https://www.facebook.com/share/1B9GDpb5sV/" TargetMode="External"/><Relationship Id="rId315" Type="http://schemas.openxmlformats.org/officeDocument/2006/relationships/hyperlink" Target="https://www.facebook.com/share/1QWVytVgTL/" TargetMode="External"/><Relationship Id="rId314" Type="http://schemas.openxmlformats.org/officeDocument/2006/relationships/hyperlink" Target="https://www.facebook.com/share/1XqHr3Lfx8/" TargetMode="External"/><Relationship Id="rId313" Type="http://schemas.openxmlformats.org/officeDocument/2006/relationships/hyperlink" Target="https://www.facebook.com/share/1DmEKbSZvg/" TargetMode="External"/><Relationship Id="rId319" Type="http://schemas.openxmlformats.org/officeDocument/2006/relationships/hyperlink" Target="https://www.facebook.com/share/1ESyjMp7im/" TargetMode="External"/><Relationship Id="rId318" Type="http://schemas.openxmlformats.org/officeDocument/2006/relationships/hyperlink" Target="https://www.facebook.com/share/1LANzUPr2B/" TargetMode="External"/><Relationship Id="rId317" Type="http://schemas.openxmlformats.org/officeDocument/2006/relationships/hyperlink" Target="https://www.facebook.com/share/1BE5K8xvAp/" TargetMode="External"/><Relationship Id="rId312" Type="http://schemas.openxmlformats.org/officeDocument/2006/relationships/hyperlink" Target="https://www.facebook.com/share/1DhLcfuuR9/" TargetMode="External"/><Relationship Id="rId311" Type="http://schemas.openxmlformats.org/officeDocument/2006/relationships/hyperlink" Target="https://www.facebook.com/share/1CT5tYj4o3/" TargetMode="External"/><Relationship Id="rId310" Type="http://schemas.openxmlformats.org/officeDocument/2006/relationships/hyperlink" Target="https://www.facebook.com/share/18T4CoLvPW/" TargetMode="External"/><Relationship Id="rId297" Type="http://schemas.openxmlformats.org/officeDocument/2006/relationships/hyperlink" Target="https://www.facebook.com/share/1MhTuRFEYp/" TargetMode="External"/><Relationship Id="rId296" Type="http://schemas.openxmlformats.org/officeDocument/2006/relationships/hyperlink" Target="https://www.facebook.com/profile.php?id=100014490075446" TargetMode="External"/><Relationship Id="rId295" Type="http://schemas.openxmlformats.org/officeDocument/2006/relationships/hyperlink" Target="https://www.facebook.com/share/1NFHZ7tsTn/" TargetMode="External"/><Relationship Id="rId294" Type="http://schemas.openxmlformats.org/officeDocument/2006/relationships/hyperlink" Target="https://www.facebook.com/share/18pe3Jfxii/" TargetMode="External"/><Relationship Id="rId299" Type="http://schemas.openxmlformats.org/officeDocument/2006/relationships/hyperlink" Target="https://www.facebook.com/share/1QP3QmRxaW/" TargetMode="External"/><Relationship Id="rId298" Type="http://schemas.openxmlformats.org/officeDocument/2006/relationships/hyperlink" Target="https://www.facebook.com/share/17bUrxiNrT/" TargetMode="External"/><Relationship Id="rId271" Type="http://schemas.openxmlformats.org/officeDocument/2006/relationships/hyperlink" Target="https://www.facebook.com/share/1G93jrUszK/" TargetMode="External"/><Relationship Id="rId270" Type="http://schemas.openxmlformats.org/officeDocument/2006/relationships/hyperlink" Target="https://www.facebook.com/share/18pYcbzmfh/" TargetMode="External"/><Relationship Id="rId269" Type="http://schemas.openxmlformats.org/officeDocument/2006/relationships/hyperlink" Target="https://www.facebook.com/share/1CYmUGmuFH/" TargetMode="External"/><Relationship Id="rId264" Type="http://schemas.openxmlformats.org/officeDocument/2006/relationships/hyperlink" Target="https://www.facebook.com/share/1CAPi6MbiQ/" TargetMode="External"/><Relationship Id="rId263" Type="http://schemas.openxmlformats.org/officeDocument/2006/relationships/hyperlink" Target="https://www.facebook.com/share/1EKfhjKMzC/" TargetMode="External"/><Relationship Id="rId262" Type="http://schemas.openxmlformats.org/officeDocument/2006/relationships/hyperlink" Target="https://www.facebook.com/share/1BSTbxWFeY/" TargetMode="External"/><Relationship Id="rId261" Type="http://schemas.openxmlformats.org/officeDocument/2006/relationships/hyperlink" Target="https://www.facebook.com/share/1BZnsNFFkN/" TargetMode="External"/><Relationship Id="rId268" Type="http://schemas.openxmlformats.org/officeDocument/2006/relationships/hyperlink" Target="https://www.facebook.com/share/14dXRHmFczS/" TargetMode="External"/><Relationship Id="rId267" Type="http://schemas.openxmlformats.org/officeDocument/2006/relationships/hyperlink" Target="https://www.facebook.com/share/1DdyQRNQru/" TargetMode="External"/><Relationship Id="rId266" Type="http://schemas.openxmlformats.org/officeDocument/2006/relationships/hyperlink" Target="https://www.facebook.com/share/1HAwqiv381/" TargetMode="External"/><Relationship Id="rId265" Type="http://schemas.openxmlformats.org/officeDocument/2006/relationships/hyperlink" Target="https://www.facebook.com/share/1CJgbsWqqD/" TargetMode="External"/><Relationship Id="rId260" Type="http://schemas.openxmlformats.org/officeDocument/2006/relationships/hyperlink" Target="https://www.facebook.com/share/18PZ2CB7YN/" TargetMode="External"/><Relationship Id="rId259" Type="http://schemas.openxmlformats.org/officeDocument/2006/relationships/hyperlink" Target="https://www.facebook.com/share/1CgSbHEeHM/" TargetMode="External"/><Relationship Id="rId258" Type="http://schemas.openxmlformats.org/officeDocument/2006/relationships/hyperlink" Target="https://www.facebook.com/share/1KQPtPKpH2/" TargetMode="External"/><Relationship Id="rId253" Type="http://schemas.openxmlformats.org/officeDocument/2006/relationships/hyperlink" Target="https://www.facebook.com/share/1CUb857TAX/" TargetMode="External"/><Relationship Id="rId252" Type="http://schemas.openxmlformats.org/officeDocument/2006/relationships/hyperlink" Target="https://www.facebook.com/share/1KmJALpNyd/" TargetMode="External"/><Relationship Id="rId251" Type="http://schemas.openxmlformats.org/officeDocument/2006/relationships/hyperlink" Target="https://www.facebook.com/share/18ZwtqcTCZ/" TargetMode="External"/><Relationship Id="rId250" Type="http://schemas.openxmlformats.org/officeDocument/2006/relationships/hyperlink" Target="https://www.facebook.com/share/1AkdELBB38/" TargetMode="External"/><Relationship Id="rId257" Type="http://schemas.openxmlformats.org/officeDocument/2006/relationships/hyperlink" Target="https://www.facebook.com/share/1Aen4qAdYq/" TargetMode="External"/><Relationship Id="rId256" Type="http://schemas.openxmlformats.org/officeDocument/2006/relationships/hyperlink" Target="https://www.facebook.com/share/18dqaSseJ5/" TargetMode="External"/><Relationship Id="rId255" Type="http://schemas.openxmlformats.org/officeDocument/2006/relationships/hyperlink" Target="https://www.facebook.com/share/1CDF9GJv3c/" TargetMode="External"/><Relationship Id="rId254" Type="http://schemas.openxmlformats.org/officeDocument/2006/relationships/hyperlink" Target="https://www.facebook.com/share/1Bn9V1jnik/" TargetMode="External"/><Relationship Id="rId293" Type="http://schemas.openxmlformats.org/officeDocument/2006/relationships/hyperlink" Target="https://www.facebook.com/share/18boox3vxp/" TargetMode="External"/><Relationship Id="rId292" Type="http://schemas.openxmlformats.org/officeDocument/2006/relationships/hyperlink" Target="https://www.facebook.com/share/1Avp9xcep2/" TargetMode="External"/><Relationship Id="rId291" Type="http://schemas.openxmlformats.org/officeDocument/2006/relationships/hyperlink" Target="https://www.facebook.com/share/1BZPRhH72x/" TargetMode="External"/><Relationship Id="rId290" Type="http://schemas.openxmlformats.org/officeDocument/2006/relationships/hyperlink" Target="https://www.facebook.com/share/18DoqGvdUy/" TargetMode="External"/><Relationship Id="rId286" Type="http://schemas.openxmlformats.org/officeDocument/2006/relationships/hyperlink" Target="https://www.facebook.com/share/1CCfdSQA5t/" TargetMode="External"/><Relationship Id="rId285" Type="http://schemas.openxmlformats.org/officeDocument/2006/relationships/hyperlink" Target="https://www.facebook.com/share/18gmFHuC1y/" TargetMode="External"/><Relationship Id="rId284" Type="http://schemas.openxmlformats.org/officeDocument/2006/relationships/hyperlink" Target="https://www.facebook.com/share/18W8WSpXQW/" TargetMode="External"/><Relationship Id="rId283" Type="http://schemas.openxmlformats.org/officeDocument/2006/relationships/hyperlink" Target="https://www.facebook.com/share/1Gg3vgbWjX/" TargetMode="External"/><Relationship Id="rId289" Type="http://schemas.openxmlformats.org/officeDocument/2006/relationships/hyperlink" Target="https://www.facebook.com/share/1C1NJSBvSV/" TargetMode="External"/><Relationship Id="rId288" Type="http://schemas.openxmlformats.org/officeDocument/2006/relationships/hyperlink" Target="https://www.facebook.com/share/1GBSMovzpx/" TargetMode="External"/><Relationship Id="rId287" Type="http://schemas.openxmlformats.org/officeDocument/2006/relationships/hyperlink" Target="https://www.facebook.com/share/18iCGCpJZN/" TargetMode="External"/><Relationship Id="rId282" Type="http://schemas.openxmlformats.org/officeDocument/2006/relationships/hyperlink" Target="https://www.facebook.com/share/1E76CZurg4/" TargetMode="External"/><Relationship Id="rId281" Type="http://schemas.openxmlformats.org/officeDocument/2006/relationships/hyperlink" Target="https://www.facebook.com/share/1LCR189eVp/" TargetMode="External"/><Relationship Id="rId280" Type="http://schemas.openxmlformats.org/officeDocument/2006/relationships/hyperlink" Target="https://www.facebook.com/share/1Zq3PX8dht/" TargetMode="External"/><Relationship Id="rId275" Type="http://schemas.openxmlformats.org/officeDocument/2006/relationships/hyperlink" Target="https://www.facebook.com/share/1Gq4jdSJh3/" TargetMode="External"/><Relationship Id="rId274" Type="http://schemas.openxmlformats.org/officeDocument/2006/relationships/hyperlink" Target="https://www.facebook.com/share/1CW5hzwjJq/" TargetMode="External"/><Relationship Id="rId273" Type="http://schemas.openxmlformats.org/officeDocument/2006/relationships/hyperlink" Target="https://www.facebook.com/share/18jprhKrdd/" TargetMode="External"/><Relationship Id="rId272" Type="http://schemas.openxmlformats.org/officeDocument/2006/relationships/hyperlink" Target="https://www.facebook.com/share/18UizWVWXd/" TargetMode="External"/><Relationship Id="rId279" Type="http://schemas.openxmlformats.org/officeDocument/2006/relationships/hyperlink" Target="https://www.facebook.com/share/1CUAy2ydr7/" TargetMode="External"/><Relationship Id="rId278" Type="http://schemas.openxmlformats.org/officeDocument/2006/relationships/hyperlink" Target="https://www.facebook.com/share/18jyGhRp4D/" TargetMode="External"/><Relationship Id="rId277" Type="http://schemas.openxmlformats.org/officeDocument/2006/relationships/hyperlink" Target="https://www.facebook.com/share/18E5sfRSYn/" TargetMode="External"/><Relationship Id="rId276" Type="http://schemas.openxmlformats.org/officeDocument/2006/relationships/hyperlink" Target="https://www.facebook.com/profile.php?id=100014304249016" TargetMode="External"/><Relationship Id="rId228" Type="http://schemas.openxmlformats.org/officeDocument/2006/relationships/hyperlink" Target="https://www.facebook.com/share/1EYCdu296a/" TargetMode="External"/><Relationship Id="rId227" Type="http://schemas.openxmlformats.org/officeDocument/2006/relationships/hyperlink" Target="https://www.facebook.com/share/1DuELkRTKA/" TargetMode="External"/><Relationship Id="rId226" Type="http://schemas.openxmlformats.org/officeDocument/2006/relationships/hyperlink" Target="https://www.facebook.com/share/184X4KQEbB/" TargetMode="External"/><Relationship Id="rId225" Type="http://schemas.openxmlformats.org/officeDocument/2006/relationships/hyperlink" Target="https://www.facebook.com/share/1CtiWUicWd/" TargetMode="External"/><Relationship Id="rId229" Type="http://schemas.openxmlformats.org/officeDocument/2006/relationships/hyperlink" Target="https://www.facebook.com/share/1B6tmmLF4a/" TargetMode="External"/><Relationship Id="rId220" Type="http://schemas.openxmlformats.org/officeDocument/2006/relationships/hyperlink" Target="https://www.facebook.com/share/1CVF8WPmaj/" TargetMode="External"/><Relationship Id="rId224" Type="http://schemas.openxmlformats.org/officeDocument/2006/relationships/hyperlink" Target="https://www.facebook.com/share/1BG5punj7H/" TargetMode="External"/><Relationship Id="rId223" Type="http://schemas.openxmlformats.org/officeDocument/2006/relationships/hyperlink" Target="https://www.facebook.com/itsme01112000" TargetMode="External"/><Relationship Id="rId222" Type="http://schemas.openxmlformats.org/officeDocument/2006/relationships/hyperlink" Target="https://www.facebook.com/share/1B77Uji1Rv/" TargetMode="External"/><Relationship Id="rId221" Type="http://schemas.openxmlformats.org/officeDocument/2006/relationships/hyperlink" Target="https://www.facebook.com/share/1Cffq1a9xH/" TargetMode="External"/><Relationship Id="rId217" Type="http://schemas.openxmlformats.org/officeDocument/2006/relationships/hyperlink" Target="https://www.facebook.com/share/1EZ24v5RFB/" TargetMode="External"/><Relationship Id="rId216" Type="http://schemas.openxmlformats.org/officeDocument/2006/relationships/hyperlink" Target="https://www.facebook.com/share/1H2NzHymcs/" TargetMode="External"/><Relationship Id="rId215" Type="http://schemas.openxmlformats.org/officeDocument/2006/relationships/hyperlink" Target="https://www.facebook.com/share/1DfhQrib9d/" TargetMode="External"/><Relationship Id="rId214" Type="http://schemas.openxmlformats.org/officeDocument/2006/relationships/hyperlink" Target="https://www.facebook.com/profile.php?id=100022079980060" TargetMode="External"/><Relationship Id="rId219" Type="http://schemas.openxmlformats.org/officeDocument/2006/relationships/hyperlink" Target="https://www.facebook.com/share/1DhNbBFKDj/" TargetMode="External"/><Relationship Id="rId218" Type="http://schemas.openxmlformats.org/officeDocument/2006/relationships/hyperlink" Target="https://www.facebook.com/share/1Kv3dG38HJ/" TargetMode="External"/><Relationship Id="rId213" Type="http://schemas.openxmlformats.org/officeDocument/2006/relationships/hyperlink" Target="https://www.facebook.com/share/189KiPb34K/" TargetMode="External"/><Relationship Id="rId212" Type="http://schemas.openxmlformats.org/officeDocument/2006/relationships/hyperlink" Target="https://www.facebook.com/share/18dEyq4PuM/" TargetMode="External"/><Relationship Id="rId211" Type="http://schemas.openxmlformats.org/officeDocument/2006/relationships/hyperlink" Target="https://www.facebook.com/share/1CgYnnpdKD/" TargetMode="External"/><Relationship Id="rId210" Type="http://schemas.openxmlformats.org/officeDocument/2006/relationships/hyperlink" Target="https://www.facebook.com/share/1B4DnGFvGp/" TargetMode="External"/><Relationship Id="rId249" Type="http://schemas.openxmlformats.org/officeDocument/2006/relationships/hyperlink" Target="https://www.facebook.com/share/1Hu44bcf7Z/" TargetMode="External"/><Relationship Id="rId248" Type="http://schemas.openxmlformats.org/officeDocument/2006/relationships/hyperlink" Target="https://www.facebook.com/share/1AxfZL7VAe/" TargetMode="External"/><Relationship Id="rId247" Type="http://schemas.openxmlformats.org/officeDocument/2006/relationships/hyperlink" Target="https://www.facebook.com/share/185DjMFJn3/" TargetMode="External"/><Relationship Id="rId242" Type="http://schemas.openxmlformats.org/officeDocument/2006/relationships/hyperlink" Target="https://www.facebook.com/share/18TRjqgsfP/" TargetMode="External"/><Relationship Id="rId241" Type="http://schemas.openxmlformats.org/officeDocument/2006/relationships/hyperlink" Target="https://www.facebook.com/share/1BJiN48dGQ/" TargetMode="External"/><Relationship Id="rId240" Type="http://schemas.openxmlformats.org/officeDocument/2006/relationships/hyperlink" Target="https://www.facebook.com/share/1H6HJNkCEJ/" TargetMode="External"/><Relationship Id="rId246" Type="http://schemas.openxmlformats.org/officeDocument/2006/relationships/hyperlink" Target="https://www.facebook.com/share/1ECFJFWvRA/" TargetMode="External"/><Relationship Id="rId245" Type="http://schemas.openxmlformats.org/officeDocument/2006/relationships/hyperlink" Target="https://www.facebook.com/share/1B7dCmr9XS/" TargetMode="External"/><Relationship Id="rId244" Type="http://schemas.openxmlformats.org/officeDocument/2006/relationships/hyperlink" Target="https://www.facebook.com/share/18iJXPw5aA/" TargetMode="External"/><Relationship Id="rId243" Type="http://schemas.openxmlformats.org/officeDocument/2006/relationships/hyperlink" Target="https://www.facebook.com/share/1E6y4N2dcJ/" TargetMode="External"/><Relationship Id="rId239" Type="http://schemas.openxmlformats.org/officeDocument/2006/relationships/hyperlink" Target="https://www.facebook.com/share/1ArXqxRFPC/" TargetMode="External"/><Relationship Id="rId238" Type="http://schemas.openxmlformats.org/officeDocument/2006/relationships/hyperlink" Target="https://www.facebook.com/share/1L63GHmkAe/" TargetMode="External"/><Relationship Id="rId237" Type="http://schemas.openxmlformats.org/officeDocument/2006/relationships/hyperlink" Target="https://www.facebook.com/share/1BvfJmyJtn/" TargetMode="External"/><Relationship Id="rId236" Type="http://schemas.openxmlformats.org/officeDocument/2006/relationships/hyperlink" Target="https://www.facebook.com/share/1CeJCnXV9e/" TargetMode="External"/><Relationship Id="rId231" Type="http://schemas.openxmlformats.org/officeDocument/2006/relationships/hyperlink" Target="https://www.facebook.com/share/1EFLRZfZqb/" TargetMode="External"/><Relationship Id="rId230" Type="http://schemas.openxmlformats.org/officeDocument/2006/relationships/hyperlink" Target="https://www.facebook.com/share/1CyzyqiTbn/" TargetMode="External"/><Relationship Id="rId235" Type="http://schemas.openxmlformats.org/officeDocument/2006/relationships/hyperlink" Target="https://www.facebook.com/share/18aRuQa4jv/" TargetMode="External"/><Relationship Id="rId234" Type="http://schemas.openxmlformats.org/officeDocument/2006/relationships/hyperlink" Target="https://www.facebook.com/share/1CCurnNdQg/" TargetMode="External"/><Relationship Id="rId233" Type="http://schemas.openxmlformats.org/officeDocument/2006/relationships/hyperlink" Target="https://www.facebook.com/share/14Vs68psLXN/" TargetMode="External"/><Relationship Id="rId232" Type="http://schemas.openxmlformats.org/officeDocument/2006/relationships/hyperlink" Target="https://www.facebook.com/share/17ChGzXbJ7/" TargetMode="External"/><Relationship Id="rId206" Type="http://schemas.openxmlformats.org/officeDocument/2006/relationships/hyperlink" Target="https://www.facebook.com/share/1HhJ1Gk2Qq/" TargetMode="External"/><Relationship Id="rId205" Type="http://schemas.openxmlformats.org/officeDocument/2006/relationships/hyperlink" Target="https://www.facebook.com/share/18iy3XAFo4/" TargetMode="External"/><Relationship Id="rId204" Type="http://schemas.openxmlformats.org/officeDocument/2006/relationships/hyperlink" Target="https://www.facebook.com/share/1Df1Evg4Gs/" TargetMode="External"/><Relationship Id="rId203" Type="http://schemas.openxmlformats.org/officeDocument/2006/relationships/hyperlink" Target="https://www.facebook.com/share/1GchuMhJBX/" TargetMode="External"/><Relationship Id="rId209" Type="http://schemas.openxmlformats.org/officeDocument/2006/relationships/hyperlink" Target="https://www.facebook.com/share/1BTqqfKWFP/" TargetMode="External"/><Relationship Id="rId208" Type="http://schemas.openxmlformats.org/officeDocument/2006/relationships/hyperlink" Target="https://www.facebook.com/share/1FuEWUr1wr/" TargetMode="External"/><Relationship Id="rId207" Type="http://schemas.openxmlformats.org/officeDocument/2006/relationships/hyperlink" Target="https://www.facebook.com/share/1861p2Xun3/" TargetMode="External"/><Relationship Id="rId202" Type="http://schemas.openxmlformats.org/officeDocument/2006/relationships/hyperlink" Target="https://www.facebook.com/share/1DQd6rMmWm/" TargetMode="External"/><Relationship Id="rId201" Type="http://schemas.openxmlformats.org/officeDocument/2006/relationships/hyperlink" Target="https://www.facebook.com/share/1KxWF7khx3/" TargetMode="External"/><Relationship Id="rId200" Type="http://schemas.openxmlformats.org/officeDocument/2006/relationships/hyperlink" Target="https://www.facebook.com/share/1BMUWS2THL/" TargetMode="External"/><Relationship Id="rId190" Type="http://schemas.openxmlformats.org/officeDocument/2006/relationships/hyperlink" Target="https://www.facebook.com/share/1USjS6Nb6N/" TargetMode="External"/><Relationship Id="rId194" Type="http://schemas.openxmlformats.org/officeDocument/2006/relationships/hyperlink" Target="https://www.facebook.com/profile.php?id=100089737698852" TargetMode="External"/><Relationship Id="rId193" Type="http://schemas.openxmlformats.org/officeDocument/2006/relationships/hyperlink" Target="https://www.facebook.com/share/1AzCic9VJR/" TargetMode="External"/><Relationship Id="rId192" Type="http://schemas.openxmlformats.org/officeDocument/2006/relationships/hyperlink" Target="https://www.facebook.com/share/18QcNz3q2r/" TargetMode="External"/><Relationship Id="rId191" Type="http://schemas.openxmlformats.org/officeDocument/2006/relationships/hyperlink" Target="https://www.facebook.com/share/18KdXCfDUc/" TargetMode="External"/><Relationship Id="rId187" Type="http://schemas.openxmlformats.org/officeDocument/2006/relationships/hyperlink" Target="https://www.facebook.com/share/1Drw1b5q9W/" TargetMode="External"/><Relationship Id="rId186" Type="http://schemas.openxmlformats.org/officeDocument/2006/relationships/hyperlink" Target="https://www.facebook.com/share/14hSsZwoGRZ/" TargetMode="External"/><Relationship Id="rId185" Type="http://schemas.openxmlformats.org/officeDocument/2006/relationships/hyperlink" Target="https://www.facebook.com/share/1E6fKwy5ke/" TargetMode="External"/><Relationship Id="rId184" Type="http://schemas.openxmlformats.org/officeDocument/2006/relationships/hyperlink" Target="https://www.facebook.com/share/18St9Jg6Ba/" TargetMode="External"/><Relationship Id="rId189" Type="http://schemas.openxmlformats.org/officeDocument/2006/relationships/hyperlink" Target="https://www.facebook.com/share/1N9dL3dSn3/" TargetMode="External"/><Relationship Id="rId188" Type="http://schemas.openxmlformats.org/officeDocument/2006/relationships/hyperlink" Target="https://www.facebook.com/share/18EvXDaPAh/" TargetMode="External"/><Relationship Id="rId183" Type="http://schemas.openxmlformats.org/officeDocument/2006/relationships/hyperlink" Target="https://www.facebook.com/share/1EWQDkUFoM/" TargetMode="External"/><Relationship Id="rId182" Type="http://schemas.openxmlformats.org/officeDocument/2006/relationships/hyperlink" Target="https://www.facebook.com/share/18PYEoBPCW/" TargetMode="External"/><Relationship Id="rId181" Type="http://schemas.openxmlformats.org/officeDocument/2006/relationships/hyperlink" Target="https://www.facebook.com/share/1TCXQdGyHu/" TargetMode="External"/><Relationship Id="rId180" Type="http://schemas.openxmlformats.org/officeDocument/2006/relationships/hyperlink" Target="https://www.facebook.com/share/1GwKZpNoVR/" TargetMode="External"/><Relationship Id="rId176" Type="http://schemas.openxmlformats.org/officeDocument/2006/relationships/hyperlink" Target="https://www.facebook.com/share/18eA236Y4d/" TargetMode="External"/><Relationship Id="rId175" Type="http://schemas.openxmlformats.org/officeDocument/2006/relationships/hyperlink" Target="https://www.facebook.com/share/14c8aR4sijM/" TargetMode="External"/><Relationship Id="rId174" Type="http://schemas.openxmlformats.org/officeDocument/2006/relationships/hyperlink" Target="https://www.facebook.com/share/1KW554xqyD/" TargetMode="External"/><Relationship Id="rId173" Type="http://schemas.openxmlformats.org/officeDocument/2006/relationships/hyperlink" Target="https://www.facebook.com/share/18GdUtKFfT/" TargetMode="External"/><Relationship Id="rId179" Type="http://schemas.openxmlformats.org/officeDocument/2006/relationships/hyperlink" Target="https://www.facebook.com/share/1BwNYHX37X/" TargetMode="External"/><Relationship Id="rId178" Type="http://schemas.openxmlformats.org/officeDocument/2006/relationships/hyperlink" Target="https://www.facebook.com/share/1AxDrpTcLY/" TargetMode="External"/><Relationship Id="rId177" Type="http://schemas.openxmlformats.org/officeDocument/2006/relationships/hyperlink" Target="https://www.facebook.com/share/1DbhYfYegH/" TargetMode="External"/><Relationship Id="rId198" Type="http://schemas.openxmlformats.org/officeDocument/2006/relationships/hyperlink" Target="https://www.facebook.com/share/18K2Pad6yy/" TargetMode="External"/><Relationship Id="rId197" Type="http://schemas.openxmlformats.org/officeDocument/2006/relationships/hyperlink" Target="https://www.facebook.com/share/1Dg2MXdph5/" TargetMode="External"/><Relationship Id="rId196" Type="http://schemas.openxmlformats.org/officeDocument/2006/relationships/hyperlink" Target="https://www.facebook.com/share/18iDaDfyMT/" TargetMode="External"/><Relationship Id="rId195" Type="http://schemas.openxmlformats.org/officeDocument/2006/relationships/hyperlink" Target="https://www.facebook.com/share/1Dt23VSuiV/" TargetMode="External"/><Relationship Id="rId199" Type="http://schemas.openxmlformats.org/officeDocument/2006/relationships/hyperlink" Target="https://www.facebook.com/share/18HZkbQHqA/" TargetMode="External"/><Relationship Id="rId150" Type="http://schemas.openxmlformats.org/officeDocument/2006/relationships/hyperlink" Target="https://www.facebook.com/share/1AvKTP68qh/" TargetMode="External"/><Relationship Id="rId149" Type="http://schemas.openxmlformats.org/officeDocument/2006/relationships/hyperlink" Target="https://www.facebook.com/share/1ETaQre3B4/" TargetMode="External"/><Relationship Id="rId148" Type="http://schemas.openxmlformats.org/officeDocument/2006/relationships/hyperlink" Target="https://www.facebook.com/pham.mun.52643821" TargetMode="External"/><Relationship Id="rId143" Type="http://schemas.openxmlformats.org/officeDocument/2006/relationships/hyperlink" Target="https://www.facebook.com/share/1Eb1phm4Ep/" TargetMode="External"/><Relationship Id="rId142" Type="http://schemas.openxmlformats.org/officeDocument/2006/relationships/hyperlink" Target="https://www.facebook.com/share/18U8odTAyk/" TargetMode="External"/><Relationship Id="rId141" Type="http://schemas.openxmlformats.org/officeDocument/2006/relationships/hyperlink" Target="https://www.facebook.com/share/1CvhDjGwZ5/" TargetMode="External"/><Relationship Id="rId140" Type="http://schemas.openxmlformats.org/officeDocument/2006/relationships/hyperlink" Target="https://www.facebook.com/share/18nMKTMsNo/" TargetMode="External"/><Relationship Id="rId147" Type="http://schemas.openxmlformats.org/officeDocument/2006/relationships/hyperlink" Target="https://www.facebook.com/share/1EKcyPLr4P/" TargetMode="External"/><Relationship Id="rId146" Type="http://schemas.openxmlformats.org/officeDocument/2006/relationships/hyperlink" Target="https://www.facebook.com/share/1C8YfDMZoV/" TargetMode="External"/><Relationship Id="rId145" Type="http://schemas.openxmlformats.org/officeDocument/2006/relationships/hyperlink" Target="https://www.facebook.com/share/1LgM8NMG5L/" TargetMode="External"/><Relationship Id="rId144" Type="http://schemas.openxmlformats.org/officeDocument/2006/relationships/hyperlink" Target="https://www.facebook.com/share/1AzYbCvnum/" TargetMode="External"/><Relationship Id="rId139" Type="http://schemas.openxmlformats.org/officeDocument/2006/relationships/hyperlink" Target="https://www.facebook.com/share/1DyDBbU31H/" TargetMode="External"/><Relationship Id="rId138" Type="http://schemas.openxmlformats.org/officeDocument/2006/relationships/hyperlink" Target="https://www.facebook.com/share/18oY2A6HaG/" TargetMode="External"/><Relationship Id="rId137" Type="http://schemas.openxmlformats.org/officeDocument/2006/relationships/hyperlink" Target="https://www.facebook.com/share/1CwbamSYv9/" TargetMode="External"/><Relationship Id="rId132" Type="http://schemas.openxmlformats.org/officeDocument/2006/relationships/hyperlink" Target="https://www.facebook.com/share/18fFyEXm8q/" TargetMode="External"/><Relationship Id="rId131" Type="http://schemas.openxmlformats.org/officeDocument/2006/relationships/hyperlink" Target="https://www.facebook.com/share/18Uf8afaAC/" TargetMode="External"/><Relationship Id="rId130" Type="http://schemas.openxmlformats.org/officeDocument/2006/relationships/hyperlink" Target="https://www.facebook.com/share/18FDsrZBN2/" TargetMode="External"/><Relationship Id="rId136" Type="http://schemas.openxmlformats.org/officeDocument/2006/relationships/hyperlink" Target="https://www.facebook.com/profile.php?id=61550872307675" TargetMode="External"/><Relationship Id="rId135" Type="http://schemas.openxmlformats.org/officeDocument/2006/relationships/hyperlink" Target="https://www.facebook.com/share/1Ddu6gKtDs/" TargetMode="External"/><Relationship Id="rId134" Type="http://schemas.openxmlformats.org/officeDocument/2006/relationships/hyperlink" Target="https://www.facebook.com/share/1BKnyGxqCz/" TargetMode="External"/><Relationship Id="rId133" Type="http://schemas.openxmlformats.org/officeDocument/2006/relationships/hyperlink" Target="https://www.facebook.com/share/1E9pUwEw9y/" TargetMode="External"/><Relationship Id="rId172" Type="http://schemas.openxmlformats.org/officeDocument/2006/relationships/hyperlink" Target="https://www.facebook.com/share/18eWwC9xkj/" TargetMode="External"/><Relationship Id="rId171" Type="http://schemas.openxmlformats.org/officeDocument/2006/relationships/hyperlink" Target="https://www.facebook.com/share/1YseKsm9nT/" TargetMode="External"/><Relationship Id="rId170" Type="http://schemas.openxmlformats.org/officeDocument/2006/relationships/hyperlink" Target="https://www.facebook.com/share/177hsDhyGz/" TargetMode="External"/><Relationship Id="rId165" Type="http://schemas.openxmlformats.org/officeDocument/2006/relationships/hyperlink" Target="https://www.facebook.com/share/14ZV1UcL9Fd/" TargetMode="External"/><Relationship Id="rId164" Type="http://schemas.openxmlformats.org/officeDocument/2006/relationships/hyperlink" Target="https://www.facebook.com/share/18FWgMb474/" TargetMode="External"/><Relationship Id="rId163" Type="http://schemas.openxmlformats.org/officeDocument/2006/relationships/hyperlink" Target="https://www.facebook.com/thanhvan2802" TargetMode="External"/><Relationship Id="rId162" Type="http://schemas.openxmlformats.org/officeDocument/2006/relationships/hyperlink" Target="https://www.facebook.com/share/178jkpzZUv/" TargetMode="External"/><Relationship Id="rId169" Type="http://schemas.openxmlformats.org/officeDocument/2006/relationships/hyperlink" Target="https://www.facebook.com/share/1GgTDUuqNj/" TargetMode="External"/><Relationship Id="rId168" Type="http://schemas.openxmlformats.org/officeDocument/2006/relationships/hyperlink" Target="https://www.facebook.com/profile.php?id=61576325116102" TargetMode="External"/><Relationship Id="rId167" Type="http://schemas.openxmlformats.org/officeDocument/2006/relationships/hyperlink" Target="https://www.facebook.com/share/1CiQ9HbrVj/" TargetMode="External"/><Relationship Id="rId166" Type="http://schemas.openxmlformats.org/officeDocument/2006/relationships/hyperlink" Target="https://www.facebook.com/share/18bnPLVN4Y/" TargetMode="External"/><Relationship Id="rId161" Type="http://schemas.openxmlformats.org/officeDocument/2006/relationships/hyperlink" Target="https://www.facebook.com/share/14WRcLocMrN/" TargetMode="External"/><Relationship Id="rId160" Type="http://schemas.openxmlformats.org/officeDocument/2006/relationships/hyperlink" Target="https://www.facebook.com/sinh.nguyen.9275439" TargetMode="External"/><Relationship Id="rId159" Type="http://schemas.openxmlformats.org/officeDocument/2006/relationships/hyperlink" Target="https://www.facebook.com/share/1CYbSuXyVk/" TargetMode="External"/><Relationship Id="rId154" Type="http://schemas.openxmlformats.org/officeDocument/2006/relationships/hyperlink" Target="https://www.facebook.com/share/1E5iZTLH25/" TargetMode="External"/><Relationship Id="rId153" Type="http://schemas.openxmlformats.org/officeDocument/2006/relationships/hyperlink" Target="https://www.facebook.com/soan.nguyenthi.108" TargetMode="External"/><Relationship Id="rId152" Type="http://schemas.openxmlformats.org/officeDocument/2006/relationships/hyperlink" Target="https://www.facebook.com/linh.ciu2108" TargetMode="External"/><Relationship Id="rId151" Type="http://schemas.openxmlformats.org/officeDocument/2006/relationships/hyperlink" Target="https://www.facebook.com/share/1BdYJyecSP/" TargetMode="External"/><Relationship Id="rId158" Type="http://schemas.openxmlformats.org/officeDocument/2006/relationships/hyperlink" Target="https://www.facebook.com/share/1DL95979Aj/" TargetMode="External"/><Relationship Id="rId157" Type="http://schemas.openxmlformats.org/officeDocument/2006/relationships/hyperlink" Target="https://www.facebook.com/share/1JACjH39ro/" TargetMode="External"/><Relationship Id="rId156" Type="http://schemas.openxmlformats.org/officeDocument/2006/relationships/hyperlink" Target="https://www.facebook.com/share/178iWoKeou/" TargetMode="External"/><Relationship Id="rId155" Type="http://schemas.openxmlformats.org/officeDocument/2006/relationships/hyperlink" Target="https://www.facebook.com/share/14YqPxXyxT2/" TargetMode="External"/><Relationship Id="rId509" Type="http://schemas.openxmlformats.org/officeDocument/2006/relationships/hyperlink" Target="https://www.facebook.com/share/1BfbctzvTW/" TargetMode="External"/><Relationship Id="rId508" Type="http://schemas.openxmlformats.org/officeDocument/2006/relationships/hyperlink" Target="https://www.facebook.com/share/18sjQNFFDm/" TargetMode="External"/><Relationship Id="rId503" Type="http://schemas.openxmlformats.org/officeDocument/2006/relationships/hyperlink" Target="https://www.facebook.com/share/17eeeBGbLa/" TargetMode="External"/><Relationship Id="rId502" Type="http://schemas.openxmlformats.org/officeDocument/2006/relationships/hyperlink" Target="https://www.facebook.com/share/18jPhf6nix/" TargetMode="External"/><Relationship Id="rId501" Type="http://schemas.openxmlformats.org/officeDocument/2006/relationships/hyperlink" Target="https://www.facebook.com/share/1B7dfzyaFE/" TargetMode="External"/><Relationship Id="rId500" Type="http://schemas.openxmlformats.org/officeDocument/2006/relationships/hyperlink" Target="https://www.facebook.com/share/1CtciL7E8E/" TargetMode="External"/><Relationship Id="rId507" Type="http://schemas.openxmlformats.org/officeDocument/2006/relationships/hyperlink" Target="https://www.facebook.com/m.dggiuu001" TargetMode="External"/><Relationship Id="rId506" Type="http://schemas.openxmlformats.org/officeDocument/2006/relationships/hyperlink" Target="https://www.facebook.com/share/1Ci6yWNmh3/" TargetMode="External"/><Relationship Id="rId505" Type="http://schemas.openxmlformats.org/officeDocument/2006/relationships/hyperlink" Target="https://www.facebook.com/share/1GtTMQFhif/" TargetMode="External"/><Relationship Id="rId504" Type="http://schemas.openxmlformats.org/officeDocument/2006/relationships/hyperlink" Target="https://www.facebook.com/share/18ngDB8QRB/" TargetMode="External"/><Relationship Id="rId520" Type="http://schemas.openxmlformats.org/officeDocument/2006/relationships/drawing" Target="../drawings/drawing9.xml"/><Relationship Id="rId519" Type="http://schemas.openxmlformats.org/officeDocument/2006/relationships/hyperlink" Target="https://www.facebook.com/share/1HmmrafbmK/" TargetMode="External"/><Relationship Id="rId514" Type="http://schemas.openxmlformats.org/officeDocument/2006/relationships/hyperlink" Target="https://www.facebook.com/share/1EpyXJFpee/" TargetMode="External"/><Relationship Id="rId513" Type="http://schemas.openxmlformats.org/officeDocument/2006/relationships/hyperlink" Target="https://www.facebook.com/share/1CuiXD5Btk/" TargetMode="External"/><Relationship Id="rId512" Type="http://schemas.openxmlformats.org/officeDocument/2006/relationships/hyperlink" Target="https://www.facebook.com/share/1CV4yTWCSr/" TargetMode="External"/><Relationship Id="rId511" Type="http://schemas.openxmlformats.org/officeDocument/2006/relationships/hyperlink" Target="https://www.facebook.com/share/1EPVhLHtYr/" TargetMode="External"/><Relationship Id="rId518" Type="http://schemas.openxmlformats.org/officeDocument/2006/relationships/hyperlink" Target="https://www.facebook.com/share/18ubYMuPTQ/" TargetMode="External"/><Relationship Id="rId517" Type="http://schemas.openxmlformats.org/officeDocument/2006/relationships/hyperlink" Target="https://www.facebook.com/share/19Hu8A6rHG/" TargetMode="External"/><Relationship Id="rId516" Type="http://schemas.openxmlformats.org/officeDocument/2006/relationships/hyperlink" Target="https://www.facebook.com/share/1Mbh6VNtp6/" TargetMode="External"/><Relationship Id="rId515" Type="http://schemas.openxmlformats.org/officeDocument/2006/relationships/hyperlink" Target="https://www.facebook.com/share/17apjAt4Sm/" TargetMode="External"/><Relationship Id="rId510" Type="http://schemas.openxmlformats.org/officeDocument/2006/relationships/hyperlink" Target="https://www.facebook.com/share/1DyTUyH95n/" TargetMode="External"/><Relationship Id="rId107" Type="http://schemas.openxmlformats.org/officeDocument/2006/relationships/hyperlink" Target="https://www.facebook.com/share/1HCpZBzm3j/" TargetMode="External"/><Relationship Id="rId106" Type="http://schemas.openxmlformats.org/officeDocument/2006/relationships/hyperlink" Target="https://www.facebook.com/share/1DquQtvUuz/" TargetMode="External"/><Relationship Id="rId105" Type="http://schemas.openxmlformats.org/officeDocument/2006/relationships/hyperlink" Target="https://www.facebook.com/share/1AsD5zMarV/" TargetMode="External"/><Relationship Id="rId104" Type="http://schemas.openxmlformats.org/officeDocument/2006/relationships/hyperlink" Target="https://www.facebook.com/share/1KPCtLNzm4/" TargetMode="External"/><Relationship Id="rId109" Type="http://schemas.openxmlformats.org/officeDocument/2006/relationships/hyperlink" Target="https://www.facebook.com/share/1ApS2gcSc7/" TargetMode="External"/><Relationship Id="rId108" Type="http://schemas.openxmlformats.org/officeDocument/2006/relationships/hyperlink" Target="https://www.facebook.com/share/1FXqceeAP6/" TargetMode="External"/><Relationship Id="rId103" Type="http://schemas.openxmlformats.org/officeDocument/2006/relationships/hyperlink" Target="https://www.facebook.com/share/18SJ7Bkjv9/" TargetMode="External"/><Relationship Id="rId102" Type="http://schemas.openxmlformats.org/officeDocument/2006/relationships/hyperlink" Target="https://www.facebook.com/meichan2212" TargetMode="External"/><Relationship Id="rId101" Type="http://schemas.openxmlformats.org/officeDocument/2006/relationships/hyperlink" Target="https://www.facebook.com/share/1P8fTTbpuq/" TargetMode="External"/><Relationship Id="rId100" Type="http://schemas.openxmlformats.org/officeDocument/2006/relationships/hyperlink" Target="https://www.facebook.com/share/18Y9rTt9GH/" TargetMode="External"/><Relationship Id="rId129" Type="http://schemas.openxmlformats.org/officeDocument/2006/relationships/hyperlink" Target="https://www.facebook.com/share/1FEG1B4Pco/" TargetMode="External"/><Relationship Id="rId128" Type="http://schemas.openxmlformats.org/officeDocument/2006/relationships/hyperlink" Target="https://www.facebook.com/profile.php?id=100034559618050" TargetMode="External"/><Relationship Id="rId127" Type="http://schemas.openxmlformats.org/officeDocument/2006/relationships/hyperlink" Target="https://www.facebook.com/share/14KWh9eZXLa/" TargetMode="External"/><Relationship Id="rId126" Type="http://schemas.openxmlformats.org/officeDocument/2006/relationships/hyperlink" Target="https://www.facebook.com/share/1bcu5nEQEs/" TargetMode="External"/><Relationship Id="rId121" Type="http://schemas.openxmlformats.org/officeDocument/2006/relationships/hyperlink" Target="https://www.facebook.com/share/18Jf5CFuvo/" TargetMode="External"/><Relationship Id="rId120" Type="http://schemas.openxmlformats.org/officeDocument/2006/relationships/hyperlink" Target="https://www.facebook.com/share/1BGzEsbzgj/" TargetMode="External"/><Relationship Id="rId125" Type="http://schemas.openxmlformats.org/officeDocument/2006/relationships/hyperlink" Target="https://www.facebook.com/share/1DpGV8qe7Z/" TargetMode="External"/><Relationship Id="rId124" Type="http://schemas.openxmlformats.org/officeDocument/2006/relationships/hyperlink" Target="https://www.facebook.com/share/17UgU7RxD9/" TargetMode="External"/><Relationship Id="rId123" Type="http://schemas.openxmlformats.org/officeDocument/2006/relationships/hyperlink" Target="https://www.facebook.com/share/17w5iMLwDq/" TargetMode="External"/><Relationship Id="rId122" Type="http://schemas.openxmlformats.org/officeDocument/2006/relationships/hyperlink" Target="https://www.facebook.com/share/1CcoAxAgb7/" TargetMode="External"/><Relationship Id="rId118" Type="http://schemas.openxmlformats.org/officeDocument/2006/relationships/hyperlink" Target="https://www.facebook.com/share/1EFUCJviTF/" TargetMode="External"/><Relationship Id="rId117" Type="http://schemas.openxmlformats.org/officeDocument/2006/relationships/hyperlink" Target="https://www.facebook.com/share/1HvxF22VbZ/" TargetMode="External"/><Relationship Id="rId116" Type="http://schemas.openxmlformats.org/officeDocument/2006/relationships/hyperlink" Target="https://www.facebook.com/share/1BKFVaQPaB/" TargetMode="External"/><Relationship Id="rId115" Type="http://schemas.openxmlformats.org/officeDocument/2006/relationships/hyperlink" Target="https://www.facebook.com/share/1Awncrqr6P/" TargetMode="External"/><Relationship Id="rId119" Type="http://schemas.openxmlformats.org/officeDocument/2006/relationships/hyperlink" Target="https://www.facebook.com/share/1bMbRV2JwS/" TargetMode="External"/><Relationship Id="rId110" Type="http://schemas.openxmlformats.org/officeDocument/2006/relationships/hyperlink" Target="https://www.facebook.com/share/1CMFgekJma/" TargetMode="External"/><Relationship Id="rId114" Type="http://schemas.openxmlformats.org/officeDocument/2006/relationships/hyperlink" Target="https://www.facebook.com/share/1EBLjFiYt9/" TargetMode="External"/><Relationship Id="rId113" Type="http://schemas.openxmlformats.org/officeDocument/2006/relationships/hyperlink" Target="https://www.facebook.com/share/1HvazyYYAy/" TargetMode="External"/><Relationship Id="rId112" Type="http://schemas.openxmlformats.org/officeDocument/2006/relationships/hyperlink" Target="https://www.facebook.com/share/1BJpkei63W/" TargetMode="External"/><Relationship Id="rId111" Type="http://schemas.openxmlformats.org/officeDocument/2006/relationships/hyperlink" Target="https://www.facebook.com/share/1ChF38Fd3k/" TargetMode="External"/><Relationship Id="rId495" Type="http://schemas.openxmlformats.org/officeDocument/2006/relationships/hyperlink" Target="https://www.facebook.com/share/1H1fMvfYHH/" TargetMode="External"/><Relationship Id="rId494" Type="http://schemas.openxmlformats.org/officeDocument/2006/relationships/hyperlink" Target="https://www.facebook.com/share/1CXdfb2wT6/" TargetMode="External"/><Relationship Id="rId493" Type="http://schemas.openxmlformats.org/officeDocument/2006/relationships/hyperlink" Target="https://www.facebook.com/share/1D9hyxqFiT/" TargetMode="External"/><Relationship Id="rId492" Type="http://schemas.openxmlformats.org/officeDocument/2006/relationships/hyperlink" Target="https://www.facebook.com/share/1BYd1kycxK/" TargetMode="External"/><Relationship Id="rId499" Type="http://schemas.openxmlformats.org/officeDocument/2006/relationships/hyperlink" Target="https://www.facebook.com/share/1Capd2jYfk/" TargetMode="External"/><Relationship Id="rId498" Type="http://schemas.openxmlformats.org/officeDocument/2006/relationships/hyperlink" Target="https://www.facebook.com/share/1ELqauK16r/" TargetMode="External"/><Relationship Id="rId497" Type="http://schemas.openxmlformats.org/officeDocument/2006/relationships/hyperlink" Target="https://www.facebook.com/share/181dQ48q7H/" TargetMode="External"/><Relationship Id="rId496" Type="http://schemas.openxmlformats.org/officeDocument/2006/relationships/hyperlink" Target="https://www.facebook.com/share/1HikNfPCh3/" TargetMode="External"/><Relationship Id="rId409" Type="http://schemas.openxmlformats.org/officeDocument/2006/relationships/hyperlink" Target="https://www.facebook.com/share/18LcG72mQT/" TargetMode="External"/><Relationship Id="rId404" Type="http://schemas.openxmlformats.org/officeDocument/2006/relationships/hyperlink" Target="https://www.facebook.com/share/1HrZ9ouia6/" TargetMode="External"/><Relationship Id="rId403" Type="http://schemas.openxmlformats.org/officeDocument/2006/relationships/hyperlink" Target="https://www.facebook.com/share/186idembtz/" TargetMode="External"/><Relationship Id="rId402" Type="http://schemas.openxmlformats.org/officeDocument/2006/relationships/hyperlink" Target="https://www.facebook.com/share/1EDBPZwu8Z/" TargetMode="External"/><Relationship Id="rId401" Type="http://schemas.openxmlformats.org/officeDocument/2006/relationships/hyperlink" Target="https://www.facebook.com/share/1Ck3cKbdo9/" TargetMode="External"/><Relationship Id="rId408" Type="http://schemas.openxmlformats.org/officeDocument/2006/relationships/hyperlink" Target="https://www.facebook.com/share/1Cn3vgBB3i/" TargetMode="External"/><Relationship Id="rId407" Type="http://schemas.openxmlformats.org/officeDocument/2006/relationships/hyperlink" Target="https://www.facebook.com/share/1D5iRV3qD2/" TargetMode="External"/><Relationship Id="rId406" Type="http://schemas.openxmlformats.org/officeDocument/2006/relationships/hyperlink" Target="https://www.facebook.com/share/14ayBSUXbWH/" TargetMode="External"/><Relationship Id="rId405" Type="http://schemas.openxmlformats.org/officeDocument/2006/relationships/hyperlink" Target="https://www.facebook.com/share/1Dr2ejXLkG/" TargetMode="External"/><Relationship Id="rId400" Type="http://schemas.openxmlformats.org/officeDocument/2006/relationships/hyperlink" Target="https://www.facebook.com/share/14kwcFTsoCJ/" TargetMode="External"/><Relationship Id="rId469" Type="http://schemas.openxmlformats.org/officeDocument/2006/relationships/hyperlink" Target="https://www.facebook.com/share/1DVCjutg9J/" TargetMode="External"/><Relationship Id="rId468" Type="http://schemas.openxmlformats.org/officeDocument/2006/relationships/hyperlink" Target="https://www.facebook.com/share/18Xo3oFZ1C/" TargetMode="External"/><Relationship Id="rId467" Type="http://schemas.openxmlformats.org/officeDocument/2006/relationships/hyperlink" Target="https://www.facebook.com/share/18VqhX37ow/" TargetMode="External"/><Relationship Id="rId462" Type="http://schemas.openxmlformats.org/officeDocument/2006/relationships/hyperlink" Target="https://www.facebook.com/share/17j8ipjfge/" TargetMode="External"/><Relationship Id="rId461" Type="http://schemas.openxmlformats.org/officeDocument/2006/relationships/hyperlink" Target="https://www.facebook.com/share/18tbV9tDdS/" TargetMode="External"/><Relationship Id="rId460" Type="http://schemas.openxmlformats.org/officeDocument/2006/relationships/hyperlink" Target="https://www.facebook.com/share/1aGqSBnugf/" TargetMode="External"/><Relationship Id="rId466" Type="http://schemas.openxmlformats.org/officeDocument/2006/relationships/hyperlink" Target="https://www.facebook.com/share/1MaTey1btg/" TargetMode="External"/><Relationship Id="rId465" Type="http://schemas.openxmlformats.org/officeDocument/2006/relationships/hyperlink" Target="https://www.facebook.com/share/18NDLeTSvX/" TargetMode="External"/><Relationship Id="rId464" Type="http://schemas.openxmlformats.org/officeDocument/2006/relationships/hyperlink" Target="https://www.facebook.com/share/15sqGZz5R5r/" TargetMode="External"/><Relationship Id="rId463" Type="http://schemas.openxmlformats.org/officeDocument/2006/relationships/hyperlink" Target="https://www.facebook.com/share/1DK97TrWwb/" TargetMode="External"/><Relationship Id="rId459" Type="http://schemas.openxmlformats.org/officeDocument/2006/relationships/hyperlink" Target="https://www.facebook.com/share/17iVc8Kvdt/" TargetMode="External"/><Relationship Id="rId458" Type="http://schemas.openxmlformats.org/officeDocument/2006/relationships/hyperlink" Target="https://www.facebook.com/share/1DpsLXUmdX/" TargetMode="External"/><Relationship Id="rId457" Type="http://schemas.openxmlformats.org/officeDocument/2006/relationships/hyperlink" Target="https://www.facebook.com/share/1UDhai31AQ/" TargetMode="External"/><Relationship Id="rId456" Type="http://schemas.openxmlformats.org/officeDocument/2006/relationships/hyperlink" Target="https://www.facebook.com/share/1EBoWqewsT/" TargetMode="External"/><Relationship Id="rId451" Type="http://schemas.openxmlformats.org/officeDocument/2006/relationships/hyperlink" Target="https://www.facebook.com/share/1K5diYeExW/" TargetMode="External"/><Relationship Id="rId450" Type="http://schemas.openxmlformats.org/officeDocument/2006/relationships/hyperlink" Target="https://www.facebook.com/share/18KWm6vekQ/" TargetMode="External"/><Relationship Id="rId455" Type="http://schemas.openxmlformats.org/officeDocument/2006/relationships/hyperlink" Target="https://www.facebook.com/share/1Jt3nKppRt/" TargetMode="External"/><Relationship Id="rId454" Type="http://schemas.openxmlformats.org/officeDocument/2006/relationships/hyperlink" Target="https://www.facebook.com/share/18mpJNuFbK/" TargetMode="External"/><Relationship Id="rId453" Type="http://schemas.openxmlformats.org/officeDocument/2006/relationships/hyperlink" Target="https://www.facebook.com/share/1Dfat49Bxk/" TargetMode="External"/><Relationship Id="rId452" Type="http://schemas.openxmlformats.org/officeDocument/2006/relationships/hyperlink" Target="https://www.facebook.com/share/1HkMQLQBWx/" TargetMode="External"/><Relationship Id="rId491" Type="http://schemas.openxmlformats.org/officeDocument/2006/relationships/hyperlink" Target="https://www.facebook.com/share/1H2TWBu2DW/" TargetMode="External"/><Relationship Id="rId490" Type="http://schemas.openxmlformats.org/officeDocument/2006/relationships/hyperlink" Target="https://www.facebook.com/share/1MccvEjsUz/" TargetMode="External"/><Relationship Id="rId489" Type="http://schemas.openxmlformats.org/officeDocument/2006/relationships/hyperlink" Target="https://www.facebook.com/share/1GaikYLsGp/" TargetMode="External"/><Relationship Id="rId484" Type="http://schemas.openxmlformats.org/officeDocument/2006/relationships/hyperlink" Target="https://www.facebook.com/share/1Dv88XY8wC/" TargetMode="External"/><Relationship Id="rId483" Type="http://schemas.openxmlformats.org/officeDocument/2006/relationships/hyperlink" Target="https://www.facebook.com/share/18D7LfCLMb/" TargetMode="External"/><Relationship Id="rId482" Type="http://schemas.openxmlformats.org/officeDocument/2006/relationships/hyperlink" Target="https://www.facebook.com/share/1BrhEiMvDx/" TargetMode="External"/><Relationship Id="rId481" Type="http://schemas.openxmlformats.org/officeDocument/2006/relationships/hyperlink" Target="https://www.facebook.com/share/18vUsW57D6/" TargetMode="External"/><Relationship Id="rId488" Type="http://schemas.openxmlformats.org/officeDocument/2006/relationships/hyperlink" Target="https://www.facebook.com/share/1CgMV7fayL/" TargetMode="External"/><Relationship Id="rId487" Type="http://schemas.openxmlformats.org/officeDocument/2006/relationships/hyperlink" Target="https://www.facebook.com/share/1BV6oXAWfM/" TargetMode="External"/><Relationship Id="rId486" Type="http://schemas.openxmlformats.org/officeDocument/2006/relationships/hyperlink" Target="https://www.facebook.com/share/18iSSrbNnJ/" TargetMode="External"/><Relationship Id="rId485" Type="http://schemas.openxmlformats.org/officeDocument/2006/relationships/hyperlink" Target="https://www.facebook.com/share/1CjAnwVYoi/" TargetMode="External"/><Relationship Id="rId480" Type="http://schemas.openxmlformats.org/officeDocument/2006/relationships/hyperlink" Target="https://www.facebook.com/share/1HESFa9Syb/" TargetMode="External"/><Relationship Id="rId479" Type="http://schemas.openxmlformats.org/officeDocument/2006/relationships/hyperlink" Target="https://www.facebook.com/share/14d15JGKikG/" TargetMode="External"/><Relationship Id="rId478" Type="http://schemas.openxmlformats.org/officeDocument/2006/relationships/hyperlink" Target="https://www.facebook.com/share/1DNy2bNk5o/" TargetMode="External"/><Relationship Id="rId473" Type="http://schemas.openxmlformats.org/officeDocument/2006/relationships/hyperlink" Target="https://www.facebook.com/share/18zthNA9Xn/" TargetMode="External"/><Relationship Id="rId472" Type="http://schemas.openxmlformats.org/officeDocument/2006/relationships/hyperlink" Target="https://www.facebook.com/share/18Qm4SVkLG/" TargetMode="External"/><Relationship Id="rId471" Type="http://schemas.openxmlformats.org/officeDocument/2006/relationships/hyperlink" Target="https://www.facebook.com/share/1DBne7Vek9/" TargetMode="External"/><Relationship Id="rId470" Type="http://schemas.openxmlformats.org/officeDocument/2006/relationships/hyperlink" Target="https://www.facebook.com/share/1T8RbirZ9o/" TargetMode="External"/><Relationship Id="rId477" Type="http://schemas.openxmlformats.org/officeDocument/2006/relationships/hyperlink" Target="https://www.facebook.com/share/1DtwkU72s2/" TargetMode="External"/><Relationship Id="rId476" Type="http://schemas.openxmlformats.org/officeDocument/2006/relationships/hyperlink" Target="https://www.facebook.com/share/18bhhzjC4Q/" TargetMode="External"/><Relationship Id="rId475" Type="http://schemas.openxmlformats.org/officeDocument/2006/relationships/hyperlink" Target="https://www.facebook.com/share/18pzvT6vNq/" TargetMode="External"/><Relationship Id="rId474" Type="http://schemas.openxmlformats.org/officeDocument/2006/relationships/hyperlink" Target="https://www.facebook.com/share/18u1pxRWH6/" TargetMode="External"/><Relationship Id="rId426" Type="http://schemas.openxmlformats.org/officeDocument/2006/relationships/hyperlink" Target="https://www.facebook.com/share/18rWtm8okg/" TargetMode="External"/><Relationship Id="rId425" Type="http://schemas.openxmlformats.org/officeDocument/2006/relationships/hyperlink" Target="https://www.facebook.com/share/17QWUgGKBC/" TargetMode="External"/><Relationship Id="rId424" Type="http://schemas.openxmlformats.org/officeDocument/2006/relationships/hyperlink" Target="https://www.facebook.com/share/18RiB9TAV4/" TargetMode="External"/><Relationship Id="rId423" Type="http://schemas.openxmlformats.org/officeDocument/2006/relationships/hyperlink" Target="https://www.facebook.com/share/1XfokEeZNY/" TargetMode="External"/><Relationship Id="rId429" Type="http://schemas.openxmlformats.org/officeDocument/2006/relationships/hyperlink" Target="https://www.facebook.com/share/14ZJhNiPLas/" TargetMode="External"/><Relationship Id="rId428" Type="http://schemas.openxmlformats.org/officeDocument/2006/relationships/hyperlink" Target="https://www.facebook.com/share/1E8XH3GcXV/" TargetMode="External"/><Relationship Id="rId427" Type="http://schemas.openxmlformats.org/officeDocument/2006/relationships/hyperlink" Target="https://www.facebook.com/share/181qdgHUbQ/" TargetMode="External"/><Relationship Id="rId422" Type="http://schemas.openxmlformats.org/officeDocument/2006/relationships/hyperlink" Target="https://www.facebook.com/share/1Cizt1UGqy/" TargetMode="External"/><Relationship Id="rId421" Type="http://schemas.openxmlformats.org/officeDocument/2006/relationships/hyperlink" Target="https://www.facebook.com/share/1Ft7HP4c4y/" TargetMode="External"/><Relationship Id="rId420" Type="http://schemas.openxmlformats.org/officeDocument/2006/relationships/hyperlink" Target="https://www.facebook.com/share/1JHCfrkoud/" TargetMode="External"/><Relationship Id="rId415" Type="http://schemas.openxmlformats.org/officeDocument/2006/relationships/hyperlink" Target="https://www.facebook.com/share/1CwYPTz53G/" TargetMode="External"/><Relationship Id="rId414" Type="http://schemas.openxmlformats.org/officeDocument/2006/relationships/hyperlink" Target="https://www.facebook.com/share/185hdv4jX6/" TargetMode="External"/><Relationship Id="rId413" Type="http://schemas.openxmlformats.org/officeDocument/2006/relationships/hyperlink" Target="https://www.facebook.com/share/1b9zkLeDux/" TargetMode="External"/><Relationship Id="rId412" Type="http://schemas.openxmlformats.org/officeDocument/2006/relationships/hyperlink" Target="https://www.facebook.com/share/1JR5zif6xW/" TargetMode="External"/><Relationship Id="rId419" Type="http://schemas.openxmlformats.org/officeDocument/2006/relationships/hyperlink" Target="https://www.facebook.com/share/18awZ6aTns/" TargetMode="External"/><Relationship Id="rId418" Type="http://schemas.openxmlformats.org/officeDocument/2006/relationships/hyperlink" Target="https://www.facebook.com/share/1CcDaqQMBM/" TargetMode="External"/><Relationship Id="rId417" Type="http://schemas.openxmlformats.org/officeDocument/2006/relationships/hyperlink" Target="https://www.facebook.com/share/1B1a5hUFSi/" TargetMode="External"/><Relationship Id="rId416" Type="http://schemas.openxmlformats.org/officeDocument/2006/relationships/hyperlink" Target="https://www.facebook.com/share/18GZ2V4aQA/" TargetMode="External"/><Relationship Id="rId411" Type="http://schemas.openxmlformats.org/officeDocument/2006/relationships/hyperlink" Target="https://www.facebook.com/share/18rbxAAeg4/" TargetMode="External"/><Relationship Id="rId410" Type="http://schemas.openxmlformats.org/officeDocument/2006/relationships/hyperlink" Target="https://www.facebook.com/share/18SSsD3Qeq/" TargetMode="External"/><Relationship Id="rId448" Type="http://schemas.openxmlformats.org/officeDocument/2006/relationships/hyperlink" Target="https://www.facebook.com/share/1LQbv6gYi3/" TargetMode="External"/><Relationship Id="rId447" Type="http://schemas.openxmlformats.org/officeDocument/2006/relationships/hyperlink" Target="https://www.facebook.com/share/18h9z8fh1E/" TargetMode="External"/><Relationship Id="rId446" Type="http://schemas.openxmlformats.org/officeDocument/2006/relationships/hyperlink" Target="https://www.facebook.com/share/1CvPmWu9yx/" TargetMode="External"/><Relationship Id="rId445" Type="http://schemas.openxmlformats.org/officeDocument/2006/relationships/hyperlink" Target="https://www.facebook.com/share/18jxRTkCjN/" TargetMode="External"/><Relationship Id="rId449" Type="http://schemas.openxmlformats.org/officeDocument/2006/relationships/hyperlink" Target="https://www.facebook.com/share/17FJbRmxet/" TargetMode="External"/><Relationship Id="rId440" Type="http://schemas.openxmlformats.org/officeDocument/2006/relationships/hyperlink" Target="https://www.facebook.com/share/1B3pwGEkrE/" TargetMode="External"/><Relationship Id="rId444" Type="http://schemas.openxmlformats.org/officeDocument/2006/relationships/hyperlink" Target="https://www.facebook.com/share/1DtSYuuVDQ/" TargetMode="External"/><Relationship Id="rId443" Type="http://schemas.openxmlformats.org/officeDocument/2006/relationships/hyperlink" Target="https://www.facebook.com/share/1811JmUqUj/" TargetMode="External"/><Relationship Id="rId442" Type="http://schemas.openxmlformats.org/officeDocument/2006/relationships/hyperlink" Target="https://www.facebook.com/share/1GCoAqwy1m/" TargetMode="External"/><Relationship Id="rId441" Type="http://schemas.openxmlformats.org/officeDocument/2006/relationships/hyperlink" Target="https://www.facebook.com/share/1GrBhA7Ygk/" TargetMode="External"/><Relationship Id="rId437" Type="http://schemas.openxmlformats.org/officeDocument/2006/relationships/hyperlink" Target="https://www.facebook.com/share/1AGfbwQ8E9/" TargetMode="External"/><Relationship Id="rId436" Type="http://schemas.openxmlformats.org/officeDocument/2006/relationships/hyperlink" Target="https://www.facebook.com/share/1HBwfJ6MsK/" TargetMode="External"/><Relationship Id="rId435" Type="http://schemas.openxmlformats.org/officeDocument/2006/relationships/hyperlink" Target="https://www.facebook.com/share/1BFPMUNu5c/" TargetMode="External"/><Relationship Id="rId434" Type="http://schemas.openxmlformats.org/officeDocument/2006/relationships/hyperlink" Target="https://www.facebook.com/share/1D9n8Ri5ik/" TargetMode="External"/><Relationship Id="rId439" Type="http://schemas.openxmlformats.org/officeDocument/2006/relationships/hyperlink" Target="https://www.facebook.com/share/1EB3BiuKed/" TargetMode="External"/><Relationship Id="rId438" Type="http://schemas.openxmlformats.org/officeDocument/2006/relationships/hyperlink" Target="https://www.facebook.com/share/1S2ipy3dc1/" TargetMode="External"/><Relationship Id="rId433" Type="http://schemas.openxmlformats.org/officeDocument/2006/relationships/hyperlink" Target="https://www.facebook.com/share/1Exz5bAqDS/" TargetMode="External"/><Relationship Id="rId432" Type="http://schemas.openxmlformats.org/officeDocument/2006/relationships/hyperlink" Target="https://www.facebook.com/share/17TmUS6LZ7/" TargetMode="External"/><Relationship Id="rId431" Type="http://schemas.openxmlformats.org/officeDocument/2006/relationships/hyperlink" Target="https://www.facebook.com/share/1BLtPpTJR2/" TargetMode="External"/><Relationship Id="rId430" Type="http://schemas.openxmlformats.org/officeDocument/2006/relationships/hyperlink" Target="https://www.facebook.com/share/18h61E9686/"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63"/>
    <col customWidth="1" min="5" max="5" width="14.0"/>
  </cols>
  <sheetData>
    <row r="1" ht="22.5" customHeight="1">
      <c r="A1" s="1" t="s">
        <v>0</v>
      </c>
      <c r="B1" s="2" t="s">
        <v>1</v>
      </c>
      <c r="C1" s="2" t="s">
        <v>2</v>
      </c>
      <c r="D1" s="3" t="s">
        <v>3</v>
      </c>
      <c r="E1" s="4" t="s">
        <v>4</v>
      </c>
      <c r="F1" s="2" t="s">
        <v>5</v>
      </c>
      <c r="G1" s="2" t="s">
        <v>6</v>
      </c>
      <c r="H1" s="5" t="s">
        <v>7</v>
      </c>
      <c r="I1" s="2" t="s">
        <v>8</v>
      </c>
      <c r="J1" s="2" t="s">
        <v>9</v>
      </c>
      <c r="K1" s="6"/>
      <c r="L1" s="6"/>
      <c r="M1" s="6"/>
      <c r="N1" s="6"/>
    </row>
    <row r="2" ht="22.5" hidden="1" customHeight="1">
      <c r="A2" s="7" t="s">
        <v>10</v>
      </c>
      <c r="B2" s="7" t="s">
        <v>11</v>
      </c>
      <c r="C2" s="2">
        <v>8886.0</v>
      </c>
      <c r="D2" s="8" t="s">
        <v>12</v>
      </c>
      <c r="E2" s="9" t="s">
        <v>13</v>
      </c>
      <c r="F2" s="2">
        <v>1.0</v>
      </c>
      <c r="G2" s="2">
        <v>1090.0</v>
      </c>
      <c r="H2" s="5">
        <v>46085.0</v>
      </c>
      <c r="I2" s="2" t="s">
        <v>14</v>
      </c>
      <c r="J2" s="10" t="s">
        <v>15</v>
      </c>
      <c r="L2" s="11"/>
      <c r="M2" s="2"/>
      <c r="N2" s="11"/>
    </row>
    <row r="3" ht="22.5" hidden="1" customHeight="1">
      <c r="A3" s="7" t="s">
        <v>10</v>
      </c>
      <c r="B3" s="7" t="s">
        <v>11</v>
      </c>
      <c r="C3" s="2">
        <v>8886.0</v>
      </c>
      <c r="D3" s="8" t="s">
        <v>12</v>
      </c>
      <c r="E3" s="9" t="s">
        <v>16</v>
      </c>
      <c r="F3" s="2">
        <v>1.0</v>
      </c>
      <c r="G3" s="2">
        <v>1090.0</v>
      </c>
      <c r="H3" s="5">
        <v>46085.0</v>
      </c>
      <c r="I3" s="2" t="s">
        <v>14</v>
      </c>
      <c r="J3" s="7"/>
      <c r="L3" s="11"/>
      <c r="M3" s="2"/>
      <c r="N3" s="11"/>
    </row>
    <row r="4" ht="22.5" hidden="1" customHeight="1">
      <c r="A4" s="2" t="s">
        <v>17</v>
      </c>
      <c r="B4" s="7" t="s">
        <v>11</v>
      </c>
      <c r="C4" s="2">
        <v>8886.0</v>
      </c>
      <c r="D4" s="8" t="s">
        <v>12</v>
      </c>
      <c r="E4" s="9" t="s">
        <v>18</v>
      </c>
      <c r="F4" s="2">
        <v>1.0</v>
      </c>
      <c r="G4" s="2">
        <v>1090.0</v>
      </c>
      <c r="H4" s="5">
        <v>46085.0</v>
      </c>
      <c r="I4" s="2" t="s">
        <v>14</v>
      </c>
      <c r="L4" s="11"/>
      <c r="M4" s="2"/>
      <c r="N4" s="11"/>
    </row>
    <row r="5" ht="22.5" hidden="1" customHeight="1">
      <c r="A5" s="2" t="s">
        <v>19</v>
      </c>
      <c r="B5" s="7" t="s">
        <v>11</v>
      </c>
      <c r="C5" s="2">
        <v>8886.0</v>
      </c>
      <c r="D5" s="8" t="s">
        <v>12</v>
      </c>
      <c r="E5" s="9" t="s">
        <v>18</v>
      </c>
      <c r="F5" s="2">
        <v>1.0</v>
      </c>
      <c r="G5" s="2">
        <v>1090.0</v>
      </c>
      <c r="H5" s="5">
        <v>46085.0</v>
      </c>
      <c r="I5" s="2" t="s">
        <v>14</v>
      </c>
      <c r="L5" s="11"/>
      <c r="M5" s="2"/>
      <c r="N5" s="11"/>
    </row>
    <row r="6" ht="22.5" hidden="1" customHeight="1">
      <c r="A6" s="2" t="s">
        <v>19</v>
      </c>
      <c r="B6" s="7" t="s">
        <v>11</v>
      </c>
      <c r="C6" s="2">
        <v>8886.0</v>
      </c>
      <c r="D6" s="8" t="s">
        <v>12</v>
      </c>
      <c r="E6" s="9" t="s">
        <v>13</v>
      </c>
      <c r="F6" s="2">
        <v>1.0</v>
      </c>
      <c r="G6" s="2">
        <v>1090.0</v>
      </c>
      <c r="H6" s="5">
        <v>46085.0</v>
      </c>
      <c r="I6" s="2" t="s">
        <v>14</v>
      </c>
      <c r="L6" s="11"/>
      <c r="M6" s="2"/>
      <c r="N6" s="11"/>
    </row>
    <row r="7" ht="22.5" hidden="1" customHeight="1">
      <c r="A7" s="2" t="s">
        <v>19</v>
      </c>
      <c r="B7" s="7" t="s">
        <v>11</v>
      </c>
      <c r="C7" s="2">
        <v>8886.0</v>
      </c>
      <c r="D7" s="8" t="s">
        <v>12</v>
      </c>
      <c r="E7" s="9" t="s">
        <v>20</v>
      </c>
      <c r="F7" s="2">
        <v>1.0</v>
      </c>
      <c r="G7" s="2">
        <v>1090.0</v>
      </c>
      <c r="H7" s="5">
        <v>46085.0</v>
      </c>
      <c r="I7" s="2" t="s">
        <v>14</v>
      </c>
      <c r="L7" s="11"/>
      <c r="M7" s="2"/>
      <c r="N7" s="11"/>
    </row>
    <row r="8" ht="22.5" hidden="1" customHeight="1">
      <c r="A8" s="2" t="s">
        <v>21</v>
      </c>
      <c r="B8" s="7" t="s">
        <v>11</v>
      </c>
      <c r="C8" s="2">
        <v>8886.0</v>
      </c>
      <c r="D8" s="8" t="s">
        <v>22</v>
      </c>
      <c r="E8" s="9" t="s">
        <v>23</v>
      </c>
      <c r="F8" s="2">
        <v>1.0</v>
      </c>
      <c r="G8" s="2">
        <v>1090.0</v>
      </c>
      <c r="H8" s="5">
        <v>46085.0</v>
      </c>
      <c r="I8" s="2" t="s">
        <v>24</v>
      </c>
      <c r="L8" s="11"/>
      <c r="M8" s="2"/>
      <c r="N8" s="11"/>
    </row>
    <row r="9" ht="22.5" hidden="1" customHeight="1">
      <c r="A9" s="2" t="s">
        <v>25</v>
      </c>
      <c r="B9" s="7" t="s">
        <v>11</v>
      </c>
      <c r="C9" s="2">
        <v>8886.0</v>
      </c>
      <c r="D9" s="8" t="s">
        <v>22</v>
      </c>
      <c r="E9" s="9" t="s">
        <v>26</v>
      </c>
      <c r="F9" s="2">
        <v>1.0</v>
      </c>
      <c r="G9" s="2">
        <v>1090.0</v>
      </c>
      <c r="H9" s="5">
        <v>46085.0</v>
      </c>
      <c r="I9" s="2" t="s">
        <v>14</v>
      </c>
      <c r="L9" s="11"/>
      <c r="M9" s="2"/>
      <c r="N9" s="11"/>
    </row>
    <row r="10" ht="22.5" hidden="1" customHeight="1">
      <c r="A10" s="2" t="s">
        <v>25</v>
      </c>
      <c r="B10" s="7" t="s">
        <v>11</v>
      </c>
      <c r="C10" s="2">
        <v>8886.0</v>
      </c>
      <c r="D10" s="8" t="s">
        <v>22</v>
      </c>
      <c r="E10" s="9" t="s">
        <v>13</v>
      </c>
      <c r="F10" s="2">
        <v>1.0</v>
      </c>
      <c r="G10" s="2">
        <v>1090.0</v>
      </c>
      <c r="H10" s="5">
        <v>46085.0</v>
      </c>
      <c r="I10" s="2" t="s">
        <v>14</v>
      </c>
      <c r="L10" s="11"/>
      <c r="M10" s="2"/>
      <c r="N10" s="11"/>
    </row>
    <row r="11" ht="22.5" hidden="1" customHeight="1">
      <c r="A11" s="2" t="s">
        <v>25</v>
      </c>
      <c r="B11" s="7" t="s">
        <v>11</v>
      </c>
      <c r="C11" s="2">
        <v>8886.0</v>
      </c>
      <c r="D11" s="8" t="s">
        <v>22</v>
      </c>
      <c r="E11" s="9" t="s">
        <v>18</v>
      </c>
      <c r="F11" s="2">
        <v>1.0</v>
      </c>
      <c r="G11" s="2">
        <v>1090.0</v>
      </c>
      <c r="H11" s="5">
        <v>46085.0</v>
      </c>
      <c r="I11" s="2" t="s">
        <v>14</v>
      </c>
      <c r="L11" s="11"/>
      <c r="M11" s="2"/>
      <c r="N11" s="11"/>
    </row>
    <row r="12" ht="22.5" hidden="1" customHeight="1">
      <c r="A12" s="2" t="s">
        <v>25</v>
      </c>
      <c r="B12" s="7" t="s">
        <v>11</v>
      </c>
      <c r="C12" s="2">
        <v>8886.0</v>
      </c>
      <c r="D12" s="8" t="s">
        <v>22</v>
      </c>
      <c r="E12" s="9" t="s">
        <v>27</v>
      </c>
      <c r="F12" s="2">
        <v>1.0</v>
      </c>
      <c r="G12" s="2">
        <v>1090.0</v>
      </c>
      <c r="H12" s="5">
        <v>46085.0</v>
      </c>
      <c r="I12" s="2" t="s">
        <v>14</v>
      </c>
      <c r="L12" s="11"/>
      <c r="M12" s="2"/>
      <c r="N12" s="11"/>
    </row>
    <row r="13" ht="22.5" hidden="1" customHeight="1">
      <c r="A13" s="2" t="s">
        <v>28</v>
      </c>
      <c r="B13" s="7" t="s">
        <v>11</v>
      </c>
      <c r="C13" s="2">
        <v>8886.0</v>
      </c>
      <c r="D13" s="8" t="s">
        <v>22</v>
      </c>
      <c r="E13" s="9" t="s">
        <v>18</v>
      </c>
      <c r="F13" s="2">
        <v>1.0</v>
      </c>
      <c r="G13" s="2">
        <v>1090.0</v>
      </c>
      <c r="H13" s="5">
        <v>46085.0</v>
      </c>
      <c r="I13" s="2" t="s">
        <v>14</v>
      </c>
      <c r="L13" s="11"/>
      <c r="M13" s="2"/>
      <c r="N13" s="11"/>
    </row>
    <row r="14" ht="22.5" hidden="1" customHeight="1">
      <c r="A14" s="2" t="s">
        <v>28</v>
      </c>
      <c r="B14" s="7" t="s">
        <v>11</v>
      </c>
      <c r="C14" s="2">
        <v>8886.0</v>
      </c>
      <c r="D14" s="8" t="s">
        <v>22</v>
      </c>
      <c r="E14" s="9" t="s">
        <v>13</v>
      </c>
      <c r="F14" s="2">
        <v>1.0</v>
      </c>
      <c r="G14" s="2">
        <v>1090.0</v>
      </c>
      <c r="H14" s="5">
        <v>46085.0</v>
      </c>
      <c r="I14" s="2" t="s">
        <v>14</v>
      </c>
      <c r="L14" s="11"/>
      <c r="M14" s="2"/>
      <c r="N14" s="11"/>
    </row>
    <row r="15" ht="22.5" hidden="1" customHeight="1">
      <c r="A15" s="2" t="s">
        <v>29</v>
      </c>
      <c r="B15" s="7" t="s">
        <v>11</v>
      </c>
      <c r="C15" s="2">
        <v>8886.0</v>
      </c>
      <c r="D15" s="8" t="s">
        <v>22</v>
      </c>
      <c r="E15" s="9" t="s">
        <v>18</v>
      </c>
      <c r="F15" s="2">
        <v>1.0</v>
      </c>
      <c r="G15" s="2">
        <v>1090.0</v>
      </c>
      <c r="H15" s="5">
        <v>46085.0</v>
      </c>
      <c r="I15" s="2" t="s">
        <v>14</v>
      </c>
      <c r="L15" s="11"/>
      <c r="M15" s="2"/>
      <c r="N15" s="11"/>
    </row>
    <row r="16" ht="22.5" hidden="1" customHeight="1">
      <c r="A16" s="2" t="s">
        <v>29</v>
      </c>
      <c r="B16" s="7" t="s">
        <v>11</v>
      </c>
      <c r="C16" s="2">
        <v>8886.0</v>
      </c>
      <c r="D16" s="8" t="s">
        <v>22</v>
      </c>
      <c r="E16" s="9" t="s">
        <v>13</v>
      </c>
      <c r="F16" s="2">
        <v>1.0</v>
      </c>
      <c r="G16" s="2">
        <v>1090.0</v>
      </c>
      <c r="H16" s="5">
        <v>46085.0</v>
      </c>
      <c r="I16" s="2" t="s">
        <v>14</v>
      </c>
      <c r="L16" s="11"/>
      <c r="M16" s="2"/>
      <c r="N16" s="11"/>
    </row>
    <row r="17" ht="22.5" hidden="1" customHeight="1">
      <c r="A17" s="2" t="s">
        <v>30</v>
      </c>
      <c r="B17" s="7" t="s">
        <v>11</v>
      </c>
      <c r="C17" s="2">
        <v>8886.0</v>
      </c>
      <c r="D17" s="8" t="s">
        <v>22</v>
      </c>
      <c r="E17" s="9" t="s">
        <v>18</v>
      </c>
      <c r="F17" s="2">
        <v>1.0</v>
      </c>
      <c r="G17" s="2">
        <v>1090.0</v>
      </c>
      <c r="H17" s="5">
        <v>46085.0</v>
      </c>
      <c r="I17" s="2" t="s">
        <v>14</v>
      </c>
      <c r="L17" s="11"/>
      <c r="M17" s="2"/>
      <c r="N17" s="11"/>
    </row>
    <row r="18" ht="22.5" hidden="1" customHeight="1">
      <c r="A18" s="2" t="s">
        <v>30</v>
      </c>
      <c r="B18" s="7" t="s">
        <v>11</v>
      </c>
      <c r="C18" s="2">
        <v>8886.0</v>
      </c>
      <c r="D18" s="8" t="s">
        <v>22</v>
      </c>
      <c r="E18" s="9" t="s">
        <v>13</v>
      </c>
      <c r="F18" s="2">
        <v>1.0</v>
      </c>
      <c r="G18" s="2">
        <v>1090.0</v>
      </c>
      <c r="H18" s="5">
        <v>46085.0</v>
      </c>
      <c r="I18" s="2" t="s">
        <v>14</v>
      </c>
      <c r="L18" s="11"/>
      <c r="M18" s="2"/>
      <c r="N18" s="11"/>
    </row>
    <row r="19" ht="22.5" hidden="1" customHeight="1">
      <c r="A19" s="2" t="s">
        <v>31</v>
      </c>
      <c r="B19" s="7" t="s">
        <v>11</v>
      </c>
      <c r="C19" s="2">
        <v>8886.0</v>
      </c>
      <c r="D19" s="8" t="s">
        <v>12</v>
      </c>
      <c r="E19" s="9" t="s">
        <v>13</v>
      </c>
      <c r="F19" s="2">
        <v>1.0</v>
      </c>
      <c r="G19" s="2">
        <v>1090.0</v>
      </c>
      <c r="H19" s="5">
        <v>46085.0</v>
      </c>
      <c r="I19" s="2" t="s">
        <v>14</v>
      </c>
      <c r="L19" s="11"/>
      <c r="M19" s="2"/>
      <c r="N19" s="11"/>
    </row>
    <row r="20" ht="22.5" hidden="1" customHeight="1">
      <c r="A20" s="2" t="s">
        <v>32</v>
      </c>
      <c r="B20" s="7" t="s">
        <v>11</v>
      </c>
      <c r="C20" s="2">
        <v>8886.0</v>
      </c>
      <c r="D20" s="8" t="s">
        <v>12</v>
      </c>
      <c r="E20" s="9" t="s">
        <v>13</v>
      </c>
      <c r="F20" s="2">
        <v>1.0</v>
      </c>
      <c r="G20" s="2">
        <v>1090.0</v>
      </c>
      <c r="H20" s="5">
        <v>46085.0</v>
      </c>
      <c r="I20" s="2" t="s">
        <v>14</v>
      </c>
      <c r="L20" s="11"/>
      <c r="M20" s="2"/>
      <c r="N20" s="11"/>
    </row>
    <row r="21" ht="22.5" hidden="1" customHeight="1">
      <c r="A21" s="2" t="s">
        <v>32</v>
      </c>
      <c r="B21" s="7" t="s">
        <v>11</v>
      </c>
      <c r="C21" s="2">
        <v>8886.0</v>
      </c>
      <c r="D21" s="8" t="s">
        <v>12</v>
      </c>
      <c r="E21" s="9" t="s">
        <v>26</v>
      </c>
      <c r="F21" s="2">
        <v>1.0</v>
      </c>
      <c r="G21" s="2">
        <v>1090.0</v>
      </c>
      <c r="H21" s="5">
        <v>46085.0</v>
      </c>
      <c r="I21" s="2" t="s">
        <v>14</v>
      </c>
      <c r="L21" s="11"/>
      <c r="M21" s="2"/>
      <c r="N21" s="11"/>
    </row>
    <row r="22" ht="22.5" hidden="1" customHeight="1">
      <c r="A22" s="2" t="s">
        <v>32</v>
      </c>
      <c r="B22" s="7" t="s">
        <v>11</v>
      </c>
      <c r="C22" s="2">
        <v>8886.0</v>
      </c>
      <c r="D22" s="8" t="s">
        <v>12</v>
      </c>
      <c r="E22" s="9" t="s">
        <v>16</v>
      </c>
      <c r="F22" s="2">
        <v>1.0</v>
      </c>
      <c r="G22" s="2">
        <v>1090.0</v>
      </c>
      <c r="H22" s="5">
        <v>46085.0</v>
      </c>
      <c r="I22" s="2" t="s">
        <v>14</v>
      </c>
      <c r="L22" s="11"/>
      <c r="M22" s="2"/>
      <c r="N22" s="11"/>
    </row>
    <row r="23" ht="22.5" hidden="1" customHeight="1">
      <c r="A23" s="2" t="s">
        <v>33</v>
      </c>
      <c r="B23" s="7" t="s">
        <v>11</v>
      </c>
      <c r="C23" s="2">
        <v>8886.0</v>
      </c>
      <c r="D23" s="8" t="s">
        <v>12</v>
      </c>
      <c r="E23" s="9" t="s">
        <v>13</v>
      </c>
      <c r="F23" s="2">
        <v>1.0</v>
      </c>
      <c r="G23" s="2">
        <v>1090.0</v>
      </c>
      <c r="H23" s="5">
        <v>46085.0</v>
      </c>
      <c r="I23" s="2" t="s">
        <v>24</v>
      </c>
      <c r="L23" s="11"/>
      <c r="M23" s="2"/>
      <c r="N23" s="11"/>
    </row>
    <row r="24" ht="22.5" hidden="1" customHeight="1">
      <c r="A24" s="2" t="s">
        <v>34</v>
      </c>
      <c r="B24" s="7" t="s">
        <v>11</v>
      </c>
      <c r="C24" s="2">
        <v>8886.0</v>
      </c>
      <c r="D24" s="8" t="s">
        <v>12</v>
      </c>
      <c r="E24" s="9" t="s">
        <v>18</v>
      </c>
      <c r="F24" s="2">
        <v>1.0</v>
      </c>
      <c r="G24" s="2">
        <v>1090.0</v>
      </c>
      <c r="H24" s="5">
        <v>46085.0</v>
      </c>
      <c r="I24" s="2" t="s">
        <v>14</v>
      </c>
      <c r="L24" s="11"/>
      <c r="M24" s="2"/>
      <c r="N24" s="11"/>
    </row>
    <row r="25" ht="22.5" hidden="1" customHeight="1">
      <c r="A25" s="2" t="s">
        <v>34</v>
      </c>
      <c r="B25" s="7" t="s">
        <v>11</v>
      </c>
      <c r="C25" s="2">
        <v>8886.0</v>
      </c>
      <c r="D25" s="8" t="s">
        <v>12</v>
      </c>
      <c r="E25" s="9" t="s">
        <v>13</v>
      </c>
      <c r="F25" s="2">
        <v>1.0</v>
      </c>
      <c r="G25" s="2">
        <v>1090.0</v>
      </c>
      <c r="H25" s="5">
        <v>46085.0</v>
      </c>
      <c r="I25" s="2" t="s">
        <v>14</v>
      </c>
      <c r="L25" s="11"/>
      <c r="M25" s="2"/>
      <c r="N25" s="11"/>
    </row>
    <row r="26" ht="22.5" hidden="1" customHeight="1">
      <c r="A26" s="2" t="s">
        <v>34</v>
      </c>
      <c r="B26" s="7" t="s">
        <v>11</v>
      </c>
      <c r="C26" s="2">
        <v>8886.0</v>
      </c>
      <c r="D26" s="8" t="s">
        <v>12</v>
      </c>
      <c r="E26" s="9" t="s">
        <v>23</v>
      </c>
      <c r="F26" s="2">
        <v>1.0</v>
      </c>
      <c r="G26" s="2">
        <v>1090.0</v>
      </c>
      <c r="H26" s="5">
        <v>46085.0</v>
      </c>
      <c r="I26" s="2" t="s">
        <v>14</v>
      </c>
      <c r="L26" s="11"/>
      <c r="M26" s="2"/>
      <c r="N26" s="11"/>
    </row>
    <row r="27" ht="22.5" hidden="1" customHeight="1">
      <c r="A27" s="2" t="s">
        <v>35</v>
      </c>
      <c r="B27" s="7" t="s">
        <v>11</v>
      </c>
      <c r="C27" s="2">
        <v>8886.0</v>
      </c>
      <c r="D27" s="8" t="s">
        <v>12</v>
      </c>
      <c r="E27" s="9" t="s">
        <v>18</v>
      </c>
      <c r="F27" s="2">
        <v>1.0</v>
      </c>
      <c r="G27" s="2">
        <v>1090.0</v>
      </c>
      <c r="H27" s="5">
        <v>46085.0</v>
      </c>
      <c r="I27" s="2" t="s">
        <v>14</v>
      </c>
      <c r="L27" s="11"/>
      <c r="M27" s="2"/>
      <c r="N27" s="11"/>
    </row>
    <row r="28" ht="22.5" hidden="1" customHeight="1">
      <c r="A28" s="2" t="s">
        <v>35</v>
      </c>
      <c r="B28" s="7" t="s">
        <v>11</v>
      </c>
      <c r="C28" s="2">
        <v>8886.0</v>
      </c>
      <c r="D28" s="8" t="s">
        <v>12</v>
      </c>
      <c r="E28" s="9" t="s">
        <v>13</v>
      </c>
      <c r="F28" s="2">
        <v>1.0</v>
      </c>
      <c r="G28" s="2">
        <v>1090.0</v>
      </c>
      <c r="H28" s="5">
        <v>46085.0</v>
      </c>
      <c r="I28" s="2" t="s">
        <v>14</v>
      </c>
      <c r="L28" s="11"/>
      <c r="M28" s="2"/>
      <c r="N28" s="11"/>
    </row>
    <row r="29" ht="22.5" hidden="1" customHeight="1">
      <c r="A29" s="2" t="s">
        <v>35</v>
      </c>
      <c r="B29" s="7" t="s">
        <v>11</v>
      </c>
      <c r="C29" s="2">
        <v>8886.0</v>
      </c>
      <c r="D29" s="8" t="s">
        <v>12</v>
      </c>
      <c r="E29" s="9" t="s">
        <v>23</v>
      </c>
      <c r="F29" s="2">
        <v>1.0</v>
      </c>
      <c r="G29" s="2">
        <v>1090.0</v>
      </c>
      <c r="H29" s="5">
        <v>46085.0</v>
      </c>
      <c r="I29" s="2" t="s">
        <v>14</v>
      </c>
      <c r="L29" s="11"/>
      <c r="M29" s="2"/>
      <c r="N29" s="11"/>
    </row>
    <row r="30" ht="22.5" hidden="1" customHeight="1">
      <c r="A30" s="2" t="s">
        <v>36</v>
      </c>
      <c r="B30" s="7" t="s">
        <v>11</v>
      </c>
      <c r="C30" s="2">
        <v>8886.0</v>
      </c>
      <c r="D30" s="8" t="s">
        <v>22</v>
      </c>
      <c r="E30" s="9" t="s">
        <v>13</v>
      </c>
      <c r="F30" s="2">
        <v>1.0</v>
      </c>
      <c r="G30" s="2">
        <v>1090.0</v>
      </c>
      <c r="H30" s="5">
        <v>46085.0</v>
      </c>
      <c r="I30" s="2" t="s">
        <v>14</v>
      </c>
      <c r="L30" s="11"/>
      <c r="M30" s="2"/>
      <c r="N30" s="11"/>
    </row>
    <row r="31" ht="22.5" hidden="1" customHeight="1">
      <c r="A31" s="2" t="s">
        <v>36</v>
      </c>
      <c r="B31" s="7" t="s">
        <v>11</v>
      </c>
      <c r="C31" s="2">
        <v>8886.0</v>
      </c>
      <c r="D31" s="8" t="s">
        <v>22</v>
      </c>
      <c r="E31" s="9" t="s">
        <v>26</v>
      </c>
      <c r="F31" s="2">
        <v>1.0</v>
      </c>
      <c r="G31" s="2">
        <v>1090.0</v>
      </c>
      <c r="H31" s="5">
        <v>46085.0</v>
      </c>
      <c r="I31" s="2" t="s">
        <v>14</v>
      </c>
      <c r="L31" s="11"/>
      <c r="M31" s="2"/>
      <c r="N31" s="11"/>
    </row>
    <row r="32" ht="22.5" hidden="1" customHeight="1">
      <c r="A32" s="2" t="s">
        <v>37</v>
      </c>
      <c r="B32" s="7" t="s">
        <v>11</v>
      </c>
      <c r="C32" s="2">
        <v>8886.0</v>
      </c>
      <c r="D32" s="8" t="s">
        <v>12</v>
      </c>
      <c r="E32" s="9" t="s">
        <v>26</v>
      </c>
      <c r="F32" s="2">
        <v>1.0</v>
      </c>
      <c r="G32" s="2">
        <v>1090.0</v>
      </c>
      <c r="H32" s="5">
        <v>46085.0</v>
      </c>
      <c r="I32" s="2" t="s">
        <v>14</v>
      </c>
      <c r="L32" s="11"/>
      <c r="M32" s="2"/>
      <c r="N32" s="11"/>
    </row>
    <row r="33" ht="22.5" hidden="1" customHeight="1">
      <c r="A33" s="2" t="s">
        <v>37</v>
      </c>
      <c r="B33" s="7" t="s">
        <v>11</v>
      </c>
      <c r="C33" s="2">
        <v>8886.0</v>
      </c>
      <c r="D33" s="8" t="s">
        <v>12</v>
      </c>
      <c r="E33" s="9" t="s">
        <v>23</v>
      </c>
      <c r="F33" s="2">
        <v>1.0</v>
      </c>
      <c r="G33" s="2">
        <v>1090.0</v>
      </c>
      <c r="H33" s="5">
        <v>46085.0</v>
      </c>
      <c r="I33" s="2" t="s">
        <v>14</v>
      </c>
      <c r="L33" s="11"/>
      <c r="M33" s="2"/>
      <c r="N33" s="11"/>
    </row>
    <row r="34" ht="22.5" hidden="1" customHeight="1">
      <c r="A34" s="2" t="s">
        <v>37</v>
      </c>
      <c r="B34" s="7" t="s">
        <v>11</v>
      </c>
      <c r="C34" s="2">
        <v>8886.0</v>
      </c>
      <c r="D34" s="8" t="s">
        <v>12</v>
      </c>
      <c r="E34" s="9" t="s">
        <v>13</v>
      </c>
      <c r="F34" s="2">
        <v>1.0</v>
      </c>
      <c r="G34" s="2">
        <v>1090.0</v>
      </c>
      <c r="H34" s="5">
        <v>46085.0</v>
      </c>
      <c r="I34" s="2" t="s">
        <v>14</v>
      </c>
      <c r="L34" s="11"/>
      <c r="M34" s="2"/>
      <c r="N34" s="11"/>
    </row>
    <row r="35" ht="22.5" hidden="1" customHeight="1">
      <c r="A35" s="2" t="s">
        <v>38</v>
      </c>
      <c r="B35" s="7" t="s">
        <v>11</v>
      </c>
      <c r="C35" s="2">
        <v>8886.0</v>
      </c>
      <c r="D35" s="8" t="s">
        <v>22</v>
      </c>
      <c r="E35" s="9" t="s">
        <v>13</v>
      </c>
      <c r="F35" s="2">
        <v>1.0</v>
      </c>
      <c r="G35" s="2">
        <v>1090.0</v>
      </c>
      <c r="H35" s="5">
        <v>46085.0</v>
      </c>
      <c r="I35" s="2" t="s">
        <v>14</v>
      </c>
      <c r="L35" s="11"/>
      <c r="M35" s="2"/>
      <c r="N35" s="11"/>
    </row>
    <row r="36" ht="22.5" hidden="1" customHeight="1">
      <c r="A36" s="2" t="s">
        <v>39</v>
      </c>
      <c r="B36" s="7" t="s">
        <v>11</v>
      </c>
      <c r="C36" s="2">
        <v>8886.0</v>
      </c>
      <c r="D36" s="8" t="s">
        <v>12</v>
      </c>
      <c r="E36" s="9" t="s">
        <v>27</v>
      </c>
      <c r="F36" s="2">
        <v>1.0</v>
      </c>
      <c r="G36" s="2">
        <v>1090.0</v>
      </c>
      <c r="H36" s="5">
        <v>46085.0</v>
      </c>
      <c r="I36" s="2" t="s">
        <v>14</v>
      </c>
      <c r="L36" s="11"/>
      <c r="M36" s="2"/>
      <c r="N36" s="11"/>
    </row>
    <row r="37" ht="22.5" hidden="1" customHeight="1">
      <c r="A37" s="2" t="s">
        <v>40</v>
      </c>
      <c r="B37" s="7" t="s">
        <v>11</v>
      </c>
      <c r="C37" s="2">
        <v>8886.0</v>
      </c>
      <c r="D37" s="8" t="s">
        <v>12</v>
      </c>
      <c r="E37" s="9" t="s">
        <v>18</v>
      </c>
      <c r="F37" s="2">
        <v>1.0</v>
      </c>
      <c r="G37" s="2">
        <v>1090.0</v>
      </c>
      <c r="H37" s="5">
        <v>46085.0</v>
      </c>
      <c r="I37" s="2" t="s">
        <v>14</v>
      </c>
      <c r="L37" s="11"/>
      <c r="M37" s="2"/>
      <c r="N37" s="11"/>
    </row>
    <row r="38" ht="22.5" hidden="1" customHeight="1">
      <c r="A38" s="2" t="s">
        <v>40</v>
      </c>
      <c r="B38" s="7" t="s">
        <v>11</v>
      </c>
      <c r="C38" s="2">
        <v>8886.0</v>
      </c>
      <c r="D38" s="8" t="s">
        <v>12</v>
      </c>
      <c r="E38" s="9" t="s">
        <v>16</v>
      </c>
      <c r="F38" s="2">
        <v>1.0</v>
      </c>
      <c r="G38" s="2">
        <v>1090.0</v>
      </c>
      <c r="H38" s="5">
        <v>46085.0</v>
      </c>
      <c r="I38" s="2" t="s">
        <v>14</v>
      </c>
      <c r="L38" s="11"/>
      <c r="M38" s="2"/>
      <c r="N38" s="11"/>
    </row>
    <row r="39" ht="22.5" hidden="1" customHeight="1">
      <c r="A39" s="2" t="s">
        <v>41</v>
      </c>
      <c r="B39" s="7" t="s">
        <v>11</v>
      </c>
      <c r="C39" s="2">
        <v>8886.0</v>
      </c>
      <c r="D39" s="8" t="s">
        <v>12</v>
      </c>
      <c r="E39" s="9" t="s">
        <v>18</v>
      </c>
      <c r="F39" s="2">
        <v>1.0</v>
      </c>
      <c r="G39" s="2">
        <v>1090.0</v>
      </c>
      <c r="H39" s="5">
        <v>46085.0</v>
      </c>
      <c r="I39" s="2" t="s">
        <v>14</v>
      </c>
      <c r="L39" s="11"/>
      <c r="M39" s="2"/>
      <c r="N39" s="11"/>
    </row>
    <row r="40" ht="22.5" hidden="1" customHeight="1">
      <c r="A40" s="2" t="s">
        <v>41</v>
      </c>
      <c r="B40" s="7" t="s">
        <v>11</v>
      </c>
      <c r="C40" s="2">
        <v>8886.0</v>
      </c>
      <c r="D40" s="8" t="s">
        <v>12</v>
      </c>
      <c r="E40" s="9" t="s">
        <v>13</v>
      </c>
      <c r="F40" s="2">
        <v>1.0</v>
      </c>
      <c r="G40" s="2">
        <v>1090.0</v>
      </c>
      <c r="H40" s="5">
        <v>46085.0</v>
      </c>
      <c r="I40" s="2" t="s">
        <v>14</v>
      </c>
      <c r="L40" s="11"/>
      <c r="M40" s="2"/>
      <c r="N40" s="11"/>
    </row>
    <row r="41" ht="22.5" hidden="1" customHeight="1">
      <c r="A41" s="2" t="s">
        <v>41</v>
      </c>
      <c r="B41" s="7" t="s">
        <v>11</v>
      </c>
      <c r="C41" s="2">
        <v>8886.0</v>
      </c>
      <c r="D41" s="8" t="s">
        <v>12</v>
      </c>
      <c r="E41" s="9" t="s">
        <v>23</v>
      </c>
      <c r="F41" s="2">
        <v>1.0</v>
      </c>
      <c r="G41" s="2">
        <v>1090.0</v>
      </c>
      <c r="H41" s="5">
        <v>46085.0</v>
      </c>
      <c r="I41" s="2" t="s">
        <v>14</v>
      </c>
      <c r="L41" s="11"/>
      <c r="M41" s="2"/>
      <c r="N41" s="11"/>
    </row>
    <row r="42" ht="22.5" hidden="1" customHeight="1">
      <c r="A42" s="2" t="s">
        <v>42</v>
      </c>
      <c r="B42" s="7" t="s">
        <v>11</v>
      </c>
      <c r="C42" s="2">
        <v>8886.0</v>
      </c>
      <c r="D42" s="8" t="s">
        <v>12</v>
      </c>
      <c r="E42" s="9" t="s">
        <v>13</v>
      </c>
      <c r="F42" s="2">
        <v>1.0</v>
      </c>
      <c r="G42" s="2">
        <v>1090.0</v>
      </c>
      <c r="H42" s="5">
        <v>46085.0</v>
      </c>
      <c r="I42" s="2" t="s">
        <v>14</v>
      </c>
      <c r="J42" s="12" t="s">
        <v>43</v>
      </c>
      <c r="L42" s="11"/>
      <c r="M42" s="2"/>
      <c r="N42" s="11"/>
    </row>
    <row r="43" ht="22.5" hidden="1" customHeight="1">
      <c r="A43" s="2" t="s">
        <v>44</v>
      </c>
      <c r="B43" s="2" t="s">
        <v>45</v>
      </c>
      <c r="C43" s="2">
        <v>7859.0</v>
      </c>
      <c r="D43" s="8" t="s">
        <v>46</v>
      </c>
      <c r="E43" s="9" t="s">
        <v>47</v>
      </c>
      <c r="F43" s="2">
        <v>1.0</v>
      </c>
      <c r="G43" s="2">
        <v>2100.0</v>
      </c>
      <c r="H43" s="5">
        <v>46085.0</v>
      </c>
      <c r="I43" s="2" t="s">
        <v>14</v>
      </c>
      <c r="L43" s="11"/>
      <c r="M43" s="2"/>
      <c r="N43" s="11"/>
    </row>
    <row r="44" ht="22.5" hidden="1" customHeight="1">
      <c r="A44" s="2" t="s">
        <v>48</v>
      </c>
      <c r="B44" s="2" t="s">
        <v>45</v>
      </c>
      <c r="C44" s="2">
        <v>7859.0</v>
      </c>
      <c r="D44" s="8" t="s">
        <v>46</v>
      </c>
      <c r="E44" s="9" t="s">
        <v>16</v>
      </c>
      <c r="F44" s="2">
        <v>1.0</v>
      </c>
      <c r="G44" s="2">
        <v>2100.0</v>
      </c>
      <c r="H44" s="5">
        <v>46085.0</v>
      </c>
      <c r="I44" s="2" t="s">
        <v>14</v>
      </c>
      <c r="L44" s="11"/>
      <c r="M44" s="2"/>
      <c r="N44" s="11"/>
    </row>
    <row r="45" ht="22.5" hidden="1" customHeight="1">
      <c r="A45" s="2" t="s">
        <v>49</v>
      </c>
      <c r="B45" s="2" t="s">
        <v>45</v>
      </c>
      <c r="C45" s="2">
        <v>7859.0</v>
      </c>
      <c r="D45" s="8" t="s">
        <v>46</v>
      </c>
      <c r="E45" s="9" t="s">
        <v>16</v>
      </c>
      <c r="F45" s="2">
        <v>1.0</v>
      </c>
      <c r="G45" s="2">
        <v>2100.0</v>
      </c>
      <c r="H45" s="5">
        <v>46085.0</v>
      </c>
      <c r="I45" s="2" t="s">
        <v>14</v>
      </c>
      <c r="L45" s="11"/>
      <c r="M45" s="2"/>
      <c r="N45" s="11"/>
    </row>
    <row r="46" ht="22.5" hidden="1" customHeight="1">
      <c r="A46" s="2" t="s">
        <v>50</v>
      </c>
      <c r="B46" s="2" t="s">
        <v>45</v>
      </c>
      <c r="C46" s="2">
        <v>7859.0</v>
      </c>
      <c r="D46" s="8" t="s">
        <v>46</v>
      </c>
      <c r="E46" s="9" t="s">
        <v>16</v>
      </c>
      <c r="F46" s="2">
        <v>1.0</v>
      </c>
      <c r="G46" s="2">
        <v>2100.0</v>
      </c>
      <c r="H46" s="5">
        <v>46085.0</v>
      </c>
      <c r="I46" s="2" t="s">
        <v>14</v>
      </c>
      <c r="L46" s="11"/>
      <c r="M46" s="2"/>
      <c r="N46" s="11"/>
    </row>
    <row r="47" ht="22.5" hidden="1" customHeight="1">
      <c r="A47" s="2" t="s">
        <v>51</v>
      </c>
      <c r="B47" s="2" t="s">
        <v>45</v>
      </c>
      <c r="C47" s="2">
        <v>7859.0</v>
      </c>
      <c r="D47" s="8" t="s">
        <v>46</v>
      </c>
      <c r="E47" s="9" t="s">
        <v>47</v>
      </c>
      <c r="F47" s="2">
        <v>1.0</v>
      </c>
      <c r="G47" s="2">
        <v>2100.0</v>
      </c>
      <c r="H47" s="5">
        <v>46085.0</v>
      </c>
      <c r="I47" s="2" t="s">
        <v>14</v>
      </c>
      <c r="L47" s="11"/>
      <c r="M47" s="2"/>
      <c r="N47" s="11"/>
    </row>
    <row r="48" ht="22.5" hidden="1" customHeight="1">
      <c r="A48" s="2" t="s">
        <v>52</v>
      </c>
      <c r="B48" s="2" t="s">
        <v>45</v>
      </c>
      <c r="C48" s="2">
        <v>7859.0</v>
      </c>
      <c r="D48" s="8" t="s">
        <v>46</v>
      </c>
      <c r="E48" s="9" t="s">
        <v>16</v>
      </c>
      <c r="F48" s="2">
        <v>1.0</v>
      </c>
      <c r="G48" s="2">
        <v>2100.0</v>
      </c>
      <c r="H48" s="5">
        <v>46085.0</v>
      </c>
      <c r="I48" s="2" t="s">
        <v>14</v>
      </c>
      <c r="L48" s="11"/>
      <c r="M48" s="2"/>
      <c r="N48" s="11"/>
    </row>
    <row r="49" ht="22.5" hidden="1" customHeight="1">
      <c r="A49" s="2" t="s">
        <v>38</v>
      </c>
      <c r="B49" s="2" t="s">
        <v>45</v>
      </c>
      <c r="C49" s="2">
        <v>7859.0</v>
      </c>
      <c r="D49" s="8" t="s">
        <v>46</v>
      </c>
      <c r="E49" s="9" t="s">
        <v>47</v>
      </c>
      <c r="F49" s="2">
        <v>1.0</v>
      </c>
      <c r="G49" s="2">
        <v>2100.0</v>
      </c>
      <c r="H49" s="5">
        <v>46085.0</v>
      </c>
      <c r="I49" s="2" t="s">
        <v>14</v>
      </c>
      <c r="L49" s="11"/>
      <c r="M49" s="2"/>
      <c r="N49" s="11"/>
    </row>
    <row r="50" ht="22.5" hidden="1" customHeight="1">
      <c r="A50" s="2" t="s">
        <v>53</v>
      </c>
      <c r="B50" s="2" t="s">
        <v>45</v>
      </c>
      <c r="C50" s="2">
        <v>7859.0</v>
      </c>
      <c r="D50" s="8" t="s">
        <v>46</v>
      </c>
      <c r="E50" s="9" t="s">
        <v>47</v>
      </c>
      <c r="F50" s="2">
        <v>1.0</v>
      </c>
      <c r="G50" s="2">
        <v>2100.0</v>
      </c>
      <c r="H50" s="5">
        <v>46085.0</v>
      </c>
      <c r="I50" s="2" t="s">
        <v>14</v>
      </c>
      <c r="L50" s="11"/>
      <c r="M50" s="2"/>
      <c r="N50" s="11"/>
    </row>
    <row r="51" ht="22.5" hidden="1" customHeight="1">
      <c r="A51" s="2" t="s">
        <v>54</v>
      </c>
      <c r="B51" s="2" t="s">
        <v>45</v>
      </c>
      <c r="C51" s="2">
        <v>7859.0</v>
      </c>
      <c r="D51" s="8" t="s">
        <v>46</v>
      </c>
      <c r="E51" s="9" t="s">
        <v>16</v>
      </c>
      <c r="F51" s="2">
        <v>1.0</v>
      </c>
      <c r="G51" s="2">
        <v>2100.0</v>
      </c>
      <c r="H51" s="5">
        <v>46085.0</v>
      </c>
      <c r="I51" s="2" t="s">
        <v>14</v>
      </c>
      <c r="L51" s="11"/>
      <c r="M51" s="2"/>
      <c r="N51" s="11"/>
    </row>
    <row r="52" ht="22.5" hidden="1" customHeight="1">
      <c r="A52" s="2" t="s">
        <v>32</v>
      </c>
      <c r="B52" s="2" t="s">
        <v>45</v>
      </c>
      <c r="C52" s="2">
        <v>7859.0</v>
      </c>
      <c r="D52" s="8" t="s">
        <v>46</v>
      </c>
      <c r="E52" s="9" t="s">
        <v>47</v>
      </c>
      <c r="F52" s="2">
        <v>1.0</v>
      </c>
      <c r="G52" s="2">
        <v>2100.0</v>
      </c>
      <c r="H52" s="5">
        <v>46085.0</v>
      </c>
      <c r="I52" s="2" t="s">
        <v>14</v>
      </c>
      <c r="L52" s="11"/>
      <c r="M52" s="2"/>
      <c r="N52" s="11"/>
    </row>
    <row r="53" ht="22.5" hidden="1" customHeight="1">
      <c r="A53" s="2" t="s">
        <v>32</v>
      </c>
      <c r="B53" s="2" t="s">
        <v>45</v>
      </c>
      <c r="C53" s="2">
        <v>7859.0</v>
      </c>
      <c r="D53" s="8" t="s">
        <v>46</v>
      </c>
      <c r="E53" s="9" t="s">
        <v>16</v>
      </c>
      <c r="F53" s="2">
        <v>1.0</v>
      </c>
      <c r="G53" s="2">
        <v>2100.0</v>
      </c>
      <c r="H53" s="5">
        <v>46085.0</v>
      </c>
      <c r="I53" s="2" t="s">
        <v>14</v>
      </c>
      <c r="L53" s="11"/>
      <c r="M53" s="2"/>
      <c r="N53" s="11"/>
    </row>
    <row r="54" ht="22.5" hidden="1" customHeight="1">
      <c r="A54" s="2" t="s">
        <v>55</v>
      </c>
      <c r="B54" s="2" t="s">
        <v>45</v>
      </c>
      <c r="C54" s="2">
        <v>7859.0</v>
      </c>
      <c r="D54" s="8" t="s">
        <v>46</v>
      </c>
      <c r="E54" s="9" t="s">
        <v>16</v>
      </c>
      <c r="F54" s="2">
        <v>1.0</v>
      </c>
      <c r="G54" s="2">
        <v>2100.0</v>
      </c>
      <c r="H54" s="5">
        <v>46085.0</v>
      </c>
      <c r="I54" s="2" t="s">
        <v>14</v>
      </c>
      <c r="L54" s="11"/>
      <c r="M54" s="2"/>
      <c r="N54" s="11"/>
    </row>
    <row r="55" ht="22.5" hidden="1" customHeight="1">
      <c r="A55" s="2" t="s">
        <v>56</v>
      </c>
      <c r="B55" s="2" t="s">
        <v>57</v>
      </c>
      <c r="C55" s="2">
        <v>8865.0</v>
      </c>
      <c r="D55" s="8" t="s">
        <v>22</v>
      </c>
      <c r="E55" s="9" t="s">
        <v>58</v>
      </c>
      <c r="F55" s="2">
        <v>1.0</v>
      </c>
      <c r="G55" s="2">
        <v>2500.0</v>
      </c>
      <c r="H55" s="5">
        <v>46085.0</v>
      </c>
      <c r="I55" s="2" t="s">
        <v>14</v>
      </c>
      <c r="J55" s="12" t="s">
        <v>59</v>
      </c>
      <c r="L55" s="11"/>
      <c r="M55" s="2"/>
      <c r="N55" s="11"/>
    </row>
    <row r="56" ht="22.5" hidden="1" customHeight="1">
      <c r="A56" s="2" t="s">
        <v>60</v>
      </c>
      <c r="B56" s="2" t="s">
        <v>57</v>
      </c>
      <c r="C56" s="2">
        <v>8865.0</v>
      </c>
      <c r="D56" s="8" t="s">
        <v>22</v>
      </c>
      <c r="E56" s="9" t="s">
        <v>58</v>
      </c>
      <c r="F56" s="2">
        <v>1.0</v>
      </c>
      <c r="G56" s="2">
        <v>2500.0</v>
      </c>
      <c r="H56" s="5">
        <v>46085.0</v>
      </c>
      <c r="I56" s="2" t="s">
        <v>14</v>
      </c>
      <c r="L56" s="11"/>
      <c r="M56" s="2"/>
      <c r="N56" s="11"/>
    </row>
    <row r="57" ht="22.5" hidden="1" customHeight="1">
      <c r="A57" s="2" t="s">
        <v>61</v>
      </c>
      <c r="B57" s="2" t="s">
        <v>57</v>
      </c>
      <c r="C57" s="2">
        <v>8865.0</v>
      </c>
      <c r="D57" s="8" t="s">
        <v>22</v>
      </c>
      <c r="E57" s="9" t="s">
        <v>58</v>
      </c>
      <c r="F57" s="2">
        <v>1.0</v>
      </c>
      <c r="G57" s="2">
        <v>2500.0</v>
      </c>
      <c r="H57" s="5">
        <v>46085.0</v>
      </c>
      <c r="I57" s="2" t="s">
        <v>14</v>
      </c>
      <c r="L57" s="11"/>
      <c r="M57" s="2"/>
      <c r="N57" s="11"/>
    </row>
    <row r="58" ht="22.5" hidden="1" customHeight="1">
      <c r="A58" s="2" t="s">
        <v>62</v>
      </c>
      <c r="B58" s="2" t="s">
        <v>57</v>
      </c>
      <c r="C58" s="2">
        <v>8865.0</v>
      </c>
      <c r="D58" s="8" t="s">
        <v>22</v>
      </c>
      <c r="E58" s="9" t="s">
        <v>58</v>
      </c>
      <c r="F58" s="2">
        <v>1.0</v>
      </c>
      <c r="G58" s="2">
        <v>2500.0</v>
      </c>
      <c r="H58" s="5">
        <v>46085.0</v>
      </c>
      <c r="I58" s="2" t="s">
        <v>14</v>
      </c>
      <c r="L58" s="11"/>
      <c r="M58" s="2"/>
      <c r="N58" s="11"/>
    </row>
    <row r="59" ht="22.5" hidden="1" customHeight="1">
      <c r="A59" s="2" t="s">
        <v>55</v>
      </c>
      <c r="B59" s="2" t="s">
        <v>57</v>
      </c>
      <c r="C59" s="2">
        <v>8865.0</v>
      </c>
      <c r="D59" s="8" t="s">
        <v>12</v>
      </c>
      <c r="E59" s="9" t="s">
        <v>58</v>
      </c>
      <c r="F59" s="2">
        <v>1.0</v>
      </c>
      <c r="G59" s="2">
        <v>2500.0</v>
      </c>
      <c r="H59" s="5">
        <v>46085.0</v>
      </c>
      <c r="I59" s="2" t="s">
        <v>14</v>
      </c>
      <c r="L59" s="11"/>
      <c r="M59" s="2"/>
      <c r="N59" s="11"/>
    </row>
    <row r="60" ht="22.5" hidden="1" customHeight="1">
      <c r="A60" s="2" t="s">
        <v>63</v>
      </c>
      <c r="B60" s="2" t="s">
        <v>57</v>
      </c>
      <c r="C60" s="2">
        <v>8865.0</v>
      </c>
      <c r="D60" s="8" t="s">
        <v>22</v>
      </c>
      <c r="E60" s="9" t="s">
        <v>58</v>
      </c>
      <c r="F60" s="2">
        <v>1.0</v>
      </c>
      <c r="G60" s="2">
        <v>2500.0</v>
      </c>
      <c r="H60" s="5">
        <v>46085.0</v>
      </c>
      <c r="I60" s="2" t="s">
        <v>14</v>
      </c>
      <c r="L60" s="11"/>
      <c r="M60" s="2"/>
      <c r="N60" s="11"/>
    </row>
    <row r="61" ht="22.5" hidden="1" customHeight="1">
      <c r="A61" s="2" t="s">
        <v>64</v>
      </c>
      <c r="B61" s="2" t="s">
        <v>57</v>
      </c>
      <c r="C61" s="2">
        <v>8865.0</v>
      </c>
      <c r="D61" s="8" t="s">
        <v>12</v>
      </c>
      <c r="E61" s="9" t="s">
        <v>58</v>
      </c>
      <c r="F61" s="2">
        <v>1.0</v>
      </c>
      <c r="G61" s="2">
        <v>2500.0</v>
      </c>
      <c r="H61" s="5">
        <v>46085.0</v>
      </c>
      <c r="I61" s="2" t="s">
        <v>14</v>
      </c>
      <c r="L61" s="11"/>
      <c r="M61" s="2"/>
      <c r="N61" s="11"/>
    </row>
    <row r="62" ht="22.5" hidden="1" customHeight="1">
      <c r="A62" s="2" t="s">
        <v>65</v>
      </c>
      <c r="B62" s="2" t="s">
        <v>57</v>
      </c>
      <c r="C62" s="2">
        <v>8865.0</v>
      </c>
      <c r="D62" s="8" t="s">
        <v>12</v>
      </c>
      <c r="E62" s="9" t="s">
        <v>58</v>
      </c>
      <c r="F62" s="2">
        <v>2.0</v>
      </c>
      <c r="G62" s="2">
        <v>2500.0</v>
      </c>
      <c r="H62" s="5">
        <v>46085.0</v>
      </c>
      <c r="I62" s="2" t="s">
        <v>14</v>
      </c>
      <c r="L62" s="11"/>
      <c r="M62" s="2"/>
      <c r="N62" s="11"/>
    </row>
    <row r="63" ht="22.5" hidden="1" customHeight="1">
      <c r="A63" s="2" t="s">
        <v>66</v>
      </c>
      <c r="B63" s="2" t="s">
        <v>57</v>
      </c>
      <c r="C63" s="2">
        <v>8865.0</v>
      </c>
      <c r="D63" s="8" t="s">
        <v>12</v>
      </c>
      <c r="E63" s="9" t="s">
        <v>58</v>
      </c>
      <c r="F63" s="2">
        <v>1.0</v>
      </c>
      <c r="G63" s="2">
        <v>2500.0</v>
      </c>
      <c r="H63" s="5">
        <v>46085.0</v>
      </c>
      <c r="I63" s="2" t="s">
        <v>14</v>
      </c>
      <c r="J63" s="12" t="s">
        <v>67</v>
      </c>
      <c r="L63" s="11"/>
      <c r="M63" s="2"/>
      <c r="N63" s="11"/>
    </row>
    <row r="64" ht="22.5" hidden="1" customHeight="1">
      <c r="A64" s="2" t="s">
        <v>68</v>
      </c>
      <c r="B64" s="2" t="s">
        <v>57</v>
      </c>
      <c r="C64" s="2">
        <v>8865.0</v>
      </c>
      <c r="D64" s="8" t="s">
        <v>12</v>
      </c>
      <c r="E64" s="9" t="s">
        <v>58</v>
      </c>
      <c r="F64" s="2">
        <v>1.0</v>
      </c>
      <c r="G64" s="2">
        <v>2500.0</v>
      </c>
      <c r="H64" s="5">
        <v>46085.0</v>
      </c>
      <c r="I64" s="2" t="s">
        <v>14</v>
      </c>
      <c r="L64" s="11"/>
      <c r="M64" s="2"/>
      <c r="N64" s="11"/>
    </row>
    <row r="65" ht="22.5" hidden="1" customHeight="1">
      <c r="A65" s="2" t="s">
        <v>69</v>
      </c>
      <c r="B65" s="2" t="s">
        <v>57</v>
      </c>
      <c r="C65" s="2">
        <v>8865.0</v>
      </c>
      <c r="D65" s="8" t="s">
        <v>22</v>
      </c>
      <c r="E65" s="9" t="s">
        <v>58</v>
      </c>
      <c r="F65" s="2">
        <v>1.0</v>
      </c>
      <c r="G65" s="2">
        <v>2500.0</v>
      </c>
      <c r="H65" s="5">
        <v>46085.0</v>
      </c>
      <c r="I65" s="2" t="s">
        <v>14</v>
      </c>
      <c r="J65" s="12" t="s">
        <v>70</v>
      </c>
      <c r="L65" s="11"/>
      <c r="M65" s="2"/>
      <c r="N65" s="11"/>
    </row>
    <row r="66" ht="22.5" hidden="1" customHeight="1">
      <c r="A66" s="2" t="s">
        <v>71</v>
      </c>
      <c r="B66" s="2" t="s">
        <v>57</v>
      </c>
      <c r="C66" s="2">
        <v>8865.0</v>
      </c>
      <c r="D66" s="8" t="s">
        <v>22</v>
      </c>
      <c r="E66" s="9" t="s">
        <v>58</v>
      </c>
      <c r="F66" s="2">
        <v>1.0</v>
      </c>
      <c r="G66" s="2">
        <v>2500.0</v>
      </c>
      <c r="H66" s="5">
        <v>46085.0</v>
      </c>
      <c r="I66" s="2" t="s">
        <v>14</v>
      </c>
      <c r="L66" s="11"/>
      <c r="M66" s="2"/>
      <c r="N66" s="11"/>
    </row>
    <row r="67" ht="22.5" hidden="1" customHeight="1">
      <c r="A67" s="2" t="s">
        <v>72</v>
      </c>
      <c r="B67" s="2" t="s">
        <v>57</v>
      </c>
      <c r="C67" s="2">
        <v>8865.0</v>
      </c>
      <c r="D67" s="8" t="s">
        <v>12</v>
      </c>
      <c r="E67" s="9" t="s">
        <v>58</v>
      </c>
      <c r="F67" s="2">
        <v>1.0</v>
      </c>
      <c r="G67" s="2">
        <v>2500.0</v>
      </c>
      <c r="H67" s="5">
        <v>46085.0</v>
      </c>
      <c r="I67" s="2" t="s">
        <v>14</v>
      </c>
      <c r="L67" s="11"/>
      <c r="M67" s="2"/>
      <c r="N67" s="11"/>
    </row>
    <row r="68" ht="22.5" hidden="1" customHeight="1">
      <c r="A68" s="2" t="s">
        <v>73</v>
      </c>
      <c r="B68" s="2" t="s">
        <v>57</v>
      </c>
      <c r="C68" s="2">
        <v>8865.0</v>
      </c>
      <c r="D68" s="8" t="s">
        <v>22</v>
      </c>
      <c r="E68" s="9" t="s">
        <v>58</v>
      </c>
      <c r="F68" s="2">
        <v>1.0</v>
      </c>
      <c r="G68" s="2">
        <v>2500.0</v>
      </c>
      <c r="H68" s="5">
        <v>46085.0</v>
      </c>
      <c r="I68" s="2" t="s">
        <v>14</v>
      </c>
      <c r="L68" s="11"/>
      <c r="M68" s="2"/>
      <c r="N68" s="11"/>
    </row>
    <row r="69" ht="22.5" hidden="1" customHeight="1">
      <c r="A69" s="2" t="s">
        <v>74</v>
      </c>
      <c r="B69" s="2" t="s">
        <v>57</v>
      </c>
      <c r="C69" s="2">
        <v>8865.0</v>
      </c>
      <c r="D69" s="8" t="s">
        <v>75</v>
      </c>
      <c r="E69" s="9" t="s">
        <v>58</v>
      </c>
      <c r="F69" s="2">
        <v>1.0</v>
      </c>
      <c r="G69" s="2">
        <v>2500.0</v>
      </c>
      <c r="H69" s="5">
        <v>46085.0</v>
      </c>
      <c r="I69" s="2" t="s">
        <v>14</v>
      </c>
      <c r="L69" s="11"/>
      <c r="M69" s="2"/>
      <c r="N69" s="11"/>
    </row>
    <row r="70" ht="22.5" hidden="1" customHeight="1">
      <c r="A70" s="2" t="s">
        <v>76</v>
      </c>
      <c r="B70" s="2" t="s">
        <v>57</v>
      </c>
      <c r="C70" s="2">
        <v>8865.0</v>
      </c>
      <c r="D70" s="8" t="s">
        <v>12</v>
      </c>
      <c r="E70" s="9" t="s">
        <v>58</v>
      </c>
      <c r="F70" s="2">
        <v>1.0</v>
      </c>
      <c r="G70" s="2">
        <v>2500.0</v>
      </c>
      <c r="H70" s="5">
        <v>46085.0</v>
      </c>
      <c r="I70" s="2" t="s">
        <v>14</v>
      </c>
      <c r="L70" s="11"/>
      <c r="M70" s="2"/>
      <c r="N70" s="11"/>
    </row>
    <row r="71" ht="22.5" hidden="1" customHeight="1">
      <c r="A71" s="2" t="s">
        <v>77</v>
      </c>
      <c r="B71" s="2" t="s">
        <v>57</v>
      </c>
      <c r="C71" s="2">
        <v>8865.0</v>
      </c>
      <c r="D71" s="8" t="s">
        <v>12</v>
      </c>
      <c r="E71" s="9" t="s">
        <v>58</v>
      </c>
      <c r="F71" s="2">
        <v>1.0</v>
      </c>
      <c r="G71" s="2">
        <v>2500.0</v>
      </c>
      <c r="H71" s="5">
        <v>46085.0</v>
      </c>
      <c r="I71" s="2" t="s">
        <v>14</v>
      </c>
      <c r="L71" s="11"/>
      <c r="M71" s="2"/>
      <c r="N71" s="11"/>
    </row>
    <row r="72" ht="22.5" hidden="1" customHeight="1">
      <c r="A72" s="2" t="s">
        <v>78</v>
      </c>
      <c r="B72" s="2" t="s">
        <v>57</v>
      </c>
      <c r="C72" s="2">
        <v>8865.0</v>
      </c>
      <c r="D72" s="8" t="s">
        <v>12</v>
      </c>
      <c r="E72" s="9" t="s">
        <v>58</v>
      </c>
      <c r="F72" s="2">
        <v>1.0</v>
      </c>
      <c r="G72" s="2">
        <v>2500.0</v>
      </c>
      <c r="H72" s="5">
        <v>46085.0</v>
      </c>
      <c r="I72" s="2" t="s">
        <v>14</v>
      </c>
      <c r="L72" s="11"/>
      <c r="M72" s="2"/>
      <c r="N72" s="11"/>
    </row>
    <row r="73" ht="22.5" hidden="1" customHeight="1">
      <c r="A73" s="2" t="s">
        <v>79</v>
      </c>
      <c r="B73" s="2" t="s">
        <v>57</v>
      </c>
      <c r="C73" s="2">
        <v>8865.0</v>
      </c>
      <c r="D73" s="8" t="s">
        <v>12</v>
      </c>
      <c r="E73" s="9" t="s">
        <v>58</v>
      </c>
      <c r="F73" s="2">
        <v>1.0</v>
      </c>
      <c r="G73" s="2">
        <v>2500.0</v>
      </c>
      <c r="H73" s="5">
        <v>46085.0</v>
      </c>
      <c r="I73" s="2" t="s">
        <v>14</v>
      </c>
      <c r="J73" s="2"/>
      <c r="L73" s="11"/>
      <c r="M73" s="2"/>
      <c r="N73" s="11"/>
    </row>
    <row r="74" ht="22.5" hidden="1" customHeight="1">
      <c r="A74" s="2" t="s">
        <v>80</v>
      </c>
      <c r="B74" s="2" t="s">
        <v>57</v>
      </c>
      <c r="C74" s="2">
        <v>8865.0</v>
      </c>
      <c r="D74" s="8" t="s">
        <v>22</v>
      </c>
      <c r="E74" s="9" t="s">
        <v>58</v>
      </c>
      <c r="F74" s="2">
        <v>1.0</v>
      </c>
      <c r="G74" s="2">
        <v>2500.0</v>
      </c>
      <c r="H74" s="5">
        <v>46085.0</v>
      </c>
      <c r="I74" s="2" t="s">
        <v>14</v>
      </c>
      <c r="J74" s="12" t="s">
        <v>81</v>
      </c>
      <c r="L74" s="11"/>
      <c r="M74" s="2"/>
      <c r="N74" s="11"/>
    </row>
    <row r="75" ht="22.5" hidden="1" customHeight="1">
      <c r="A75" s="2" t="s">
        <v>82</v>
      </c>
      <c r="B75" s="2" t="s">
        <v>83</v>
      </c>
      <c r="C75" s="2">
        <v>7739.0</v>
      </c>
      <c r="D75" s="8" t="s">
        <v>12</v>
      </c>
      <c r="E75" s="9" t="s">
        <v>26</v>
      </c>
      <c r="F75" s="2">
        <v>1.0</v>
      </c>
      <c r="G75" s="2">
        <v>1800.0</v>
      </c>
      <c r="H75" s="5">
        <v>46085.0</v>
      </c>
      <c r="I75" s="2" t="s">
        <v>14</v>
      </c>
      <c r="L75" s="11"/>
      <c r="M75" s="2"/>
      <c r="N75" s="11"/>
    </row>
    <row r="76" ht="22.5" hidden="1" customHeight="1">
      <c r="A76" s="2" t="s">
        <v>84</v>
      </c>
      <c r="B76" s="2" t="s">
        <v>83</v>
      </c>
      <c r="C76" s="2">
        <v>7739.0</v>
      </c>
      <c r="D76" s="8" t="s">
        <v>22</v>
      </c>
      <c r="E76" s="9" t="s">
        <v>26</v>
      </c>
      <c r="F76" s="2">
        <v>1.0</v>
      </c>
      <c r="G76" s="2">
        <v>1800.0</v>
      </c>
      <c r="H76" s="5">
        <v>46085.0</v>
      </c>
      <c r="I76" s="2" t="s">
        <v>14</v>
      </c>
      <c r="L76" s="11"/>
      <c r="M76" s="2"/>
      <c r="N76" s="11"/>
    </row>
    <row r="77" ht="22.5" hidden="1" customHeight="1">
      <c r="A77" s="2" t="s">
        <v>85</v>
      </c>
      <c r="B77" s="2" t="s">
        <v>83</v>
      </c>
      <c r="C77" s="2">
        <v>7739.0</v>
      </c>
      <c r="D77" s="8" t="s">
        <v>22</v>
      </c>
      <c r="E77" s="9" t="s">
        <v>26</v>
      </c>
      <c r="F77" s="2">
        <v>1.0</v>
      </c>
      <c r="G77" s="2">
        <v>1800.0</v>
      </c>
      <c r="H77" s="5">
        <v>46085.0</v>
      </c>
      <c r="I77" s="2" t="s">
        <v>14</v>
      </c>
      <c r="L77" s="11"/>
      <c r="M77" s="2"/>
      <c r="N77" s="11"/>
    </row>
    <row r="78" ht="22.5" hidden="1" customHeight="1">
      <c r="A78" s="2" t="s">
        <v>53</v>
      </c>
      <c r="B78" s="2" t="s">
        <v>83</v>
      </c>
      <c r="C78" s="2">
        <v>7739.0</v>
      </c>
      <c r="D78" s="8" t="s">
        <v>12</v>
      </c>
      <c r="E78" s="9" t="s">
        <v>26</v>
      </c>
      <c r="F78" s="2">
        <v>1.0</v>
      </c>
      <c r="G78" s="2">
        <v>1800.0</v>
      </c>
      <c r="H78" s="5">
        <v>46085.0</v>
      </c>
      <c r="I78" s="2" t="s">
        <v>14</v>
      </c>
      <c r="L78" s="11"/>
      <c r="M78" s="2"/>
      <c r="N78" s="11"/>
    </row>
    <row r="79" ht="22.5" hidden="1" customHeight="1">
      <c r="A79" s="2" t="s">
        <v>86</v>
      </c>
      <c r="B79" s="2" t="s">
        <v>83</v>
      </c>
      <c r="C79" s="2">
        <v>7739.0</v>
      </c>
      <c r="D79" s="8" t="s">
        <v>12</v>
      </c>
      <c r="E79" s="9" t="s">
        <v>26</v>
      </c>
      <c r="F79" s="2">
        <v>1.0</v>
      </c>
      <c r="G79" s="2">
        <v>1800.0</v>
      </c>
      <c r="H79" s="5">
        <v>46085.0</v>
      </c>
      <c r="I79" s="2" t="s">
        <v>14</v>
      </c>
      <c r="L79" s="11"/>
      <c r="M79" s="2"/>
      <c r="N79" s="11"/>
    </row>
    <row r="80" ht="22.5" hidden="1" customHeight="1">
      <c r="A80" s="2" t="s">
        <v>86</v>
      </c>
      <c r="B80" s="2" t="s">
        <v>83</v>
      </c>
      <c r="C80" s="2">
        <v>7739.0</v>
      </c>
      <c r="D80" s="8" t="s">
        <v>12</v>
      </c>
      <c r="E80" s="9" t="s">
        <v>18</v>
      </c>
      <c r="F80" s="2">
        <v>1.0</v>
      </c>
      <c r="G80" s="2">
        <v>1800.0</v>
      </c>
      <c r="H80" s="5">
        <v>46085.0</v>
      </c>
      <c r="I80" s="2" t="s">
        <v>24</v>
      </c>
      <c r="L80" s="11"/>
      <c r="M80" s="2"/>
      <c r="N80" s="11"/>
    </row>
    <row r="81" ht="22.5" hidden="1" customHeight="1">
      <c r="A81" s="2" t="s">
        <v>87</v>
      </c>
      <c r="B81" s="2" t="s">
        <v>83</v>
      </c>
      <c r="C81" s="2">
        <v>7739.0</v>
      </c>
      <c r="D81" s="8" t="s">
        <v>22</v>
      </c>
      <c r="E81" s="9" t="s">
        <v>26</v>
      </c>
      <c r="F81" s="2">
        <v>1.0</v>
      </c>
      <c r="G81" s="2">
        <v>1800.0</v>
      </c>
      <c r="H81" s="5">
        <v>46085.0</v>
      </c>
      <c r="I81" s="2" t="s">
        <v>14</v>
      </c>
      <c r="L81" s="11"/>
      <c r="M81" s="2"/>
      <c r="N81" s="11"/>
    </row>
    <row r="82" ht="22.5" hidden="1" customHeight="1">
      <c r="A82" s="2" t="s">
        <v>88</v>
      </c>
      <c r="B82" s="2" t="s">
        <v>89</v>
      </c>
      <c r="C82" s="2">
        <v>7322.0</v>
      </c>
      <c r="D82" s="8" t="s">
        <v>12</v>
      </c>
      <c r="E82" s="9" t="s">
        <v>58</v>
      </c>
      <c r="F82" s="2">
        <v>1.0</v>
      </c>
      <c r="G82" s="2">
        <v>2100.0</v>
      </c>
      <c r="H82" s="5">
        <v>46085.0</v>
      </c>
      <c r="I82" s="2" t="s">
        <v>14</v>
      </c>
      <c r="L82" s="11"/>
      <c r="M82" s="2"/>
      <c r="N82" s="11"/>
    </row>
    <row r="83" ht="22.5" hidden="1" customHeight="1">
      <c r="A83" s="2" t="s">
        <v>49</v>
      </c>
      <c r="B83" s="2" t="s">
        <v>89</v>
      </c>
      <c r="C83" s="2">
        <v>7322.0</v>
      </c>
      <c r="D83" s="8" t="s">
        <v>12</v>
      </c>
      <c r="E83" s="9" t="s">
        <v>58</v>
      </c>
      <c r="F83" s="2">
        <v>1.0</v>
      </c>
      <c r="G83" s="2">
        <v>2100.0</v>
      </c>
      <c r="H83" s="5">
        <v>46085.0</v>
      </c>
      <c r="I83" s="2" t="s">
        <v>14</v>
      </c>
      <c r="L83" s="11"/>
      <c r="M83" s="2"/>
      <c r="N83" s="11"/>
    </row>
    <row r="84" ht="22.5" hidden="1" customHeight="1">
      <c r="A84" s="2" t="s">
        <v>90</v>
      </c>
      <c r="B84" s="2" t="s">
        <v>89</v>
      </c>
      <c r="C84" s="2">
        <v>7322.0</v>
      </c>
      <c r="D84" s="8" t="s">
        <v>12</v>
      </c>
      <c r="E84" s="9" t="s">
        <v>58</v>
      </c>
      <c r="F84" s="2">
        <v>1.0</v>
      </c>
      <c r="G84" s="2">
        <v>2100.0</v>
      </c>
      <c r="H84" s="5">
        <v>46085.0</v>
      </c>
      <c r="I84" s="2" t="s">
        <v>14</v>
      </c>
      <c r="L84" s="11"/>
      <c r="M84" s="2"/>
      <c r="N84" s="11"/>
    </row>
    <row r="85" ht="22.5" hidden="1" customHeight="1">
      <c r="A85" s="2" t="s">
        <v>91</v>
      </c>
      <c r="B85" s="2" t="s">
        <v>89</v>
      </c>
      <c r="C85" s="2">
        <v>7322.0</v>
      </c>
      <c r="D85" s="8" t="s">
        <v>75</v>
      </c>
      <c r="E85" s="9" t="s">
        <v>58</v>
      </c>
      <c r="F85" s="2">
        <v>1.0</v>
      </c>
      <c r="G85" s="2">
        <v>2100.0</v>
      </c>
      <c r="H85" s="5">
        <v>46085.0</v>
      </c>
      <c r="I85" s="2" t="s">
        <v>14</v>
      </c>
      <c r="L85" s="11"/>
      <c r="M85" s="2"/>
      <c r="N85" s="11"/>
    </row>
    <row r="86" ht="22.5" hidden="1" customHeight="1">
      <c r="A86" s="2" t="s">
        <v>50</v>
      </c>
      <c r="B86" s="2" t="s">
        <v>89</v>
      </c>
      <c r="C86" s="2">
        <v>7322.0</v>
      </c>
      <c r="D86" s="8" t="s">
        <v>22</v>
      </c>
      <c r="E86" s="9" t="s">
        <v>58</v>
      </c>
      <c r="F86" s="2">
        <v>1.0</v>
      </c>
      <c r="G86" s="2">
        <v>2100.0</v>
      </c>
      <c r="H86" s="5">
        <v>46085.0</v>
      </c>
      <c r="I86" s="2" t="s">
        <v>14</v>
      </c>
      <c r="L86" s="11"/>
      <c r="M86" s="2"/>
      <c r="N86" s="11"/>
    </row>
    <row r="87" ht="22.5" hidden="1" customHeight="1">
      <c r="A87" s="2" t="s">
        <v>92</v>
      </c>
      <c r="B87" s="2" t="s">
        <v>89</v>
      </c>
      <c r="C87" s="2">
        <v>7322.0</v>
      </c>
      <c r="D87" s="8" t="s">
        <v>22</v>
      </c>
      <c r="E87" s="9" t="s">
        <v>58</v>
      </c>
      <c r="F87" s="2">
        <v>1.0</v>
      </c>
      <c r="G87" s="2">
        <v>2100.0</v>
      </c>
      <c r="H87" s="5">
        <v>46085.0</v>
      </c>
      <c r="I87" s="2" t="s">
        <v>14</v>
      </c>
      <c r="L87" s="11"/>
      <c r="M87" s="2"/>
      <c r="N87" s="11"/>
    </row>
    <row r="88" ht="22.5" hidden="1" customHeight="1">
      <c r="A88" s="2" t="s">
        <v>93</v>
      </c>
      <c r="B88" s="2" t="s">
        <v>89</v>
      </c>
      <c r="C88" s="2">
        <v>7322.0</v>
      </c>
      <c r="D88" s="8" t="s">
        <v>12</v>
      </c>
      <c r="E88" s="9" t="s">
        <v>58</v>
      </c>
      <c r="F88" s="2">
        <v>1.0</v>
      </c>
      <c r="G88" s="2">
        <v>2100.0</v>
      </c>
      <c r="H88" s="5">
        <v>46085.0</v>
      </c>
      <c r="I88" s="2" t="s">
        <v>14</v>
      </c>
      <c r="L88" s="11"/>
      <c r="M88" s="2"/>
      <c r="N88" s="11"/>
    </row>
    <row r="89" ht="22.5" hidden="1" customHeight="1">
      <c r="A89" s="2" t="s">
        <v>37</v>
      </c>
      <c r="B89" s="2" t="s">
        <v>89</v>
      </c>
      <c r="C89" s="2">
        <v>7322.0</v>
      </c>
      <c r="D89" s="8" t="s">
        <v>12</v>
      </c>
      <c r="E89" s="9" t="s">
        <v>58</v>
      </c>
      <c r="F89" s="2">
        <v>1.0</v>
      </c>
      <c r="G89" s="2">
        <v>2100.0</v>
      </c>
      <c r="H89" s="5">
        <v>46085.0</v>
      </c>
      <c r="I89" s="2" t="s">
        <v>14</v>
      </c>
      <c r="L89" s="11"/>
      <c r="M89" s="2"/>
      <c r="N89" s="11"/>
    </row>
    <row r="90" ht="22.5" hidden="1" customHeight="1">
      <c r="A90" s="2" t="s">
        <v>94</v>
      </c>
      <c r="B90" s="2" t="s">
        <v>89</v>
      </c>
      <c r="C90" s="2">
        <v>7322.0</v>
      </c>
      <c r="D90" s="8" t="s">
        <v>22</v>
      </c>
      <c r="E90" s="9" t="s">
        <v>58</v>
      </c>
      <c r="F90" s="2">
        <v>1.0</v>
      </c>
      <c r="G90" s="2">
        <v>2100.0</v>
      </c>
      <c r="H90" s="5">
        <v>46085.0</v>
      </c>
      <c r="I90" s="2" t="s">
        <v>14</v>
      </c>
      <c r="L90" s="11"/>
      <c r="M90" s="2"/>
      <c r="N90" s="11"/>
    </row>
    <row r="91" ht="22.5" hidden="1" customHeight="1">
      <c r="A91" s="2" t="s">
        <v>95</v>
      </c>
      <c r="B91" s="2" t="s">
        <v>89</v>
      </c>
      <c r="C91" s="2">
        <v>7322.0</v>
      </c>
      <c r="D91" s="8" t="s">
        <v>75</v>
      </c>
      <c r="E91" s="9" t="s">
        <v>58</v>
      </c>
      <c r="F91" s="2">
        <v>1.0</v>
      </c>
      <c r="G91" s="2">
        <v>2100.0</v>
      </c>
      <c r="H91" s="5">
        <v>46085.0</v>
      </c>
      <c r="I91" s="2" t="s">
        <v>14</v>
      </c>
      <c r="L91" s="11"/>
      <c r="M91" s="2"/>
      <c r="N91" s="11"/>
    </row>
    <row r="92" ht="22.5" hidden="1" customHeight="1">
      <c r="A92" s="2" t="s">
        <v>96</v>
      </c>
      <c r="B92" s="2" t="s">
        <v>97</v>
      </c>
      <c r="C92" s="2">
        <v>8748.0</v>
      </c>
      <c r="D92" s="8" t="s">
        <v>12</v>
      </c>
      <c r="E92" s="9" t="s">
        <v>58</v>
      </c>
      <c r="F92" s="2">
        <v>1.0</v>
      </c>
      <c r="G92" s="2">
        <v>1800.0</v>
      </c>
      <c r="H92" s="5">
        <v>46085.0</v>
      </c>
      <c r="I92" s="2" t="s">
        <v>14</v>
      </c>
      <c r="J92" s="12" t="s">
        <v>98</v>
      </c>
      <c r="L92" s="11"/>
      <c r="M92" s="2"/>
      <c r="N92" s="11"/>
    </row>
    <row r="93" ht="22.5" hidden="1" customHeight="1">
      <c r="A93" s="2" t="s">
        <v>99</v>
      </c>
      <c r="B93" s="2" t="s">
        <v>97</v>
      </c>
      <c r="C93" s="2">
        <v>8748.0</v>
      </c>
      <c r="D93" s="8" t="s">
        <v>12</v>
      </c>
      <c r="E93" s="9" t="s">
        <v>58</v>
      </c>
      <c r="F93" s="2">
        <v>1.0</v>
      </c>
      <c r="G93" s="2">
        <v>1800.0</v>
      </c>
      <c r="H93" s="5">
        <v>46085.0</v>
      </c>
      <c r="I93" s="2" t="s">
        <v>14</v>
      </c>
      <c r="L93" s="11"/>
      <c r="M93" s="2"/>
      <c r="N93" s="11"/>
    </row>
    <row r="94" ht="22.5" hidden="1" customHeight="1">
      <c r="A94" s="2" t="s">
        <v>84</v>
      </c>
      <c r="B94" s="2" t="s">
        <v>97</v>
      </c>
      <c r="C94" s="2">
        <v>8748.0</v>
      </c>
      <c r="D94" s="8" t="s">
        <v>22</v>
      </c>
      <c r="E94" s="9" t="s">
        <v>58</v>
      </c>
      <c r="F94" s="2">
        <v>1.0</v>
      </c>
      <c r="G94" s="2">
        <v>1800.0</v>
      </c>
      <c r="H94" s="5">
        <v>46085.0</v>
      </c>
      <c r="I94" s="2" t="s">
        <v>14</v>
      </c>
      <c r="L94" s="11"/>
      <c r="M94" s="2"/>
      <c r="N94" s="11"/>
    </row>
    <row r="95" ht="22.5" hidden="1" customHeight="1">
      <c r="A95" s="2" t="s">
        <v>48</v>
      </c>
      <c r="B95" s="2" t="s">
        <v>97</v>
      </c>
      <c r="C95" s="2">
        <v>8748.0</v>
      </c>
      <c r="D95" s="8" t="s">
        <v>12</v>
      </c>
      <c r="E95" s="9" t="s">
        <v>58</v>
      </c>
      <c r="F95" s="2">
        <v>1.0</v>
      </c>
      <c r="G95" s="2">
        <v>1800.0</v>
      </c>
      <c r="H95" s="5">
        <v>46085.0</v>
      </c>
      <c r="I95" s="2" t="s">
        <v>14</v>
      </c>
      <c r="L95" s="11"/>
      <c r="M95" s="2"/>
      <c r="N95" s="11"/>
    </row>
    <row r="96" ht="22.5" hidden="1" customHeight="1">
      <c r="A96" s="2" t="s">
        <v>100</v>
      </c>
      <c r="B96" s="2" t="s">
        <v>97</v>
      </c>
      <c r="C96" s="2">
        <v>8748.0</v>
      </c>
      <c r="D96" s="8" t="s">
        <v>22</v>
      </c>
      <c r="E96" s="9" t="s">
        <v>58</v>
      </c>
      <c r="F96" s="2">
        <v>1.0</v>
      </c>
      <c r="G96" s="2">
        <v>1800.0</v>
      </c>
      <c r="H96" s="5">
        <v>46085.0</v>
      </c>
      <c r="I96" s="2" t="s">
        <v>14</v>
      </c>
      <c r="L96" s="11"/>
      <c r="M96" s="2"/>
      <c r="N96" s="11"/>
    </row>
    <row r="97" ht="22.5" hidden="1" customHeight="1">
      <c r="A97" s="2" t="s">
        <v>101</v>
      </c>
      <c r="B97" s="2" t="s">
        <v>97</v>
      </c>
      <c r="C97" s="2">
        <v>8748.0</v>
      </c>
      <c r="D97" s="8" t="s">
        <v>12</v>
      </c>
      <c r="E97" s="9" t="s">
        <v>58</v>
      </c>
      <c r="F97" s="2">
        <v>1.0</v>
      </c>
      <c r="G97" s="2">
        <v>1800.0</v>
      </c>
      <c r="H97" s="5">
        <v>46085.0</v>
      </c>
      <c r="I97" s="2" t="s">
        <v>14</v>
      </c>
      <c r="L97" s="11"/>
      <c r="M97" s="2"/>
      <c r="N97" s="11"/>
    </row>
    <row r="98" ht="22.5" hidden="1" customHeight="1">
      <c r="A98" s="2" t="s">
        <v>102</v>
      </c>
      <c r="B98" s="2" t="s">
        <v>97</v>
      </c>
      <c r="C98" s="2">
        <v>8748.0</v>
      </c>
      <c r="D98" s="8" t="s">
        <v>22</v>
      </c>
      <c r="E98" s="9" t="s">
        <v>58</v>
      </c>
      <c r="F98" s="2">
        <v>1.0</v>
      </c>
      <c r="G98" s="2">
        <v>1800.0</v>
      </c>
      <c r="H98" s="5">
        <v>46085.0</v>
      </c>
      <c r="I98" s="2" t="s">
        <v>14</v>
      </c>
      <c r="L98" s="11"/>
      <c r="M98" s="2"/>
      <c r="N98" s="11"/>
    </row>
    <row r="99" ht="22.5" hidden="1" customHeight="1">
      <c r="A99" s="2" t="s">
        <v>103</v>
      </c>
      <c r="B99" s="2" t="s">
        <v>97</v>
      </c>
      <c r="C99" s="2">
        <v>8748.0</v>
      </c>
      <c r="D99" s="8" t="s">
        <v>12</v>
      </c>
      <c r="E99" s="9" t="s">
        <v>58</v>
      </c>
      <c r="F99" s="2">
        <v>1.0</v>
      </c>
      <c r="G99" s="2">
        <v>1800.0</v>
      </c>
      <c r="H99" s="5">
        <v>46085.0</v>
      </c>
      <c r="I99" s="2" t="s">
        <v>14</v>
      </c>
      <c r="L99" s="11"/>
      <c r="M99" s="2"/>
      <c r="N99" s="11"/>
    </row>
    <row r="100" ht="22.5" hidden="1" customHeight="1">
      <c r="A100" s="2" t="s">
        <v>104</v>
      </c>
      <c r="B100" s="2" t="s">
        <v>97</v>
      </c>
      <c r="C100" s="2">
        <v>8748.0</v>
      </c>
      <c r="D100" s="8" t="s">
        <v>12</v>
      </c>
      <c r="E100" s="9" t="s">
        <v>58</v>
      </c>
      <c r="F100" s="2">
        <v>1.0</v>
      </c>
      <c r="G100" s="2">
        <v>1800.0</v>
      </c>
      <c r="H100" s="5">
        <v>46085.0</v>
      </c>
      <c r="I100" s="2" t="s">
        <v>14</v>
      </c>
      <c r="L100" s="11"/>
      <c r="M100" s="2"/>
      <c r="N100" s="11"/>
    </row>
    <row r="101" ht="22.5" hidden="1" customHeight="1">
      <c r="A101" s="2" t="s">
        <v>49</v>
      </c>
      <c r="B101" s="2" t="s">
        <v>97</v>
      </c>
      <c r="C101" s="2">
        <v>8748.0</v>
      </c>
      <c r="D101" s="8" t="s">
        <v>12</v>
      </c>
      <c r="E101" s="9" t="s">
        <v>58</v>
      </c>
      <c r="F101" s="2">
        <v>1.0</v>
      </c>
      <c r="G101" s="2">
        <v>1800.0</v>
      </c>
      <c r="H101" s="5">
        <v>46085.0</v>
      </c>
      <c r="I101" s="2" t="s">
        <v>14</v>
      </c>
      <c r="L101" s="11"/>
      <c r="M101" s="2"/>
      <c r="N101" s="11"/>
    </row>
    <row r="102" ht="22.5" hidden="1" customHeight="1">
      <c r="A102" s="2" t="s">
        <v>105</v>
      </c>
      <c r="B102" s="2" t="s">
        <v>97</v>
      </c>
      <c r="C102" s="2">
        <v>8748.0</v>
      </c>
      <c r="D102" s="8" t="s">
        <v>75</v>
      </c>
      <c r="E102" s="9" t="s">
        <v>58</v>
      </c>
      <c r="F102" s="2">
        <v>1.0</v>
      </c>
      <c r="G102" s="2">
        <v>1800.0</v>
      </c>
      <c r="H102" s="5">
        <v>46085.0</v>
      </c>
      <c r="I102" s="2" t="s">
        <v>14</v>
      </c>
      <c r="L102" s="11"/>
      <c r="M102" s="2"/>
      <c r="N102" s="11"/>
    </row>
    <row r="103" ht="22.5" hidden="1" customHeight="1">
      <c r="A103" s="2" t="s">
        <v>106</v>
      </c>
      <c r="B103" s="2" t="s">
        <v>97</v>
      </c>
      <c r="C103" s="2">
        <v>8748.0</v>
      </c>
      <c r="D103" s="8" t="s">
        <v>22</v>
      </c>
      <c r="E103" s="9" t="s">
        <v>58</v>
      </c>
      <c r="F103" s="2">
        <v>1.0</v>
      </c>
      <c r="G103" s="2">
        <v>1800.0</v>
      </c>
      <c r="H103" s="5">
        <v>46085.0</v>
      </c>
      <c r="I103" s="2" t="s">
        <v>14</v>
      </c>
      <c r="L103" s="11"/>
      <c r="M103" s="2"/>
      <c r="N103" s="11"/>
    </row>
    <row r="104" ht="22.5" hidden="1" customHeight="1">
      <c r="A104" s="2" t="s">
        <v>107</v>
      </c>
      <c r="B104" s="2" t="s">
        <v>97</v>
      </c>
      <c r="C104" s="2">
        <v>8748.0</v>
      </c>
      <c r="D104" s="8" t="s">
        <v>12</v>
      </c>
      <c r="E104" s="9" t="s">
        <v>58</v>
      </c>
      <c r="F104" s="2">
        <v>1.0</v>
      </c>
      <c r="G104" s="2">
        <v>1800.0</v>
      </c>
      <c r="H104" s="5">
        <v>46085.0</v>
      </c>
      <c r="I104" s="2" t="s">
        <v>14</v>
      </c>
      <c r="L104" s="11"/>
      <c r="M104" s="2"/>
      <c r="N104" s="11"/>
    </row>
    <row r="105" ht="22.5" hidden="1" customHeight="1">
      <c r="A105" s="2" t="s">
        <v>108</v>
      </c>
      <c r="B105" s="2" t="s">
        <v>97</v>
      </c>
      <c r="C105" s="2">
        <v>8748.0</v>
      </c>
      <c r="D105" s="8" t="s">
        <v>12</v>
      </c>
      <c r="E105" s="9" t="s">
        <v>58</v>
      </c>
      <c r="F105" s="2">
        <v>1.0</v>
      </c>
      <c r="G105" s="2">
        <v>1800.0</v>
      </c>
      <c r="H105" s="5">
        <v>46085.0</v>
      </c>
      <c r="I105" s="2" t="s">
        <v>14</v>
      </c>
      <c r="L105" s="11"/>
      <c r="M105" s="2"/>
      <c r="N105" s="11"/>
    </row>
    <row r="106" ht="22.5" hidden="1" customHeight="1">
      <c r="A106" s="2" t="s">
        <v>39</v>
      </c>
      <c r="B106" s="2" t="s">
        <v>97</v>
      </c>
      <c r="C106" s="2">
        <v>8748.0</v>
      </c>
      <c r="D106" s="8" t="s">
        <v>22</v>
      </c>
      <c r="E106" s="9" t="s">
        <v>58</v>
      </c>
      <c r="F106" s="2">
        <v>1.0</v>
      </c>
      <c r="G106" s="2">
        <v>1800.0</v>
      </c>
      <c r="H106" s="5">
        <v>46085.0</v>
      </c>
      <c r="I106" s="2" t="s">
        <v>14</v>
      </c>
      <c r="L106" s="11"/>
      <c r="M106" s="2"/>
      <c r="N106" s="11"/>
    </row>
    <row r="107" ht="22.5" hidden="1" customHeight="1">
      <c r="A107" s="2" t="s">
        <v>109</v>
      </c>
      <c r="B107" s="2" t="s">
        <v>97</v>
      </c>
      <c r="C107" s="2">
        <v>8748.0</v>
      </c>
      <c r="D107" s="8" t="s">
        <v>22</v>
      </c>
      <c r="E107" s="9" t="s">
        <v>58</v>
      </c>
      <c r="F107" s="2">
        <v>1.0</v>
      </c>
      <c r="G107" s="2">
        <v>1800.0</v>
      </c>
      <c r="H107" s="5">
        <v>46085.0</v>
      </c>
      <c r="I107" s="2" t="s">
        <v>14</v>
      </c>
      <c r="L107" s="11"/>
      <c r="M107" s="2"/>
      <c r="N107" s="11"/>
    </row>
    <row r="108" ht="22.5" hidden="1" customHeight="1">
      <c r="A108" s="2" t="s">
        <v>110</v>
      </c>
      <c r="B108" s="2" t="s">
        <v>97</v>
      </c>
      <c r="C108" s="2">
        <v>8748.0</v>
      </c>
      <c r="D108" s="8" t="s">
        <v>22</v>
      </c>
      <c r="E108" s="9" t="s">
        <v>58</v>
      </c>
      <c r="F108" s="2">
        <v>1.0</v>
      </c>
      <c r="G108" s="2">
        <v>1800.0</v>
      </c>
      <c r="H108" s="5">
        <v>46085.0</v>
      </c>
      <c r="I108" s="2" t="s">
        <v>14</v>
      </c>
      <c r="L108" s="11"/>
      <c r="M108" s="2"/>
      <c r="N108" s="11"/>
    </row>
    <row r="109" ht="22.5" hidden="1" customHeight="1">
      <c r="A109" s="2" t="s">
        <v>91</v>
      </c>
      <c r="B109" s="2" t="s">
        <v>97</v>
      </c>
      <c r="C109" s="2">
        <v>8748.0</v>
      </c>
      <c r="D109" s="8" t="s">
        <v>75</v>
      </c>
      <c r="E109" s="9" t="s">
        <v>58</v>
      </c>
      <c r="F109" s="2">
        <v>1.0</v>
      </c>
      <c r="G109" s="2">
        <v>1800.0</v>
      </c>
      <c r="H109" s="5">
        <v>46085.0</v>
      </c>
      <c r="I109" s="2" t="s">
        <v>14</v>
      </c>
      <c r="L109" s="11"/>
      <c r="M109" s="2"/>
      <c r="N109" s="11"/>
    </row>
    <row r="110" ht="22.5" hidden="1" customHeight="1">
      <c r="A110" s="2" t="s">
        <v>111</v>
      </c>
      <c r="B110" s="2" t="s">
        <v>97</v>
      </c>
      <c r="C110" s="2">
        <v>8748.0</v>
      </c>
      <c r="D110" s="8" t="s">
        <v>22</v>
      </c>
      <c r="E110" s="9" t="s">
        <v>58</v>
      </c>
      <c r="F110" s="2">
        <v>1.0</v>
      </c>
      <c r="G110" s="2">
        <v>1800.0</v>
      </c>
      <c r="H110" s="5">
        <v>46085.0</v>
      </c>
      <c r="I110" s="2" t="s">
        <v>14</v>
      </c>
      <c r="L110" s="11"/>
      <c r="M110" s="2"/>
      <c r="N110" s="11"/>
    </row>
    <row r="111" ht="22.5" hidden="1" customHeight="1">
      <c r="A111" s="2" t="s">
        <v>112</v>
      </c>
      <c r="B111" s="2" t="s">
        <v>97</v>
      </c>
      <c r="C111" s="2">
        <v>8748.0</v>
      </c>
      <c r="D111" s="8" t="s">
        <v>22</v>
      </c>
      <c r="E111" s="9" t="s">
        <v>58</v>
      </c>
      <c r="F111" s="2">
        <v>1.0</v>
      </c>
      <c r="G111" s="2">
        <v>1800.0</v>
      </c>
      <c r="H111" s="5">
        <v>46085.0</v>
      </c>
      <c r="I111" s="2" t="s">
        <v>14</v>
      </c>
      <c r="L111" s="11"/>
      <c r="M111" s="2"/>
      <c r="N111" s="11"/>
    </row>
    <row r="112" ht="22.5" hidden="1" customHeight="1">
      <c r="A112" s="2" t="s">
        <v>113</v>
      </c>
      <c r="B112" s="2" t="s">
        <v>97</v>
      </c>
      <c r="C112" s="2">
        <v>8748.0</v>
      </c>
      <c r="D112" s="8" t="s">
        <v>22</v>
      </c>
      <c r="E112" s="9" t="s">
        <v>58</v>
      </c>
      <c r="F112" s="2">
        <v>1.0</v>
      </c>
      <c r="G112" s="2">
        <v>1800.0</v>
      </c>
      <c r="H112" s="5">
        <v>46085.0</v>
      </c>
      <c r="I112" s="2" t="s">
        <v>14</v>
      </c>
      <c r="L112" s="11"/>
      <c r="M112" s="2"/>
      <c r="N112" s="11"/>
    </row>
    <row r="113" ht="22.5" hidden="1" customHeight="1">
      <c r="A113" s="2" t="s">
        <v>114</v>
      </c>
      <c r="B113" s="2" t="s">
        <v>97</v>
      </c>
      <c r="C113" s="2">
        <v>8748.0</v>
      </c>
      <c r="D113" s="8" t="s">
        <v>22</v>
      </c>
      <c r="E113" s="9" t="s">
        <v>58</v>
      </c>
      <c r="F113" s="2">
        <v>1.0</v>
      </c>
      <c r="G113" s="2">
        <v>1800.0</v>
      </c>
      <c r="H113" s="5">
        <v>46085.0</v>
      </c>
      <c r="I113" s="2" t="s">
        <v>14</v>
      </c>
      <c r="L113" s="11"/>
      <c r="M113" s="2"/>
      <c r="N113" s="11"/>
    </row>
    <row r="114" ht="22.5" hidden="1" customHeight="1">
      <c r="A114" s="2" t="s">
        <v>115</v>
      </c>
      <c r="B114" s="2" t="s">
        <v>97</v>
      </c>
      <c r="C114" s="2">
        <v>8748.0</v>
      </c>
      <c r="D114" s="8" t="s">
        <v>12</v>
      </c>
      <c r="E114" s="9" t="s">
        <v>58</v>
      </c>
      <c r="F114" s="2">
        <v>1.0</v>
      </c>
      <c r="G114" s="2">
        <v>1800.0</v>
      </c>
      <c r="H114" s="5">
        <v>46085.0</v>
      </c>
      <c r="I114" s="2" t="s">
        <v>14</v>
      </c>
      <c r="L114" s="11"/>
      <c r="M114" s="2"/>
      <c r="N114" s="11"/>
    </row>
    <row r="115" ht="22.5" hidden="1" customHeight="1">
      <c r="A115" s="2" t="s">
        <v>116</v>
      </c>
      <c r="B115" s="2" t="s">
        <v>97</v>
      </c>
      <c r="C115" s="2">
        <v>8748.0</v>
      </c>
      <c r="D115" s="8" t="s">
        <v>22</v>
      </c>
      <c r="E115" s="9" t="s">
        <v>58</v>
      </c>
      <c r="F115" s="2">
        <v>1.0</v>
      </c>
      <c r="G115" s="2">
        <v>1800.0</v>
      </c>
      <c r="H115" s="5">
        <v>46085.0</v>
      </c>
      <c r="I115" s="2" t="s">
        <v>14</v>
      </c>
      <c r="L115" s="11"/>
      <c r="M115" s="2"/>
      <c r="N115" s="11"/>
    </row>
    <row r="116" ht="22.5" hidden="1" customHeight="1">
      <c r="A116" s="2" t="s">
        <v>117</v>
      </c>
      <c r="B116" s="2" t="s">
        <v>97</v>
      </c>
      <c r="C116" s="2">
        <v>8748.0</v>
      </c>
      <c r="D116" s="8" t="s">
        <v>12</v>
      </c>
      <c r="E116" s="9" t="s">
        <v>58</v>
      </c>
      <c r="F116" s="2">
        <v>1.0</v>
      </c>
      <c r="G116" s="2">
        <v>1800.0</v>
      </c>
      <c r="H116" s="5">
        <v>46085.0</v>
      </c>
      <c r="I116" s="2" t="s">
        <v>14</v>
      </c>
      <c r="L116" s="11"/>
      <c r="M116" s="2"/>
      <c r="N116" s="11"/>
    </row>
    <row r="117" ht="22.5" hidden="1" customHeight="1">
      <c r="A117" s="2" t="s">
        <v>118</v>
      </c>
      <c r="B117" s="2" t="s">
        <v>97</v>
      </c>
      <c r="C117" s="2">
        <v>8748.0</v>
      </c>
      <c r="D117" s="8" t="s">
        <v>22</v>
      </c>
      <c r="E117" s="9" t="s">
        <v>58</v>
      </c>
      <c r="F117" s="2">
        <v>1.0</v>
      </c>
      <c r="G117" s="2">
        <v>1800.0</v>
      </c>
      <c r="H117" s="5">
        <v>46085.0</v>
      </c>
      <c r="I117" s="2" t="s">
        <v>14</v>
      </c>
      <c r="J117" s="12" t="s">
        <v>119</v>
      </c>
      <c r="L117" s="11"/>
      <c r="M117" s="2"/>
      <c r="N117" s="11"/>
    </row>
    <row r="118" ht="22.5" hidden="1" customHeight="1">
      <c r="A118" s="2" t="s">
        <v>120</v>
      </c>
      <c r="B118" s="2" t="s">
        <v>97</v>
      </c>
      <c r="C118" s="2">
        <v>8748.0</v>
      </c>
      <c r="D118" s="8" t="s">
        <v>22</v>
      </c>
      <c r="E118" s="9" t="s">
        <v>58</v>
      </c>
      <c r="F118" s="2">
        <v>1.0</v>
      </c>
      <c r="G118" s="2">
        <v>1800.0</v>
      </c>
      <c r="H118" s="5">
        <v>46085.0</v>
      </c>
      <c r="I118" s="2" t="s">
        <v>14</v>
      </c>
      <c r="L118" s="11"/>
      <c r="M118" s="2"/>
      <c r="N118" s="11"/>
    </row>
    <row r="119" ht="22.5" hidden="1" customHeight="1">
      <c r="A119" s="2" t="s">
        <v>64</v>
      </c>
      <c r="B119" s="2" t="s">
        <v>97</v>
      </c>
      <c r="C119" s="2">
        <v>8748.0</v>
      </c>
      <c r="D119" s="8" t="s">
        <v>12</v>
      </c>
      <c r="E119" s="9" t="s">
        <v>58</v>
      </c>
      <c r="F119" s="2">
        <v>1.0</v>
      </c>
      <c r="G119" s="2">
        <v>1800.0</v>
      </c>
      <c r="H119" s="5">
        <v>46085.0</v>
      </c>
      <c r="I119" s="2" t="s">
        <v>14</v>
      </c>
      <c r="L119" s="11"/>
      <c r="M119" s="2"/>
      <c r="N119" s="11"/>
    </row>
    <row r="120" ht="22.5" hidden="1" customHeight="1">
      <c r="A120" s="2" t="s">
        <v>121</v>
      </c>
      <c r="B120" s="2" t="s">
        <v>97</v>
      </c>
      <c r="C120" s="2">
        <v>8748.0</v>
      </c>
      <c r="D120" s="8" t="s">
        <v>22</v>
      </c>
      <c r="E120" s="9" t="s">
        <v>58</v>
      </c>
      <c r="F120" s="2">
        <v>1.0</v>
      </c>
      <c r="G120" s="2">
        <v>1800.0</v>
      </c>
      <c r="H120" s="5">
        <v>46085.0</v>
      </c>
      <c r="I120" s="2" t="s">
        <v>14</v>
      </c>
      <c r="L120" s="11"/>
      <c r="M120" s="2"/>
      <c r="N120" s="11"/>
    </row>
    <row r="121" ht="22.5" hidden="1" customHeight="1">
      <c r="A121" s="2" t="s">
        <v>122</v>
      </c>
      <c r="B121" s="2" t="s">
        <v>97</v>
      </c>
      <c r="C121" s="2">
        <v>8748.0</v>
      </c>
      <c r="D121" s="8" t="s">
        <v>12</v>
      </c>
      <c r="E121" s="9" t="s">
        <v>58</v>
      </c>
      <c r="F121" s="2">
        <v>1.0</v>
      </c>
      <c r="G121" s="2">
        <v>1800.0</v>
      </c>
      <c r="H121" s="5">
        <v>46085.0</v>
      </c>
      <c r="I121" s="2" t="s">
        <v>14</v>
      </c>
      <c r="L121" s="11"/>
      <c r="M121" s="2"/>
      <c r="N121" s="11"/>
    </row>
    <row r="122" ht="22.5" hidden="1" customHeight="1">
      <c r="A122" s="2" t="s">
        <v>123</v>
      </c>
      <c r="B122" s="2" t="s">
        <v>97</v>
      </c>
      <c r="C122" s="2">
        <v>8748.0</v>
      </c>
      <c r="D122" s="8" t="s">
        <v>12</v>
      </c>
      <c r="E122" s="9" t="s">
        <v>58</v>
      </c>
      <c r="F122" s="2">
        <v>1.0</v>
      </c>
      <c r="G122" s="2">
        <v>1800.0</v>
      </c>
      <c r="H122" s="5">
        <v>46085.0</v>
      </c>
      <c r="I122" s="2" t="s">
        <v>14</v>
      </c>
      <c r="L122" s="11"/>
      <c r="M122" s="2"/>
      <c r="N122" s="11"/>
    </row>
    <row r="123" ht="22.5" hidden="1" customHeight="1">
      <c r="A123" s="2" t="s">
        <v>124</v>
      </c>
      <c r="B123" s="2" t="s">
        <v>97</v>
      </c>
      <c r="C123" s="2">
        <v>8748.0</v>
      </c>
      <c r="D123" s="8" t="s">
        <v>22</v>
      </c>
      <c r="E123" s="9" t="s">
        <v>58</v>
      </c>
      <c r="F123" s="2">
        <v>1.0</v>
      </c>
      <c r="G123" s="2">
        <v>1800.0</v>
      </c>
      <c r="H123" s="5">
        <v>46085.0</v>
      </c>
      <c r="I123" s="2" t="s">
        <v>14</v>
      </c>
      <c r="L123" s="11"/>
      <c r="M123" s="2"/>
      <c r="N123" s="11"/>
    </row>
    <row r="124" ht="22.5" hidden="1" customHeight="1">
      <c r="A124" s="2" t="s">
        <v>68</v>
      </c>
      <c r="B124" s="2" t="s">
        <v>97</v>
      </c>
      <c r="C124" s="2">
        <v>8748.0</v>
      </c>
      <c r="D124" s="8" t="s">
        <v>12</v>
      </c>
      <c r="E124" s="9" t="s">
        <v>58</v>
      </c>
      <c r="F124" s="2">
        <v>1.0</v>
      </c>
      <c r="G124" s="2">
        <v>1800.0</v>
      </c>
      <c r="H124" s="5">
        <v>46085.0</v>
      </c>
      <c r="I124" s="2" t="s">
        <v>14</v>
      </c>
      <c r="L124" s="11"/>
      <c r="M124" s="2"/>
      <c r="N124" s="11"/>
    </row>
    <row r="125" ht="22.5" hidden="1" customHeight="1">
      <c r="A125" s="2" t="s">
        <v>125</v>
      </c>
      <c r="B125" s="2" t="s">
        <v>97</v>
      </c>
      <c r="C125" s="2">
        <v>8748.0</v>
      </c>
      <c r="D125" s="8" t="s">
        <v>22</v>
      </c>
      <c r="E125" s="9" t="s">
        <v>58</v>
      </c>
      <c r="F125" s="2">
        <v>1.0</v>
      </c>
      <c r="G125" s="2">
        <v>1800.0</v>
      </c>
      <c r="H125" s="5">
        <v>46085.0</v>
      </c>
      <c r="I125" s="2" t="s">
        <v>14</v>
      </c>
      <c r="L125" s="11"/>
      <c r="M125" s="2"/>
      <c r="N125" s="11"/>
    </row>
    <row r="126" ht="22.5" hidden="1" customHeight="1">
      <c r="A126" s="2" t="s">
        <v>51</v>
      </c>
      <c r="B126" s="2" t="s">
        <v>97</v>
      </c>
      <c r="C126" s="2">
        <v>8748.0</v>
      </c>
      <c r="D126" s="8" t="s">
        <v>22</v>
      </c>
      <c r="E126" s="9" t="s">
        <v>58</v>
      </c>
      <c r="F126" s="2">
        <v>1.0</v>
      </c>
      <c r="G126" s="2">
        <v>1800.0</v>
      </c>
      <c r="H126" s="5">
        <v>46085.0</v>
      </c>
      <c r="I126" s="2" t="s">
        <v>14</v>
      </c>
      <c r="L126" s="11"/>
      <c r="M126" s="2"/>
      <c r="N126" s="11"/>
    </row>
    <row r="127" ht="22.5" hidden="1" customHeight="1">
      <c r="A127" s="2" t="s">
        <v>50</v>
      </c>
      <c r="B127" s="2" t="s">
        <v>97</v>
      </c>
      <c r="C127" s="2">
        <v>8748.0</v>
      </c>
      <c r="D127" s="8" t="s">
        <v>22</v>
      </c>
      <c r="E127" s="9" t="s">
        <v>58</v>
      </c>
      <c r="F127" s="2">
        <v>1.0</v>
      </c>
      <c r="G127" s="2">
        <v>1800.0</v>
      </c>
      <c r="H127" s="5">
        <v>46085.0</v>
      </c>
      <c r="I127" s="2" t="s">
        <v>14</v>
      </c>
      <c r="L127" s="11"/>
      <c r="M127" s="2"/>
      <c r="N127" s="11"/>
    </row>
    <row r="128" ht="22.5" hidden="1" customHeight="1">
      <c r="A128" s="2" t="s">
        <v>126</v>
      </c>
      <c r="B128" s="2" t="s">
        <v>97</v>
      </c>
      <c r="C128" s="2">
        <v>8748.0</v>
      </c>
      <c r="D128" s="8" t="s">
        <v>22</v>
      </c>
      <c r="E128" s="9" t="s">
        <v>58</v>
      </c>
      <c r="F128" s="2">
        <v>1.0</v>
      </c>
      <c r="G128" s="2">
        <v>1800.0</v>
      </c>
      <c r="H128" s="5">
        <v>46085.0</v>
      </c>
      <c r="I128" s="2" t="s">
        <v>14</v>
      </c>
      <c r="L128" s="11"/>
      <c r="M128" s="2"/>
      <c r="N128" s="11"/>
    </row>
    <row r="129" ht="22.5" hidden="1" customHeight="1">
      <c r="A129" s="2" t="s">
        <v>127</v>
      </c>
      <c r="B129" s="2" t="s">
        <v>97</v>
      </c>
      <c r="C129" s="2">
        <v>8748.0</v>
      </c>
      <c r="D129" s="8" t="s">
        <v>12</v>
      </c>
      <c r="E129" s="9" t="s">
        <v>58</v>
      </c>
      <c r="F129" s="2">
        <v>1.0</v>
      </c>
      <c r="G129" s="2">
        <v>1800.0</v>
      </c>
      <c r="H129" s="5">
        <v>46085.0</v>
      </c>
      <c r="I129" s="2" t="s">
        <v>14</v>
      </c>
      <c r="L129" s="11"/>
      <c r="M129" s="2"/>
      <c r="N129" s="11"/>
    </row>
    <row r="130" ht="22.5" hidden="1" customHeight="1">
      <c r="A130" s="2" t="s">
        <v>69</v>
      </c>
      <c r="B130" s="2" t="s">
        <v>97</v>
      </c>
      <c r="C130" s="2">
        <v>8748.0</v>
      </c>
      <c r="D130" s="8" t="s">
        <v>22</v>
      </c>
      <c r="E130" s="9" t="s">
        <v>58</v>
      </c>
      <c r="F130" s="2">
        <v>1.0</v>
      </c>
      <c r="G130" s="2">
        <v>1800.0</v>
      </c>
      <c r="H130" s="5">
        <v>46085.0</v>
      </c>
      <c r="I130" s="2" t="s">
        <v>14</v>
      </c>
      <c r="L130" s="11"/>
      <c r="M130" s="2"/>
      <c r="N130" s="11"/>
    </row>
    <row r="131" ht="22.5" hidden="1" customHeight="1">
      <c r="A131" s="2" t="s">
        <v>128</v>
      </c>
      <c r="B131" s="2" t="s">
        <v>97</v>
      </c>
      <c r="C131" s="2">
        <v>8748.0</v>
      </c>
      <c r="D131" s="8" t="s">
        <v>22</v>
      </c>
      <c r="E131" s="9" t="s">
        <v>58</v>
      </c>
      <c r="F131" s="2">
        <v>1.0</v>
      </c>
      <c r="G131" s="2">
        <v>1800.0</v>
      </c>
      <c r="H131" s="5">
        <v>46085.0</v>
      </c>
      <c r="I131" s="2" t="s">
        <v>14</v>
      </c>
      <c r="L131" s="11"/>
      <c r="M131" s="2"/>
      <c r="N131" s="11"/>
    </row>
    <row r="132" ht="22.5" hidden="1" customHeight="1">
      <c r="A132" s="2" t="s">
        <v>129</v>
      </c>
      <c r="B132" s="2" t="s">
        <v>97</v>
      </c>
      <c r="C132" s="2">
        <v>8748.0</v>
      </c>
      <c r="D132" s="8" t="s">
        <v>12</v>
      </c>
      <c r="E132" s="9" t="s">
        <v>58</v>
      </c>
      <c r="F132" s="2">
        <v>1.0</v>
      </c>
      <c r="G132" s="2">
        <v>1800.0</v>
      </c>
      <c r="H132" s="5">
        <v>46085.0</v>
      </c>
      <c r="I132" s="2" t="s">
        <v>24</v>
      </c>
      <c r="L132" s="11"/>
      <c r="M132" s="2"/>
      <c r="N132" s="11"/>
    </row>
    <row r="133" ht="22.5" hidden="1" customHeight="1">
      <c r="A133" s="2" t="s">
        <v>130</v>
      </c>
      <c r="B133" s="2" t="s">
        <v>97</v>
      </c>
      <c r="C133" s="2">
        <v>8748.0</v>
      </c>
      <c r="D133" s="8" t="s">
        <v>12</v>
      </c>
      <c r="E133" s="9" t="s">
        <v>58</v>
      </c>
      <c r="F133" s="2">
        <v>1.0</v>
      </c>
      <c r="G133" s="2">
        <v>1800.0</v>
      </c>
      <c r="H133" s="5">
        <v>46085.0</v>
      </c>
      <c r="I133" s="2" t="s">
        <v>14</v>
      </c>
      <c r="L133" s="11"/>
      <c r="M133" s="2"/>
      <c r="N133" s="11"/>
    </row>
    <row r="134" ht="22.5" hidden="1" customHeight="1">
      <c r="A134" s="2" t="s">
        <v>93</v>
      </c>
      <c r="B134" s="2" t="s">
        <v>97</v>
      </c>
      <c r="C134" s="2">
        <v>8748.0</v>
      </c>
      <c r="D134" s="8" t="s">
        <v>12</v>
      </c>
      <c r="E134" s="9" t="s">
        <v>58</v>
      </c>
      <c r="F134" s="2">
        <v>1.0</v>
      </c>
      <c r="G134" s="2">
        <v>1800.0</v>
      </c>
      <c r="H134" s="5">
        <v>46085.0</v>
      </c>
      <c r="I134" s="2" t="s">
        <v>14</v>
      </c>
      <c r="J134" s="12" t="s">
        <v>131</v>
      </c>
      <c r="L134" s="11"/>
      <c r="M134" s="2"/>
      <c r="N134" s="11"/>
    </row>
    <row r="135" ht="22.5" hidden="1" customHeight="1">
      <c r="A135" s="2" t="s">
        <v>132</v>
      </c>
      <c r="B135" s="2" t="s">
        <v>97</v>
      </c>
      <c r="C135" s="2">
        <v>8748.0</v>
      </c>
      <c r="D135" s="8" t="s">
        <v>75</v>
      </c>
      <c r="E135" s="9" t="s">
        <v>58</v>
      </c>
      <c r="F135" s="2">
        <v>1.0</v>
      </c>
      <c r="G135" s="2">
        <v>1800.0</v>
      </c>
      <c r="H135" s="5">
        <v>46085.0</v>
      </c>
      <c r="I135" s="2" t="s">
        <v>24</v>
      </c>
      <c r="L135" s="11"/>
      <c r="M135" s="2"/>
      <c r="N135" s="11"/>
    </row>
    <row r="136" ht="22.5" hidden="1" customHeight="1">
      <c r="A136" s="2" t="s">
        <v>133</v>
      </c>
      <c r="B136" s="2" t="s">
        <v>97</v>
      </c>
      <c r="C136" s="2">
        <v>8748.0</v>
      </c>
      <c r="D136" s="8" t="s">
        <v>12</v>
      </c>
      <c r="E136" s="9" t="s">
        <v>58</v>
      </c>
      <c r="F136" s="2">
        <v>1.0</v>
      </c>
      <c r="G136" s="2">
        <v>1800.0</v>
      </c>
      <c r="H136" s="5">
        <v>46085.0</v>
      </c>
      <c r="I136" s="2" t="s">
        <v>14</v>
      </c>
      <c r="L136" s="11"/>
      <c r="M136" s="2"/>
      <c r="N136" s="11"/>
    </row>
    <row r="137" ht="22.5" hidden="1" customHeight="1">
      <c r="A137" s="2" t="s">
        <v>134</v>
      </c>
      <c r="B137" s="2" t="s">
        <v>97</v>
      </c>
      <c r="C137" s="2">
        <v>8748.0</v>
      </c>
      <c r="D137" s="8" t="s">
        <v>22</v>
      </c>
      <c r="E137" s="9" t="s">
        <v>58</v>
      </c>
      <c r="F137" s="2">
        <v>1.0</v>
      </c>
      <c r="G137" s="2">
        <v>1800.0</v>
      </c>
      <c r="H137" s="5">
        <v>46085.0</v>
      </c>
      <c r="I137" s="2" t="s">
        <v>14</v>
      </c>
      <c r="L137" s="11"/>
      <c r="M137" s="2"/>
      <c r="N137" s="11"/>
    </row>
    <row r="138" ht="22.5" hidden="1" customHeight="1">
      <c r="A138" s="2" t="s">
        <v>71</v>
      </c>
      <c r="B138" s="2" t="s">
        <v>97</v>
      </c>
      <c r="C138" s="2">
        <v>8748.0</v>
      </c>
      <c r="D138" s="8" t="s">
        <v>22</v>
      </c>
      <c r="E138" s="9" t="s">
        <v>58</v>
      </c>
      <c r="F138" s="2">
        <v>1.0</v>
      </c>
      <c r="G138" s="2">
        <v>1800.0</v>
      </c>
      <c r="H138" s="5">
        <v>46085.0</v>
      </c>
      <c r="I138" s="2" t="s">
        <v>14</v>
      </c>
      <c r="L138" s="11"/>
      <c r="M138" s="2"/>
      <c r="N138" s="11"/>
    </row>
    <row r="139" ht="22.5" hidden="1" customHeight="1">
      <c r="A139" s="2" t="s">
        <v>135</v>
      </c>
      <c r="B139" s="2" t="s">
        <v>97</v>
      </c>
      <c r="C139" s="2">
        <v>8748.0</v>
      </c>
      <c r="D139" s="8" t="s">
        <v>12</v>
      </c>
      <c r="E139" s="9" t="s">
        <v>58</v>
      </c>
      <c r="F139" s="2">
        <v>1.0</v>
      </c>
      <c r="G139" s="2">
        <v>1800.0</v>
      </c>
      <c r="H139" s="5">
        <v>46085.0</v>
      </c>
      <c r="I139" s="2" t="s">
        <v>14</v>
      </c>
      <c r="L139" s="11"/>
      <c r="M139" s="2"/>
      <c r="N139" s="11"/>
    </row>
    <row r="140" ht="22.5" hidden="1" customHeight="1">
      <c r="A140" s="2" t="s">
        <v>136</v>
      </c>
      <c r="B140" s="2" t="s">
        <v>97</v>
      </c>
      <c r="C140" s="2">
        <v>8748.0</v>
      </c>
      <c r="D140" s="8" t="s">
        <v>12</v>
      </c>
      <c r="E140" s="9" t="s">
        <v>58</v>
      </c>
      <c r="F140" s="2">
        <v>1.0</v>
      </c>
      <c r="G140" s="2">
        <v>1800.0</v>
      </c>
      <c r="H140" s="5">
        <v>46085.0</v>
      </c>
      <c r="I140" s="2" t="s">
        <v>14</v>
      </c>
      <c r="L140" s="11"/>
      <c r="M140" s="2"/>
      <c r="N140" s="11"/>
    </row>
    <row r="141" ht="22.5" hidden="1" customHeight="1">
      <c r="A141" s="2" t="s">
        <v>137</v>
      </c>
      <c r="B141" s="2" t="s">
        <v>97</v>
      </c>
      <c r="C141" s="2">
        <v>8748.0</v>
      </c>
      <c r="D141" s="8" t="s">
        <v>12</v>
      </c>
      <c r="E141" s="9" t="s">
        <v>58</v>
      </c>
      <c r="F141" s="2">
        <v>1.0</v>
      </c>
      <c r="G141" s="2">
        <v>1800.0</v>
      </c>
      <c r="H141" s="5">
        <v>46085.0</v>
      </c>
      <c r="I141" s="2" t="s">
        <v>14</v>
      </c>
      <c r="J141" s="2" t="s">
        <v>138</v>
      </c>
      <c r="L141" s="11"/>
      <c r="M141" s="2"/>
      <c r="N141" s="11"/>
    </row>
    <row r="142" ht="22.5" hidden="1" customHeight="1">
      <c r="A142" s="2" t="s">
        <v>139</v>
      </c>
      <c r="B142" s="2" t="s">
        <v>97</v>
      </c>
      <c r="C142" s="2">
        <v>8748.0</v>
      </c>
      <c r="D142" s="8" t="s">
        <v>22</v>
      </c>
      <c r="E142" s="9" t="s">
        <v>58</v>
      </c>
      <c r="F142" s="2">
        <v>1.0</v>
      </c>
      <c r="G142" s="2">
        <v>1800.0</v>
      </c>
      <c r="H142" s="5">
        <v>46085.0</v>
      </c>
      <c r="I142" s="2" t="s">
        <v>14</v>
      </c>
      <c r="L142" s="11"/>
      <c r="M142" s="2"/>
      <c r="N142" s="11"/>
    </row>
    <row r="143" ht="22.5" hidden="1" customHeight="1">
      <c r="A143" s="2" t="s">
        <v>140</v>
      </c>
      <c r="B143" s="2" t="s">
        <v>97</v>
      </c>
      <c r="C143" s="2">
        <v>8748.0</v>
      </c>
      <c r="D143" s="8" t="s">
        <v>75</v>
      </c>
      <c r="E143" s="9" t="s">
        <v>58</v>
      </c>
      <c r="F143" s="2">
        <v>1.0</v>
      </c>
      <c r="G143" s="2">
        <v>1800.0</v>
      </c>
      <c r="H143" s="5">
        <v>46085.0</v>
      </c>
      <c r="I143" s="2" t="s">
        <v>14</v>
      </c>
      <c r="L143" s="11"/>
      <c r="M143" s="2"/>
      <c r="N143" s="11"/>
    </row>
    <row r="144" ht="22.5" hidden="1" customHeight="1">
      <c r="A144" s="2" t="s">
        <v>49</v>
      </c>
      <c r="B144" s="2" t="s">
        <v>141</v>
      </c>
      <c r="C144" s="2">
        <v>8646.0</v>
      </c>
      <c r="D144" s="8" t="s">
        <v>46</v>
      </c>
      <c r="E144" s="9" t="s">
        <v>47</v>
      </c>
      <c r="F144" s="2">
        <v>1.0</v>
      </c>
      <c r="G144" s="2">
        <v>1550.0</v>
      </c>
      <c r="H144" s="5">
        <v>46085.0</v>
      </c>
      <c r="I144" s="2" t="s">
        <v>14</v>
      </c>
      <c r="L144" s="11"/>
      <c r="M144" s="2"/>
      <c r="N144" s="11"/>
    </row>
    <row r="145" ht="22.5" hidden="1" customHeight="1">
      <c r="A145" s="2" t="s">
        <v>65</v>
      </c>
      <c r="B145" s="2" t="s">
        <v>141</v>
      </c>
      <c r="C145" s="2">
        <v>8646.0</v>
      </c>
      <c r="D145" s="8" t="s">
        <v>46</v>
      </c>
      <c r="E145" s="9" t="s">
        <v>23</v>
      </c>
      <c r="F145" s="2">
        <v>1.0</v>
      </c>
      <c r="G145" s="2">
        <v>1550.0</v>
      </c>
      <c r="H145" s="5">
        <v>46085.0</v>
      </c>
      <c r="I145" s="2" t="s">
        <v>14</v>
      </c>
      <c r="L145" s="11"/>
      <c r="M145" s="2"/>
      <c r="N145" s="11"/>
    </row>
    <row r="146" ht="22.5" hidden="1" customHeight="1">
      <c r="A146" s="2" t="s">
        <v>142</v>
      </c>
      <c r="B146" s="2" t="s">
        <v>141</v>
      </c>
      <c r="C146" s="2">
        <v>8646.0</v>
      </c>
      <c r="D146" s="8" t="s">
        <v>46</v>
      </c>
      <c r="E146" s="9" t="s">
        <v>47</v>
      </c>
      <c r="F146" s="2">
        <v>1.0</v>
      </c>
      <c r="G146" s="2">
        <v>1550.0</v>
      </c>
      <c r="H146" s="5">
        <v>46085.0</v>
      </c>
      <c r="I146" s="2" t="s">
        <v>14</v>
      </c>
      <c r="L146" s="11"/>
      <c r="M146" s="2"/>
      <c r="N146" s="11"/>
    </row>
    <row r="147" ht="22.5" hidden="1" customHeight="1">
      <c r="A147" s="2" t="s">
        <v>143</v>
      </c>
      <c r="B147" s="2" t="s">
        <v>141</v>
      </c>
      <c r="C147" s="2">
        <v>8646.0</v>
      </c>
      <c r="D147" s="8" t="s">
        <v>46</v>
      </c>
      <c r="E147" s="9" t="s">
        <v>47</v>
      </c>
      <c r="F147" s="2">
        <v>1.0</v>
      </c>
      <c r="G147" s="2">
        <v>1550.0</v>
      </c>
      <c r="H147" s="5">
        <v>46085.0</v>
      </c>
      <c r="I147" s="2" t="s">
        <v>14</v>
      </c>
      <c r="L147" s="11"/>
      <c r="M147" s="2"/>
      <c r="N147" s="11"/>
    </row>
    <row r="148" ht="22.5" hidden="1" customHeight="1">
      <c r="A148" s="2" t="s">
        <v>144</v>
      </c>
      <c r="B148" s="2" t="s">
        <v>141</v>
      </c>
      <c r="C148" s="2">
        <v>8646.0</v>
      </c>
      <c r="D148" s="8" t="s">
        <v>46</v>
      </c>
      <c r="E148" s="9" t="s">
        <v>23</v>
      </c>
      <c r="F148" s="2">
        <v>1.0</v>
      </c>
      <c r="G148" s="2">
        <v>1550.0</v>
      </c>
      <c r="H148" s="5">
        <v>46085.0</v>
      </c>
      <c r="I148" s="2" t="s">
        <v>14</v>
      </c>
      <c r="J148" s="12" t="s">
        <v>145</v>
      </c>
      <c r="L148" s="11"/>
      <c r="M148" s="2"/>
      <c r="N148" s="11"/>
    </row>
    <row r="149" ht="22.5" hidden="1" customHeight="1">
      <c r="A149" s="2" t="s">
        <v>55</v>
      </c>
      <c r="B149" s="2" t="s">
        <v>141</v>
      </c>
      <c r="C149" s="2">
        <v>8646.0</v>
      </c>
      <c r="D149" s="8" t="s">
        <v>46</v>
      </c>
      <c r="E149" s="9" t="s">
        <v>23</v>
      </c>
      <c r="F149" s="2">
        <v>1.0</v>
      </c>
      <c r="G149" s="2">
        <v>1550.0</v>
      </c>
      <c r="H149" s="5">
        <v>46085.0</v>
      </c>
      <c r="I149" s="2" t="s">
        <v>14</v>
      </c>
      <c r="J149" s="12" t="s">
        <v>146</v>
      </c>
      <c r="L149" s="11"/>
      <c r="M149" s="2"/>
      <c r="N149" s="11"/>
    </row>
    <row r="150" ht="22.5" hidden="1" customHeight="1">
      <c r="A150" s="2" t="s">
        <v>55</v>
      </c>
      <c r="B150" s="2" t="s">
        <v>141</v>
      </c>
      <c r="C150" s="2">
        <v>8646.0</v>
      </c>
      <c r="D150" s="8" t="s">
        <v>46</v>
      </c>
      <c r="E150" s="9" t="s">
        <v>47</v>
      </c>
      <c r="F150" s="2">
        <v>1.0</v>
      </c>
      <c r="G150" s="2">
        <v>1550.0</v>
      </c>
      <c r="H150" s="5">
        <v>46085.0</v>
      </c>
      <c r="I150" s="2" t="s">
        <v>14</v>
      </c>
      <c r="J150" s="12" t="s">
        <v>146</v>
      </c>
      <c r="L150" s="11"/>
      <c r="M150" s="2"/>
      <c r="N150" s="11"/>
    </row>
    <row r="151" ht="22.5" hidden="1" customHeight="1">
      <c r="A151" s="2" t="s">
        <v>147</v>
      </c>
      <c r="B151" s="2" t="s">
        <v>141</v>
      </c>
      <c r="C151" s="2">
        <v>8646.0</v>
      </c>
      <c r="D151" s="8" t="s">
        <v>46</v>
      </c>
      <c r="E151" s="9" t="s">
        <v>47</v>
      </c>
      <c r="F151" s="2">
        <v>1.0</v>
      </c>
      <c r="G151" s="2">
        <v>1550.0</v>
      </c>
      <c r="H151" s="5">
        <v>46085.0</v>
      </c>
      <c r="I151" s="2" t="s">
        <v>14</v>
      </c>
      <c r="L151" s="11"/>
      <c r="M151" s="2"/>
      <c r="N151" s="11"/>
    </row>
    <row r="152" ht="22.5" hidden="1" customHeight="1">
      <c r="A152" s="2" t="s">
        <v>127</v>
      </c>
      <c r="B152" s="2" t="s">
        <v>141</v>
      </c>
      <c r="C152" s="2">
        <v>8646.0</v>
      </c>
      <c r="D152" s="8" t="s">
        <v>46</v>
      </c>
      <c r="E152" s="9" t="s">
        <v>47</v>
      </c>
      <c r="F152" s="2">
        <v>1.0</v>
      </c>
      <c r="G152" s="2">
        <v>1550.0</v>
      </c>
      <c r="H152" s="5">
        <v>46085.0</v>
      </c>
      <c r="I152" s="2" t="s">
        <v>14</v>
      </c>
      <c r="L152" s="11"/>
      <c r="M152" s="2"/>
      <c r="N152" s="11"/>
    </row>
    <row r="153" ht="22.5" hidden="1" customHeight="1">
      <c r="A153" s="2" t="s">
        <v>148</v>
      </c>
      <c r="B153" s="2" t="s">
        <v>149</v>
      </c>
      <c r="C153" s="2">
        <v>7910.0</v>
      </c>
      <c r="D153" s="8" t="s">
        <v>12</v>
      </c>
      <c r="E153" s="9" t="s">
        <v>18</v>
      </c>
      <c r="F153" s="2">
        <v>1.0</v>
      </c>
      <c r="G153" s="2">
        <v>2800.0</v>
      </c>
      <c r="H153" s="5">
        <v>46085.0</v>
      </c>
      <c r="I153" s="2" t="s">
        <v>14</v>
      </c>
      <c r="L153" s="11"/>
      <c r="M153" s="2"/>
      <c r="N153" s="11"/>
    </row>
    <row r="154" ht="22.5" hidden="1" customHeight="1">
      <c r="A154" s="2" t="s">
        <v>150</v>
      </c>
      <c r="B154" s="2" t="s">
        <v>149</v>
      </c>
      <c r="C154" s="2">
        <v>7910.0</v>
      </c>
      <c r="D154" s="8" t="s">
        <v>22</v>
      </c>
      <c r="E154" s="9" t="s">
        <v>13</v>
      </c>
      <c r="F154" s="2">
        <v>1.0</v>
      </c>
      <c r="G154" s="2">
        <v>2800.0</v>
      </c>
      <c r="H154" s="5">
        <v>46085.0</v>
      </c>
      <c r="I154" s="2" t="s">
        <v>14</v>
      </c>
      <c r="L154" s="11"/>
      <c r="M154" s="2"/>
      <c r="N154" s="11"/>
    </row>
    <row r="155" ht="22.5" hidden="1" customHeight="1">
      <c r="A155" s="2" t="s">
        <v>151</v>
      </c>
      <c r="B155" s="2" t="s">
        <v>149</v>
      </c>
      <c r="C155" s="2">
        <v>7910.0</v>
      </c>
      <c r="D155" s="8" t="s">
        <v>12</v>
      </c>
      <c r="E155" s="9" t="s">
        <v>26</v>
      </c>
      <c r="F155" s="2">
        <v>1.0</v>
      </c>
      <c r="G155" s="2">
        <v>2800.0</v>
      </c>
      <c r="H155" s="5">
        <v>46085.0</v>
      </c>
      <c r="I155" s="2" t="s">
        <v>14</v>
      </c>
      <c r="L155" s="11"/>
      <c r="M155" s="2"/>
      <c r="N155" s="11"/>
    </row>
    <row r="156" ht="22.5" hidden="1" customHeight="1">
      <c r="A156" s="2" t="s">
        <v>10</v>
      </c>
      <c r="B156" s="2" t="s">
        <v>152</v>
      </c>
      <c r="C156" s="2">
        <v>8319.0</v>
      </c>
      <c r="D156" s="8" t="s">
        <v>12</v>
      </c>
      <c r="E156" s="8" t="s">
        <v>58</v>
      </c>
      <c r="F156" s="2">
        <v>1.0</v>
      </c>
      <c r="G156" s="2">
        <v>1800.0</v>
      </c>
      <c r="H156" s="5">
        <v>46085.0</v>
      </c>
      <c r="I156" s="2" t="s">
        <v>14</v>
      </c>
      <c r="L156" s="11"/>
      <c r="M156" s="2"/>
      <c r="N156" s="11"/>
    </row>
    <row r="157" ht="22.5" hidden="1" customHeight="1">
      <c r="A157" s="2" t="s">
        <v>17</v>
      </c>
      <c r="B157" s="2" t="s">
        <v>152</v>
      </c>
      <c r="C157" s="2">
        <v>8319.0</v>
      </c>
      <c r="D157" s="8" t="s">
        <v>12</v>
      </c>
      <c r="E157" s="8" t="s">
        <v>58</v>
      </c>
      <c r="F157" s="2">
        <v>1.0</v>
      </c>
      <c r="G157" s="2">
        <v>1800.0</v>
      </c>
      <c r="H157" s="5">
        <v>46085.0</v>
      </c>
      <c r="I157" s="2" t="s">
        <v>14</v>
      </c>
      <c r="L157" s="11"/>
      <c r="M157" s="2"/>
      <c r="N157" s="11"/>
    </row>
    <row r="158" ht="22.5" hidden="1" customHeight="1">
      <c r="A158" s="2" t="s">
        <v>48</v>
      </c>
      <c r="B158" s="2" t="s">
        <v>152</v>
      </c>
      <c r="C158" s="2">
        <v>8319.0</v>
      </c>
      <c r="D158" s="8" t="s">
        <v>12</v>
      </c>
      <c r="E158" s="8" t="s">
        <v>58</v>
      </c>
      <c r="F158" s="2">
        <v>1.0</v>
      </c>
      <c r="G158" s="2">
        <v>1800.0</v>
      </c>
      <c r="H158" s="5">
        <v>46085.0</v>
      </c>
      <c r="I158" s="2" t="s">
        <v>14</v>
      </c>
      <c r="L158" s="11"/>
      <c r="M158" s="2"/>
      <c r="N158" s="11"/>
    </row>
    <row r="159" ht="22.5" hidden="1" customHeight="1">
      <c r="A159" s="2" t="s">
        <v>153</v>
      </c>
      <c r="B159" s="2" t="s">
        <v>152</v>
      </c>
      <c r="C159" s="2">
        <v>8319.0</v>
      </c>
      <c r="D159" s="8" t="s">
        <v>22</v>
      </c>
      <c r="E159" s="8" t="s">
        <v>58</v>
      </c>
      <c r="F159" s="2">
        <v>1.0</v>
      </c>
      <c r="G159" s="2">
        <v>1800.0</v>
      </c>
      <c r="H159" s="5">
        <v>46085.0</v>
      </c>
      <c r="I159" s="2" t="s">
        <v>14</v>
      </c>
      <c r="L159" s="11"/>
      <c r="M159" s="2"/>
      <c r="N159" s="11"/>
    </row>
    <row r="160" ht="22.5" hidden="1" customHeight="1">
      <c r="A160" s="2" t="s">
        <v>154</v>
      </c>
      <c r="B160" s="2" t="s">
        <v>152</v>
      </c>
      <c r="C160" s="2">
        <v>8319.0</v>
      </c>
      <c r="D160" s="8" t="s">
        <v>12</v>
      </c>
      <c r="E160" s="8" t="s">
        <v>58</v>
      </c>
      <c r="F160" s="2">
        <v>1.0</v>
      </c>
      <c r="G160" s="2">
        <v>1800.0</v>
      </c>
      <c r="H160" s="5">
        <v>46085.0</v>
      </c>
      <c r="I160" s="2" t="s">
        <v>14</v>
      </c>
      <c r="L160" s="11"/>
      <c r="M160" s="2"/>
      <c r="N160" s="11"/>
    </row>
    <row r="161" ht="22.5" hidden="1" customHeight="1">
      <c r="A161" s="2" t="s">
        <v>155</v>
      </c>
      <c r="B161" s="2" t="s">
        <v>152</v>
      </c>
      <c r="C161" s="2">
        <v>8319.0</v>
      </c>
      <c r="D161" s="8" t="s">
        <v>12</v>
      </c>
      <c r="E161" s="8" t="s">
        <v>58</v>
      </c>
      <c r="F161" s="2">
        <v>1.0</v>
      </c>
      <c r="G161" s="2">
        <v>1800.0</v>
      </c>
      <c r="H161" s="5">
        <v>46085.0</v>
      </c>
      <c r="I161" s="2" t="s">
        <v>14</v>
      </c>
      <c r="L161" s="11"/>
      <c r="M161" s="2"/>
      <c r="N161" s="11"/>
    </row>
    <row r="162" ht="22.5" hidden="1" customHeight="1">
      <c r="A162" s="2" t="s">
        <v>49</v>
      </c>
      <c r="B162" s="2" t="s">
        <v>152</v>
      </c>
      <c r="C162" s="2">
        <v>8319.0</v>
      </c>
      <c r="D162" s="8" t="s">
        <v>12</v>
      </c>
      <c r="E162" s="8" t="s">
        <v>58</v>
      </c>
      <c r="F162" s="2">
        <v>1.0</v>
      </c>
      <c r="G162" s="2">
        <v>1800.0</v>
      </c>
      <c r="H162" s="5">
        <v>46085.0</v>
      </c>
      <c r="I162" s="2" t="s">
        <v>14</v>
      </c>
      <c r="L162" s="11"/>
      <c r="M162" s="2"/>
      <c r="N162" s="11"/>
    </row>
    <row r="163" ht="22.5" hidden="1" customHeight="1">
      <c r="A163" s="2" t="s">
        <v>156</v>
      </c>
      <c r="B163" s="2" t="s">
        <v>152</v>
      </c>
      <c r="C163" s="2">
        <v>8319.0</v>
      </c>
      <c r="D163" s="8" t="s">
        <v>22</v>
      </c>
      <c r="E163" s="8" t="s">
        <v>58</v>
      </c>
      <c r="F163" s="2">
        <v>1.0</v>
      </c>
      <c r="G163" s="2">
        <v>1800.0</v>
      </c>
      <c r="H163" s="5">
        <v>46085.0</v>
      </c>
      <c r="I163" s="2" t="s">
        <v>14</v>
      </c>
      <c r="L163" s="11"/>
      <c r="M163" s="2"/>
      <c r="N163" s="11"/>
    </row>
    <row r="164" ht="22.5" hidden="1" customHeight="1">
      <c r="A164" s="2" t="s">
        <v>106</v>
      </c>
      <c r="B164" s="2" t="s">
        <v>152</v>
      </c>
      <c r="C164" s="2">
        <v>8319.0</v>
      </c>
      <c r="D164" s="8" t="s">
        <v>22</v>
      </c>
      <c r="E164" s="8" t="s">
        <v>58</v>
      </c>
      <c r="F164" s="2">
        <v>1.0</v>
      </c>
      <c r="G164" s="2">
        <v>1800.0</v>
      </c>
      <c r="H164" s="5">
        <v>46085.0</v>
      </c>
      <c r="I164" s="2" t="s">
        <v>14</v>
      </c>
      <c r="L164" s="11"/>
      <c r="M164" s="2"/>
      <c r="N164" s="11"/>
    </row>
    <row r="165" ht="22.5" hidden="1" customHeight="1">
      <c r="A165" s="2" t="s">
        <v>157</v>
      </c>
      <c r="B165" s="2" t="s">
        <v>152</v>
      </c>
      <c r="C165" s="2">
        <v>8319.0</v>
      </c>
      <c r="D165" s="8" t="s">
        <v>12</v>
      </c>
      <c r="E165" s="8" t="s">
        <v>58</v>
      </c>
      <c r="F165" s="2">
        <v>1.0</v>
      </c>
      <c r="G165" s="2">
        <v>1800.0</v>
      </c>
      <c r="H165" s="5">
        <v>46085.0</v>
      </c>
      <c r="I165" s="2" t="s">
        <v>14</v>
      </c>
      <c r="L165" s="11"/>
      <c r="M165" s="2"/>
      <c r="N165" s="11"/>
    </row>
    <row r="166" ht="22.5" hidden="1" customHeight="1">
      <c r="A166" s="2" t="s">
        <v>33</v>
      </c>
      <c r="B166" s="2" t="s">
        <v>152</v>
      </c>
      <c r="C166" s="2">
        <v>8319.0</v>
      </c>
      <c r="D166" s="8" t="s">
        <v>12</v>
      </c>
      <c r="E166" s="8" t="s">
        <v>58</v>
      </c>
      <c r="F166" s="2">
        <v>1.0</v>
      </c>
      <c r="G166" s="2">
        <v>1800.0</v>
      </c>
      <c r="H166" s="5">
        <v>46085.0</v>
      </c>
      <c r="I166" s="2" t="s">
        <v>24</v>
      </c>
      <c r="L166" s="11"/>
      <c r="M166" s="2"/>
      <c r="N166" s="11"/>
    </row>
    <row r="167" ht="22.5" hidden="1" customHeight="1">
      <c r="A167" s="2" t="s">
        <v>60</v>
      </c>
      <c r="B167" s="2" t="s">
        <v>152</v>
      </c>
      <c r="C167" s="2">
        <v>8319.0</v>
      </c>
      <c r="D167" s="8" t="s">
        <v>12</v>
      </c>
      <c r="E167" s="8" t="s">
        <v>58</v>
      </c>
      <c r="F167" s="2">
        <v>1.0</v>
      </c>
      <c r="G167" s="2">
        <v>1800.0</v>
      </c>
      <c r="H167" s="5">
        <v>46085.0</v>
      </c>
      <c r="I167" s="2" t="s">
        <v>14</v>
      </c>
      <c r="L167" s="11"/>
      <c r="M167" s="2"/>
      <c r="N167" s="11"/>
    </row>
    <row r="168" ht="22.5" hidden="1" customHeight="1">
      <c r="A168" s="2" t="s">
        <v>158</v>
      </c>
      <c r="B168" s="2" t="s">
        <v>152</v>
      </c>
      <c r="C168" s="2">
        <v>8319.0</v>
      </c>
      <c r="D168" s="8" t="s">
        <v>22</v>
      </c>
      <c r="E168" s="8" t="s">
        <v>58</v>
      </c>
      <c r="F168" s="2">
        <v>1.0</v>
      </c>
      <c r="G168" s="2">
        <v>1800.0</v>
      </c>
      <c r="H168" s="5">
        <v>46085.0</v>
      </c>
      <c r="I168" s="2" t="s">
        <v>14</v>
      </c>
      <c r="L168" s="11"/>
      <c r="M168" s="2"/>
      <c r="N168" s="11"/>
    </row>
    <row r="169" ht="22.5" hidden="1" customHeight="1">
      <c r="A169" s="2" t="s">
        <v>159</v>
      </c>
      <c r="B169" s="2" t="s">
        <v>160</v>
      </c>
      <c r="C169" s="2">
        <v>7436.0</v>
      </c>
      <c r="D169" s="8" t="s">
        <v>12</v>
      </c>
      <c r="E169" s="8" t="s">
        <v>58</v>
      </c>
      <c r="F169" s="2">
        <v>1.0</v>
      </c>
      <c r="G169" s="2">
        <v>2400.0</v>
      </c>
      <c r="H169" s="5">
        <v>46085.0</v>
      </c>
      <c r="I169" s="2" t="s">
        <v>14</v>
      </c>
      <c r="L169" s="11"/>
      <c r="M169" s="2"/>
      <c r="N169" s="11"/>
    </row>
    <row r="170" ht="22.5" hidden="1" customHeight="1">
      <c r="A170" s="2" t="s">
        <v>32</v>
      </c>
      <c r="B170" s="2" t="s">
        <v>160</v>
      </c>
      <c r="C170" s="2">
        <v>7436.0</v>
      </c>
      <c r="D170" s="8" t="s">
        <v>12</v>
      </c>
      <c r="E170" s="8" t="s">
        <v>58</v>
      </c>
      <c r="F170" s="2">
        <v>1.0</v>
      </c>
      <c r="G170" s="2">
        <v>2400.0</v>
      </c>
      <c r="H170" s="5">
        <v>46085.0</v>
      </c>
      <c r="I170" s="2" t="s">
        <v>14</v>
      </c>
      <c r="L170" s="11"/>
      <c r="M170" s="2"/>
      <c r="N170" s="11"/>
    </row>
    <row r="171" ht="22.5" hidden="1" customHeight="1">
      <c r="A171" s="2" t="s">
        <v>157</v>
      </c>
      <c r="B171" s="2" t="s">
        <v>160</v>
      </c>
      <c r="C171" s="2">
        <v>7436.0</v>
      </c>
      <c r="D171" s="8" t="s">
        <v>12</v>
      </c>
      <c r="E171" s="8" t="s">
        <v>58</v>
      </c>
      <c r="F171" s="2">
        <v>1.0</v>
      </c>
      <c r="G171" s="2">
        <v>2400.0</v>
      </c>
      <c r="H171" s="5">
        <v>46085.0</v>
      </c>
      <c r="I171" s="2" t="s">
        <v>14</v>
      </c>
      <c r="L171" s="11"/>
      <c r="M171" s="2"/>
      <c r="N171" s="11"/>
    </row>
    <row r="172" ht="22.5" hidden="1" customHeight="1">
      <c r="A172" s="2" t="s">
        <v>161</v>
      </c>
      <c r="B172" s="2" t="s">
        <v>160</v>
      </c>
      <c r="C172" s="2">
        <v>7436.0</v>
      </c>
      <c r="D172" s="8" t="s">
        <v>22</v>
      </c>
      <c r="E172" s="8" t="s">
        <v>58</v>
      </c>
      <c r="F172" s="2">
        <v>1.0</v>
      </c>
      <c r="G172" s="2">
        <v>2400.0</v>
      </c>
      <c r="H172" s="5">
        <v>46085.0</v>
      </c>
      <c r="I172" s="2" t="s">
        <v>14</v>
      </c>
      <c r="L172" s="11"/>
      <c r="M172" s="2"/>
      <c r="N172" s="11"/>
    </row>
    <row r="173" ht="22.5" hidden="1" customHeight="1">
      <c r="A173" s="2" t="s">
        <v>162</v>
      </c>
      <c r="B173" s="2" t="s">
        <v>160</v>
      </c>
      <c r="C173" s="2">
        <v>7436.0</v>
      </c>
      <c r="D173" s="8" t="s">
        <v>22</v>
      </c>
      <c r="E173" s="8" t="s">
        <v>58</v>
      </c>
      <c r="F173" s="2">
        <v>2.0</v>
      </c>
      <c r="G173" s="2">
        <v>2400.0</v>
      </c>
      <c r="H173" s="5">
        <v>46085.0</v>
      </c>
      <c r="I173" s="2" t="s">
        <v>14</v>
      </c>
      <c r="L173" s="11"/>
      <c r="M173" s="2"/>
      <c r="N173" s="11"/>
    </row>
    <row r="174" ht="22.5" hidden="1" customHeight="1">
      <c r="A174" s="2" t="s">
        <v>32</v>
      </c>
      <c r="B174" s="2" t="s">
        <v>163</v>
      </c>
      <c r="C174" s="2">
        <v>8521.0</v>
      </c>
      <c r="D174" s="8" t="s">
        <v>12</v>
      </c>
      <c r="E174" s="9" t="s">
        <v>26</v>
      </c>
      <c r="F174" s="2">
        <v>1.0</v>
      </c>
      <c r="G174" s="2">
        <v>2400.0</v>
      </c>
      <c r="H174" s="5">
        <v>46085.0</v>
      </c>
      <c r="I174" s="2" t="s">
        <v>14</v>
      </c>
      <c r="L174" s="11"/>
      <c r="M174" s="2"/>
      <c r="N174" s="11"/>
    </row>
    <row r="175" ht="22.5" hidden="1" customHeight="1">
      <c r="A175" s="2" t="s">
        <v>164</v>
      </c>
      <c r="B175" s="2" t="s">
        <v>163</v>
      </c>
      <c r="C175" s="2">
        <v>8521.0</v>
      </c>
      <c r="D175" s="8" t="s">
        <v>22</v>
      </c>
      <c r="E175" s="9" t="s">
        <v>26</v>
      </c>
      <c r="F175" s="2">
        <v>1.0</v>
      </c>
      <c r="G175" s="2">
        <v>2400.0</v>
      </c>
      <c r="H175" s="5">
        <v>46085.0</v>
      </c>
      <c r="I175" s="2" t="s">
        <v>14</v>
      </c>
      <c r="L175" s="11"/>
      <c r="M175" s="2"/>
      <c r="N175" s="11"/>
    </row>
    <row r="176" ht="22.5" hidden="1" customHeight="1">
      <c r="A176" s="2" t="s">
        <v>10</v>
      </c>
      <c r="B176" s="2" t="s">
        <v>165</v>
      </c>
      <c r="C176" s="2">
        <v>8514.0</v>
      </c>
      <c r="D176" s="8" t="s">
        <v>12</v>
      </c>
      <c r="E176" s="9" t="s">
        <v>47</v>
      </c>
      <c r="F176" s="2">
        <v>1.0</v>
      </c>
      <c r="G176" s="2">
        <v>1200.0</v>
      </c>
      <c r="H176" s="5">
        <v>46085.0</v>
      </c>
      <c r="I176" s="2" t="s">
        <v>14</v>
      </c>
      <c r="L176" s="11"/>
      <c r="M176" s="2"/>
      <c r="N176" s="11"/>
    </row>
    <row r="177" ht="22.5" hidden="1" customHeight="1">
      <c r="A177" s="2" t="s">
        <v>166</v>
      </c>
      <c r="B177" s="2" t="s">
        <v>165</v>
      </c>
      <c r="C177" s="2">
        <v>8514.0</v>
      </c>
      <c r="D177" s="8" t="s">
        <v>22</v>
      </c>
      <c r="E177" s="9" t="s">
        <v>47</v>
      </c>
      <c r="F177" s="2">
        <v>1.0</v>
      </c>
      <c r="G177" s="2">
        <v>1200.0</v>
      </c>
      <c r="H177" s="5">
        <v>46085.0</v>
      </c>
      <c r="I177" s="2" t="s">
        <v>14</v>
      </c>
      <c r="L177" s="11"/>
      <c r="M177" s="2"/>
      <c r="N177" s="11"/>
    </row>
    <row r="178" ht="22.5" hidden="1" customHeight="1">
      <c r="A178" s="2" t="s">
        <v>167</v>
      </c>
      <c r="B178" s="2" t="s">
        <v>165</v>
      </c>
      <c r="C178" s="2">
        <v>8514.0</v>
      </c>
      <c r="D178" s="8" t="s">
        <v>12</v>
      </c>
      <c r="E178" s="9" t="s">
        <v>47</v>
      </c>
      <c r="F178" s="2">
        <v>1.0</v>
      </c>
      <c r="G178" s="2">
        <v>1200.0</v>
      </c>
      <c r="H178" s="5">
        <v>46085.0</v>
      </c>
      <c r="I178" s="2" t="s">
        <v>14</v>
      </c>
      <c r="L178" s="11"/>
      <c r="M178" s="2"/>
      <c r="N178" s="11"/>
    </row>
    <row r="179" ht="22.5" hidden="1" customHeight="1">
      <c r="A179" s="2" t="s">
        <v>116</v>
      </c>
      <c r="B179" s="2" t="s">
        <v>168</v>
      </c>
      <c r="C179" s="2">
        <v>7398.0</v>
      </c>
      <c r="D179" s="8" t="s">
        <v>12</v>
      </c>
      <c r="E179" s="9" t="s">
        <v>16</v>
      </c>
      <c r="F179" s="2">
        <v>1.0</v>
      </c>
      <c r="G179" s="2">
        <v>1200.0</v>
      </c>
      <c r="H179" s="5">
        <v>46085.0</v>
      </c>
      <c r="I179" s="2" t="s">
        <v>24</v>
      </c>
      <c r="L179" s="11"/>
      <c r="M179" s="2"/>
      <c r="N179" s="11"/>
    </row>
    <row r="180" ht="22.5" hidden="1" customHeight="1">
      <c r="A180" s="2" t="s">
        <v>35</v>
      </c>
      <c r="B180" s="2" t="s">
        <v>168</v>
      </c>
      <c r="C180" s="2">
        <v>7398.0</v>
      </c>
      <c r="D180" s="8" t="s">
        <v>12</v>
      </c>
      <c r="E180" s="9" t="s">
        <v>18</v>
      </c>
      <c r="F180" s="2">
        <v>2.0</v>
      </c>
      <c r="G180" s="2">
        <v>1200.0</v>
      </c>
      <c r="H180" s="5">
        <v>46085.0</v>
      </c>
      <c r="I180" s="2" t="s">
        <v>14</v>
      </c>
      <c r="J180" s="12" t="s">
        <v>169</v>
      </c>
      <c r="L180" s="11"/>
      <c r="M180" s="2"/>
      <c r="N180" s="11"/>
    </row>
    <row r="181" ht="22.5" hidden="1" customHeight="1">
      <c r="A181" s="2" t="s">
        <v>35</v>
      </c>
      <c r="B181" s="2" t="s">
        <v>168</v>
      </c>
      <c r="C181" s="2">
        <v>7398.0</v>
      </c>
      <c r="D181" s="8" t="s">
        <v>12</v>
      </c>
      <c r="E181" s="9" t="s">
        <v>13</v>
      </c>
      <c r="F181" s="2">
        <v>1.0</v>
      </c>
      <c r="G181" s="2">
        <v>1200.0</v>
      </c>
      <c r="H181" s="5">
        <v>46085.0</v>
      </c>
      <c r="I181" s="2" t="s">
        <v>14</v>
      </c>
      <c r="L181" s="11"/>
      <c r="M181" s="2"/>
      <c r="N181" s="11"/>
    </row>
    <row r="182" ht="22.5" hidden="1" customHeight="1">
      <c r="A182" s="2" t="s">
        <v>35</v>
      </c>
      <c r="B182" s="2" t="s">
        <v>168</v>
      </c>
      <c r="C182" s="2">
        <v>7398.0</v>
      </c>
      <c r="D182" s="8" t="s">
        <v>12</v>
      </c>
      <c r="E182" s="9" t="s">
        <v>23</v>
      </c>
      <c r="F182" s="2">
        <v>1.0</v>
      </c>
      <c r="G182" s="2">
        <v>1200.0</v>
      </c>
      <c r="H182" s="5">
        <v>46085.0</v>
      </c>
      <c r="I182" s="2" t="s">
        <v>14</v>
      </c>
      <c r="L182" s="11"/>
      <c r="M182" s="2"/>
      <c r="N182" s="11"/>
    </row>
    <row r="183" ht="22.5" hidden="1" customHeight="1">
      <c r="A183" s="2" t="s">
        <v>170</v>
      </c>
      <c r="B183" s="2" t="s">
        <v>168</v>
      </c>
      <c r="C183" s="2">
        <v>7398.0</v>
      </c>
      <c r="D183" s="8" t="s">
        <v>12</v>
      </c>
      <c r="E183" s="9" t="s">
        <v>16</v>
      </c>
      <c r="F183" s="2">
        <v>1.0</v>
      </c>
      <c r="G183" s="2">
        <v>1200.0</v>
      </c>
      <c r="H183" s="5">
        <v>46085.0</v>
      </c>
      <c r="I183" s="2" t="s">
        <v>24</v>
      </c>
      <c r="L183" s="11"/>
      <c r="M183" s="2"/>
      <c r="N183" s="11"/>
    </row>
    <row r="184" ht="22.5" hidden="1" customHeight="1">
      <c r="A184" s="2" t="s">
        <v>171</v>
      </c>
      <c r="B184" s="2" t="s">
        <v>172</v>
      </c>
      <c r="C184" s="2">
        <v>7307.0</v>
      </c>
      <c r="D184" s="8" t="s">
        <v>22</v>
      </c>
      <c r="E184" s="9" t="s">
        <v>26</v>
      </c>
      <c r="F184" s="2">
        <v>1.0</v>
      </c>
      <c r="G184" s="2">
        <v>2300.0</v>
      </c>
      <c r="H184" s="5">
        <v>46085.0</v>
      </c>
      <c r="I184" s="2" t="s">
        <v>14</v>
      </c>
      <c r="L184" s="11"/>
      <c r="M184" s="2"/>
      <c r="N184" s="11"/>
    </row>
    <row r="185" ht="22.5" hidden="1" customHeight="1">
      <c r="A185" s="2" t="s">
        <v>42</v>
      </c>
      <c r="B185" s="2" t="s">
        <v>172</v>
      </c>
      <c r="C185" s="2">
        <v>7307.0</v>
      </c>
      <c r="D185" s="8" t="s">
        <v>12</v>
      </c>
      <c r="E185" s="9" t="s">
        <v>47</v>
      </c>
      <c r="F185" s="2">
        <v>1.0</v>
      </c>
      <c r="G185" s="2">
        <v>2300.0</v>
      </c>
      <c r="H185" s="5">
        <v>46085.0</v>
      </c>
      <c r="I185" s="2" t="s">
        <v>14</v>
      </c>
      <c r="L185" s="11"/>
      <c r="M185" s="2"/>
      <c r="N185" s="11"/>
    </row>
    <row r="186" ht="22.5" hidden="1" customHeight="1">
      <c r="A186" s="2" t="s">
        <v>84</v>
      </c>
      <c r="B186" s="2" t="s">
        <v>173</v>
      </c>
      <c r="C186" s="2">
        <v>7249.0</v>
      </c>
      <c r="D186" s="8" t="s">
        <v>12</v>
      </c>
      <c r="E186" s="9" t="s">
        <v>58</v>
      </c>
      <c r="F186" s="2">
        <v>1.0</v>
      </c>
      <c r="G186" s="2">
        <v>2300.0</v>
      </c>
      <c r="H186" s="5">
        <v>46085.0</v>
      </c>
      <c r="I186" s="2" t="s">
        <v>14</v>
      </c>
      <c r="L186" s="11"/>
      <c r="M186" s="2"/>
      <c r="N186" s="11"/>
    </row>
    <row r="187" ht="22.5" hidden="1" customHeight="1">
      <c r="A187" s="2" t="s">
        <v>166</v>
      </c>
      <c r="B187" s="2" t="s">
        <v>173</v>
      </c>
      <c r="C187" s="2">
        <v>7249.0</v>
      </c>
      <c r="D187" s="8" t="s">
        <v>22</v>
      </c>
      <c r="E187" s="9" t="s">
        <v>58</v>
      </c>
      <c r="F187" s="2">
        <v>1.0</v>
      </c>
      <c r="G187" s="2">
        <v>2300.0</v>
      </c>
      <c r="H187" s="5">
        <v>46085.0</v>
      </c>
      <c r="I187" s="2" t="s">
        <v>14</v>
      </c>
      <c r="L187" s="11"/>
      <c r="M187" s="2"/>
      <c r="N187" s="11"/>
    </row>
    <row r="188" ht="22.5" hidden="1" customHeight="1">
      <c r="A188" s="2" t="s">
        <v>105</v>
      </c>
      <c r="B188" s="2" t="s">
        <v>173</v>
      </c>
      <c r="C188" s="2">
        <v>7249.0</v>
      </c>
      <c r="D188" s="8" t="s">
        <v>22</v>
      </c>
      <c r="E188" s="9" t="s">
        <v>58</v>
      </c>
      <c r="F188" s="2">
        <v>1.0</v>
      </c>
      <c r="G188" s="2">
        <v>2300.0</v>
      </c>
      <c r="H188" s="5">
        <v>46085.0</v>
      </c>
      <c r="I188" s="2" t="s">
        <v>14</v>
      </c>
      <c r="L188" s="11"/>
      <c r="M188" s="2"/>
      <c r="N188" s="11"/>
    </row>
    <row r="189" ht="22.5" hidden="1" customHeight="1">
      <c r="A189" s="2" t="s">
        <v>157</v>
      </c>
      <c r="B189" s="2" t="s">
        <v>173</v>
      </c>
      <c r="C189" s="2">
        <v>7249.0</v>
      </c>
      <c r="D189" s="8" t="s">
        <v>12</v>
      </c>
      <c r="E189" s="9" t="s">
        <v>58</v>
      </c>
      <c r="F189" s="2">
        <v>1.0</v>
      </c>
      <c r="G189" s="2">
        <v>2300.0</v>
      </c>
      <c r="H189" s="5">
        <v>46085.0</v>
      </c>
      <c r="I189" s="2" t="s">
        <v>14</v>
      </c>
      <c r="L189" s="11"/>
      <c r="M189" s="2"/>
      <c r="N189" s="11"/>
    </row>
    <row r="190" ht="22.5" hidden="1" customHeight="1">
      <c r="A190" s="2" t="s">
        <v>174</v>
      </c>
      <c r="B190" s="2" t="s">
        <v>173</v>
      </c>
      <c r="C190" s="2">
        <v>7249.0</v>
      </c>
      <c r="D190" s="8" t="s">
        <v>12</v>
      </c>
      <c r="E190" s="9" t="s">
        <v>58</v>
      </c>
      <c r="F190" s="2">
        <v>1.0</v>
      </c>
      <c r="G190" s="2">
        <v>2300.0</v>
      </c>
      <c r="H190" s="5">
        <v>46085.0</v>
      </c>
      <c r="I190" s="2" t="s">
        <v>14</v>
      </c>
      <c r="L190" s="11"/>
      <c r="M190" s="2"/>
      <c r="N190" s="11"/>
    </row>
    <row r="191" ht="22.5" hidden="1" customHeight="1">
      <c r="A191" s="2" t="s">
        <v>55</v>
      </c>
      <c r="B191" s="2" t="s">
        <v>173</v>
      </c>
      <c r="C191" s="2">
        <v>7249.0</v>
      </c>
      <c r="D191" s="8" t="s">
        <v>12</v>
      </c>
      <c r="E191" s="9" t="s">
        <v>58</v>
      </c>
      <c r="F191" s="2">
        <v>1.0</v>
      </c>
      <c r="G191" s="2">
        <v>2300.0</v>
      </c>
      <c r="H191" s="5">
        <v>46085.0</v>
      </c>
      <c r="I191" s="2" t="s">
        <v>14</v>
      </c>
      <c r="L191" s="11"/>
      <c r="M191" s="2"/>
      <c r="N191" s="11"/>
    </row>
    <row r="192" ht="22.5" hidden="1" customHeight="1">
      <c r="A192" s="2" t="s">
        <v>175</v>
      </c>
      <c r="B192" s="2" t="s">
        <v>173</v>
      </c>
      <c r="C192" s="2">
        <v>7249.0</v>
      </c>
      <c r="D192" s="8" t="s">
        <v>12</v>
      </c>
      <c r="E192" s="9" t="s">
        <v>58</v>
      </c>
      <c r="F192" s="2">
        <v>1.0</v>
      </c>
      <c r="G192" s="2">
        <v>2300.0</v>
      </c>
      <c r="H192" s="5">
        <v>46085.0</v>
      </c>
      <c r="I192" s="2" t="s">
        <v>14</v>
      </c>
      <c r="L192" s="11"/>
      <c r="M192" s="2"/>
      <c r="N192" s="11"/>
    </row>
    <row r="193" ht="22.5" hidden="1" customHeight="1">
      <c r="A193" s="2" t="s">
        <v>162</v>
      </c>
      <c r="B193" s="2" t="s">
        <v>173</v>
      </c>
      <c r="C193" s="2">
        <v>7249.0</v>
      </c>
      <c r="D193" s="8" t="s">
        <v>22</v>
      </c>
      <c r="E193" s="9" t="s">
        <v>58</v>
      </c>
      <c r="F193" s="2">
        <v>2.0</v>
      </c>
      <c r="G193" s="2">
        <v>2300.0</v>
      </c>
      <c r="H193" s="5">
        <v>46085.0</v>
      </c>
      <c r="I193" s="2" t="s">
        <v>14</v>
      </c>
      <c r="L193" s="11"/>
      <c r="M193" s="2"/>
      <c r="N193" s="11"/>
    </row>
    <row r="194" ht="22.5" hidden="1" customHeight="1">
      <c r="A194" s="2" t="s">
        <v>150</v>
      </c>
      <c r="B194" s="2" t="s">
        <v>176</v>
      </c>
      <c r="C194" s="2">
        <v>7458.0</v>
      </c>
      <c r="D194" s="8" t="s">
        <v>22</v>
      </c>
      <c r="E194" s="9" t="s">
        <v>18</v>
      </c>
      <c r="F194" s="2">
        <v>1.0</v>
      </c>
      <c r="G194" s="2">
        <v>1600.0</v>
      </c>
      <c r="H194" s="5">
        <v>46085.0</v>
      </c>
      <c r="I194" s="2" t="s">
        <v>14</v>
      </c>
      <c r="L194" s="11"/>
      <c r="M194" s="2"/>
      <c r="N194" s="11"/>
    </row>
    <row r="195" ht="22.5" hidden="1" customHeight="1">
      <c r="A195" s="2" t="s">
        <v>177</v>
      </c>
      <c r="B195" s="2" t="s">
        <v>176</v>
      </c>
      <c r="C195" s="2">
        <v>7458.0</v>
      </c>
      <c r="D195" s="8" t="s">
        <v>22</v>
      </c>
      <c r="E195" s="9" t="s">
        <v>18</v>
      </c>
      <c r="F195" s="2">
        <v>1.0</v>
      </c>
      <c r="G195" s="2">
        <v>1600.0</v>
      </c>
      <c r="H195" s="5">
        <v>46085.0</v>
      </c>
      <c r="I195" s="2" t="s">
        <v>14</v>
      </c>
      <c r="L195" s="11"/>
      <c r="M195" s="2"/>
      <c r="N195" s="11"/>
    </row>
    <row r="196" ht="22.5" hidden="1" customHeight="1">
      <c r="A196" s="2" t="s">
        <v>178</v>
      </c>
      <c r="B196" s="2" t="s">
        <v>176</v>
      </c>
      <c r="C196" s="2">
        <v>7458.0</v>
      </c>
      <c r="D196" s="8" t="s">
        <v>22</v>
      </c>
      <c r="E196" s="9" t="s">
        <v>18</v>
      </c>
      <c r="F196" s="2">
        <v>1.0</v>
      </c>
      <c r="G196" s="2">
        <v>1600.0</v>
      </c>
      <c r="H196" s="5">
        <v>46085.0</v>
      </c>
      <c r="I196" s="2" t="s">
        <v>14</v>
      </c>
      <c r="L196" s="11"/>
      <c r="M196" s="2"/>
      <c r="N196" s="11"/>
    </row>
    <row r="197" ht="22.5" hidden="1" customHeight="1">
      <c r="A197" s="2" t="s">
        <v>10</v>
      </c>
      <c r="B197" s="2" t="s">
        <v>176</v>
      </c>
      <c r="C197" s="2">
        <v>7458.0</v>
      </c>
      <c r="D197" s="8" t="s">
        <v>12</v>
      </c>
      <c r="E197" s="9" t="s">
        <v>18</v>
      </c>
      <c r="F197" s="2">
        <v>1.0</v>
      </c>
      <c r="G197" s="2">
        <v>1600.0</v>
      </c>
      <c r="H197" s="5">
        <v>46085.0</v>
      </c>
      <c r="I197" s="2" t="s">
        <v>14</v>
      </c>
      <c r="L197" s="11"/>
      <c r="M197" s="2"/>
      <c r="N197" s="11"/>
    </row>
    <row r="198" ht="22.5" hidden="1" customHeight="1">
      <c r="A198" s="2" t="s">
        <v>157</v>
      </c>
      <c r="B198" s="2" t="s">
        <v>179</v>
      </c>
      <c r="C198" s="2">
        <v>8625.0</v>
      </c>
      <c r="D198" s="8" t="s">
        <v>12</v>
      </c>
      <c r="E198" s="9" t="s">
        <v>58</v>
      </c>
      <c r="F198" s="2">
        <v>1.0</v>
      </c>
      <c r="G198" s="2">
        <v>1550.0</v>
      </c>
      <c r="H198" s="5">
        <v>46085.0</v>
      </c>
      <c r="I198" s="2" t="s">
        <v>14</v>
      </c>
      <c r="L198" s="11"/>
      <c r="M198" s="2"/>
      <c r="N198" s="11"/>
    </row>
    <row r="199" ht="22.5" hidden="1" customHeight="1">
      <c r="A199" s="2" t="s">
        <v>84</v>
      </c>
      <c r="B199" s="2" t="s">
        <v>179</v>
      </c>
      <c r="C199" s="2">
        <v>8625.0</v>
      </c>
      <c r="D199" s="8" t="s">
        <v>12</v>
      </c>
      <c r="E199" s="9" t="s">
        <v>58</v>
      </c>
      <c r="F199" s="2">
        <v>1.0</v>
      </c>
      <c r="G199" s="2">
        <v>1550.0</v>
      </c>
      <c r="H199" s="5">
        <v>46085.0</v>
      </c>
      <c r="I199" s="2" t="s">
        <v>14</v>
      </c>
      <c r="L199" s="11"/>
      <c r="M199" s="2"/>
      <c r="N199" s="11"/>
    </row>
    <row r="200" ht="22.5" hidden="1" customHeight="1">
      <c r="A200" s="2" t="s">
        <v>32</v>
      </c>
      <c r="B200" s="2" t="s">
        <v>179</v>
      </c>
      <c r="C200" s="2">
        <v>8625.0</v>
      </c>
      <c r="D200" s="8" t="s">
        <v>12</v>
      </c>
      <c r="E200" s="9" t="s">
        <v>58</v>
      </c>
      <c r="F200" s="2">
        <v>1.0</v>
      </c>
      <c r="G200" s="2">
        <v>1550.0</v>
      </c>
      <c r="H200" s="5">
        <v>46085.0</v>
      </c>
      <c r="I200" s="2" t="s">
        <v>14</v>
      </c>
      <c r="L200" s="11"/>
      <c r="M200" s="2"/>
      <c r="N200" s="11"/>
    </row>
    <row r="201" ht="22.5" hidden="1" customHeight="1">
      <c r="A201" s="2" t="s">
        <v>180</v>
      </c>
      <c r="B201" s="2" t="s">
        <v>179</v>
      </c>
      <c r="C201" s="2">
        <v>8625.0</v>
      </c>
      <c r="D201" s="8" t="s">
        <v>22</v>
      </c>
      <c r="E201" s="9" t="s">
        <v>58</v>
      </c>
      <c r="F201" s="2">
        <v>1.0</v>
      </c>
      <c r="G201" s="2">
        <v>1550.0</v>
      </c>
      <c r="H201" s="5">
        <v>46085.0</v>
      </c>
      <c r="I201" s="2" t="s">
        <v>14</v>
      </c>
      <c r="L201" s="11"/>
      <c r="M201" s="2"/>
      <c r="N201" s="11"/>
    </row>
    <row r="202" ht="22.5" hidden="1" customHeight="1">
      <c r="A202" s="2" t="s">
        <v>181</v>
      </c>
      <c r="B202" s="2" t="s">
        <v>182</v>
      </c>
      <c r="C202" s="2">
        <v>9369.0</v>
      </c>
      <c r="D202" s="8" t="s">
        <v>12</v>
      </c>
      <c r="E202" s="9" t="s">
        <v>58</v>
      </c>
      <c r="F202" s="2">
        <v>1.0</v>
      </c>
      <c r="G202" s="2">
        <v>2300.0</v>
      </c>
      <c r="H202" s="5">
        <v>46085.0</v>
      </c>
      <c r="I202" s="2" t="s">
        <v>14</v>
      </c>
      <c r="J202" s="12" t="s">
        <v>183</v>
      </c>
      <c r="L202" s="11"/>
      <c r="M202" s="2"/>
      <c r="N202" s="11"/>
    </row>
    <row r="203" ht="22.5" hidden="1" customHeight="1">
      <c r="A203" s="2" t="s">
        <v>184</v>
      </c>
      <c r="B203" s="2" t="s">
        <v>182</v>
      </c>
      <c r="C203" s="2">
        <v>9369.0</v>
      </c>
      <c r="D203" s="8" t="s">
        <v>12</v>
      </c>
      <c r="E203" s="9" t="s">
        <v>58</v>
      </c>
      <c r="F203" s="2">
        <v>1.0</v>
      </c>
      <c r="G203" s="2">
        <v>2300.0</v>
      </c>
      <c r="H203" s="5">
        <v>46085.0</v>
      </c>
      <c r="I203" s="2" t="s">
        <v>14</v>
      </c>
      <c r="L203" s="11"/>
      <c r="M203" s="2"/>
      <c r="N203" s="11"/>
    </row>
    <row r="204" ht="22.5" hidden="1" customHeight="1">
      <c r="A204" s="2" t="s">
        <v>185</v>
      </c>
      <c r="B204" s="2" t="s">
        <v>182</v>
      </c>
      <c r="C204" s="2">
        <v>9369.0</v>
      </c>
      <c r="D204" s="8" t="s">
        <v>22</v>
      </c>
      <c r="E204" s="9" t="s">
        <v>58</v>
      </c>
      <c r="F204" s="2">
        <v>1.0</v>
      </c>
      <c r="G204" s="2">
        <v>2300.0</v>
      </c>
      <c r="H204" s="5">
        <v>46085.0</v>
      </c>
      <c r="I204" s="2" t="s">
        <v>14</v>
      </c>
      <c r="L204" s="11"/>
      <c r="M204" s="2"/>
      <c r="N204" s="11"/>
    </row>
    <row r="205" ht="22.5" hidden="1" customHeight="1">
      <c r="A205" s="2" t="s">
        <v>186</v>
      </c>
      <c r="B205" s="2" t="s">
        <v>182</v>
      </c>
      <c r="C205" s="2">
        <v>9369.0</v>
      </c>
      <c r="D205" s="8" t="s">
        <v>22</v>
      </c>
      <c r="E205" s="9" t="s">
        <v>58</v>
      </c>
      <c r="F205" s="2">
        <v>1.0</v>
      </c>
      <c r="G205" s="2">
        <v>2300.0</v>
      </c>
      <c r="H205" s="5">
        <v>46085.0</v>
      </c>
      <c r="I205" s="2" t="s">
        <v>14</v>
      </c>
      <c r="L205" s="11"/>
      <c r="M205" s="2"/>
      <c r="N205" s="11"/>
    </row>
    <row r="206" ht="22.5" hidden="1" customHeight="1">
      <c r="A206" s="2" t="s">
        <v>106</v>
      </c>
      <c r="B206" s="2" t="s">
        <v>182</v>
      </c>
      <c r="C206" s="2">
        <v>9369.0</v>
      </c>
      <c r="D206" s="8" t="s">
        <v>22</v>
      </c>
      <c r="E206" s="9" t="s">
        <v>58</v>
      </c>
      <c r="F206" s="2">
        <v>1.0</v>
      </c>
      <c r="G206" s="2">
        <v>2300.0</v>
      </c>
      <c r="H206" s="5">
        <v>46085.0</v>
      </c>
      <c r="I206" s="2" t="s">
        <v>14</v>
      </c>
      <c r="L206" s="11"/>
      <c r="M206" s="2"/>
      <c r="N206" s="11"/>
    </row>
    <row r="207" ht="22.5" hidden="1" customHeight="1">
      <c r="A207" s="2" t="s">
        <v>124</v>
      </c>
      <c r="B207" s="2" t="s">
        <v>182</v>
      </c>
      <c r="C207" s="2">
        <v>9369.0</v>
      </c>
      <c r="D207" s="8" t="s">
        <v>12</v>
      </c>
      <c r="E207" s="9" t="s">
        <v>58</v>
      </c>
      <c r="F207" s="2">
        <v>1.0</v>
      </c>
      <c r="G207" s="2">
        <v>2300.0</v>
      </c>
      <c r="H207" s="5">
        <v>46085.0</v>
      </c>
      <c r="I207" s="2" t="s">
        <v>14</v>
      </c>
      <c r="L207" s="11"/>
      <c r="M207" s="2"/>
      <c r="N207" s="11"/>
    </row>
    <row r="208" ht="22.5" hidden="1" customHeight="1">
      <c r="A208" s="2" t="s">
        <v>187</v>
      </c>
      <c r="B208" s="2" t="s">
        <v>182</v>
      </c>
      <c r="C208" s="2">
        <v>9369.0</v>
      </c>
      <c r="D208" s="8" t="s">
        <v>22</v>
      </c>
      <c r="E208" s="9" t="s">
        <v>58</v>
      </c>
      <c r="F208" s="2">
        <v>1.0</v>
      </c>
      <c r="G208" s="2">
        <v>2300.0</v>
      </c>
      <c r="H208" s="5">
        <v>46085.0</v>
      </c>
      <c r="I208" s="2" t="s">
        <v>14</v>
      </c>
      <c r="L208" s="11"/>
      <c r="M208" s="2"/>
      <c r="N208" s="11"/>
    </row>
    <row r="209" ht="22.5" hidden="1" customHeight="1">
      <c r="A209" s="2" t="s">
        <v>162</v>
      </c>
      <c r="B209" s="2" t="s">
        <v>182</v>
      </c>
      <c r="C209" s="2">
        <v>9369.0</v>
      </c>
      <c r="D209" s="8" t="s">
        <v>22</v>
      </c>
      <c r="E209" s="9" t="s">
        <v>58</v>
      </c>
      <c r="F209" s="2">
        <v>2.0</v>
      </c>
      <c r="G209" s="2">
        <v>2300.0</v>
      </c>
      <c r="H209" s="5">
        <v>46085.0</v>
      </c>
      <c r="I209" s="2" t="s">
        <v>14</v>
      </c>
      <c r="L209" s="11"/>
      <c r="M209" s="2"/>
      <c r="N209" s="11"/>
    </row>
    <row r="210" ht="22.5" hidden="1" customHeight="1">
      <c r="A210" s="2" t="s">
        <v>188</v>
      </c>
      <c r="B210" s="2" t="s">
        <v>182</v>
      </c>
      <c r="C210" s="2">
        <v>9369.0</v>
      </c>
      <c r="D210" s="8" t="s">
        <v>12</v>
      </c>
      <c r="E210" s="9" t="s">
        <v>58</v>
      </c>
      <c r="F210" s="2">
        <v>1.0</v>
      </c>
      <c r="G210" s="2">
        <v>2300.0</v>
      </c>
      <c r="H210" s="5">
        <v>46085.0</v>
      </c>
      <c r="I210" s="2" t="s">
        <v>14</v>
      </c>
      <c r="L210" s="11"/>
      <c r="M210" s="2"/>
      <c r="N210" s="11"/>
    </row>
    <row r="211" ht="22.5" hidden="1" customHeight="1">
      <c r="A211" s="2" t="s">
        <v>189</v>
      </c>
      <c r="B211" s="2" t="s">
        <v>182</v>
      </c>
      <c r="C211" s="2">
        <v>9369.0</v>
      </c>
      <c r="D211" s="8" t="s">
        <v>12</v>
      </c>
      <c r="E211" s="9" t="s">
        <v>58</v>
      </c>
      <c r="F211" s="2">
        <v>1.0</v>
      </c>
      <c r="G211" s="2">
        <v>2300.0</v>
      </c>
      <c r="H211" s="5">
        <v>46085.0</v>
      </c>
      <c r="I211" s="2" t="s">
        <v>14</v>
      </c>
      <c r="L211" s="11"/>
      <c r="M211" s="2"/>
      <c r="N211" s="11"/>
    </row>
    <row r="212" ht="22.5" hidden="1" customHeight="1">
      <c r="A212" s="2" t="s">
        <v>41</v>
      </c>
      <c r="B212" s="2" t="s">
        <v>182</v>
      </c>
      <c r="C212" s="2">
        <v>9369.0</v>
      </c>
      <c r="D212" s="8" t="s">
        <v>12</v>
      </c>
      <c r="E212" s="9" t="s">
        <v>58</v>
      </c>
      <c r="F212" s="2">
        <v>1.0</v>
      </c>
      <c r="G212" s="2">
        <v>2300.0</v>
      </c>
      <c r="H212" s="5">
        <v>46085.0</v>
      </c>
      <c r="I212" s="2" t="s">
        <v>14</v>
      </c>
      <c r="L212" s="11"/>
      <c r="M212" s="2"/>
      <c r="N212" s="11"/>
    </row>
    <row r="213" ht="22.5" hidden="1" customHeight="1">
      <c r="A213" s="2" t="s">
        <v>190</v>
      </c>
      <c r="B213" s="2" t="s">
        <v>182</v>
      </c>
      <c r="C213" s="2">
        <v>9369.0</v>
      </c>
      <c r="D213" s="8" t="s">
        <v>12</v>
      </c>
      <c r="E213" s="9" t="s">
        <v>58</v>
      </c>
      <c r="F213" s="2">
        <v>1.0</v>
      </c>
      <c r="G213" s="2">
        <v>2300.0</v>
      </c>
      <c r="H213" s="5">
        <v>46085.0</v>
      </c>
      <c r="I213" s="2" t="s">
        <v>14</v>
      </c>
      <c r="L213" s="11"/>
      <c r="M213" s="2"/>
      <c r="N213" s="11"/>
    </row>
    <row r="214" ht="22.5" hidden="1" customHeight="1">
      <c r="A214" s="2" t="s">
        <v>191</v>
      </c>
      <c r="B214" s="2" t="s">
        <v>182</v>
      </c>
      <c r="C214" s="2">
        <v>9369.0</v>
      </c>
      <c r="D214" s="8" t="s">
        <v>12</v>
      </c>
      <c r="E214" s="9" t="s">
        <v>58</v>
      </c>
      <c r="F214" s="2">
        <v>1.0</v>
      </c>
      <c r="G214" s="2">
        <v>2300.0</v>
      </c>
      <c r="H214" s="5">
        <v>46085.0</v>
      </c>
      <c r="I214" s="2" t="s">
        <v>14</v>
      </c>
      <c r="L214" s="11"/>
      <c r="M214" s="2"/>
      <c r="N214" s="11"/>
    </row>
    <row r="215" ht="22.5" hidden="1" customHeight="1">
      <c r="A215" s="2" t="s">
        <v>192</v>
      </c>
      <c r="B215" s="2" t="s">
        <v>182</v>
      </c>
      <c r="C215" s="2">
        <v>9369.0</v>
      </c>
      <c r="D215" s="8" t="s">
        <v>12</v>
      </c>
      <c r="E215" s="9" t="s">
        <v>58</v>
      </c>
      <c r="F215" s="2">
        <v>1.0</v>
      </c>
      <c r="G215" s="2">
        <v>2300.0</v>
      </c>
      <c r="H215" s="5">
        <v>46085.0</v>
      </c>
      <c r="I215" s="2" t="s">
        <v>14</v>
      </c>
      <c r="L215" s="11"/>
      <c r="M215" s="2"/>
      <c r="N215" s="11"/>
    </row>
    <row r="216" ht="22.5" hidden="1" customHeight="1">
      <c r="A216" s="2" t="s">
        <v>193</v>
      </c>
      <c r="B216" s="2" t="s">
        <v>182</v>
      </c>
      <c r="C216" s="2">
        <v>9369.0</v>
      </c>
      <c r="D216" s="8" t="s">
        <v>12</v>
      </c>
      <c r="E216" s="9" t="s">
        <v>58</v>
      </c>
      <c r="F216" s="2">
        <v>1.0</v>
      </c>
      <c r="G216" s="2">
        <v>2300.0</v>
      </c>
      <c r="H216" s="5">
        <v>46085.0</v>
      </c>
      <c r="I216" s="2" t="s">
        <v>14</v>
      </c>
      <c r="L216" s="11"/>
      <c r="M216" s="2"/>
      <c r="N216" s="11"/>
    </row>
    <row r="217" ht="22.5" hidden="1" customHeight="1">
      <c r="A217" s="2" t="s">
        <v>129</v>
      </c>
      <c r="B217" s="2" t="s">
        <v>182</v>
      </c>
      <c r="C217" s="2">
        <v>9369.0</v>
      </c>
      <c r="D217" s="8" t="s">
        <v>12</v>
      </c>
      <c r="E217" s="9" t="s">
        <v>58</v>
      </c>
      <c r="F217" s="2">
        <v>1.0</v>
      </c>
      <c r="G217" s="2">
        <v>2300.0</v>
      </c>
      <c r="H217" s="5">
        <v>46085.0</v>
      </c>
      <c r="I217" s="2" t="s">
        <v>14</v>
      </c>
      <c r="L217" s="11"/>
      <c r="M217" s="2"/>
      <c r="N217" s="11"/>
    </row>
    <row r="218" ht="22.5" hidden="1" customHeight="1">
      <c r="A218" s="2" t="s">
        <v>79</v>
      </c>
      <c r="B218" s="2" t="s">
        <v>182</v>
      </c>
      <c r="C218" s="2">
        <v>9369.0</v>
      </c>
      <c r="D218" s="8" t="s">
        <v>12</v>
      </c>
      <c r="E218" s="9" t="s">
        <v>58</v>
      </c>
      <c r="F218" s="2">
        <v>1.0</v>
      </c>
      <c r="G218" s="2">
        <v>2300.0</v>
      </c>
      <c r="H218" s="5">
        <v>46085.0</v>
      </c>
      <c r="I218" s="2" t="s">
        <v>14</v>
      </c>
      <c r="J218" s="12" t="s">
        <v>194</v>
      </c>
      <c r="L218" s="11"/>
      <c r="M218" s="2"/>
      <c r="N218" s="11"/>
    </row>
    <row r="219" ht="22.5" hidden="1" customHeight="1">
      <c r="A219" s="2" t="s">
        <v>195</v>
      </c>
      <c r="B219" s="2" t="s">
        <v>196</v>
      </c>
      <c r="C219" s="2">
        <v>8876.0</v>
      </c>
      <c r="D219" s="8" t="s">
        <v>22</v>
      </c>
      <c r="E219" s="9" t="s">
        <v>18</v>
      </c>
      <c r="F219" s="2">
        <v>1.0</v>
      </c>
      <c r="G219" s="2">
        <v>990.0</v>
      </c>
      <c r="H219" s="5">
        <v>46085.0</v>
      </c>
      <c r="I219" s="2" t="s">
        <v>14</v>
      </c>
      <c r="L219" s="11"/>
      <c r="M219" s="2"/>
      <c r="N219" s="11"/>
    </row>
    <row r="220" ht="22.5" hidden="1" customHeight="1">
      <c r="A220" s="2" t="s">
        <v>195</v>
      </c>
      <c r="B220" s="2" t="s">
        <v>196</v>
      </c>
      <c r="C220" s="2">
        <v>8876.0</v>
      </c>
      <c r="D220" s="8" t="s">
        <v>12</v>
      </c>
      <c r="E220" s="9" t="s">
        <v>26</v>
      </c>
      <c r="F220" s="2">
        <v>1.0</v>
      </c>
      <c r="G220" s="2">
        <v>990.0</v>
      </c>
      <c r="H220" s="5">
        <v>46085.0</v>
      </c>
      <c r="I220" s="2" t="s">
        <v>14</v>
      </c>
      <c r="L220" s="11"/>
      <c r="M220" s="2"/>
      <c r="N220" s="11"/>
    </row>
    <row r="221" ht="22.5" hidden="1" customHeight="1">
      <c r="A221" s="2" t="s">
        <v>197</v>
      </c>
      <c r="B221" s="2" t="s">
        <v>196</v>
      </c>
      <c r="C221" s="2">
        <v>8876.0</v>
      </c>
      <c r="D221" s="8" t="s">
        <v>12</v>
      </c>
      <c r="E221" s="9" t="s">
        <v>16</v>
      </c>
      <c r="F221" s="2">
        <v>1.0</v>
      </c>
      <c r="G221" s="2">
        <v>990.0</v>
      </c>
      <c r="H221" s="5">
        <v>46085.0</v>
      </c>
      <c r="I221" s="2" t="s">
        <v>14</v>
      </c>
      <c r="L221" s="11"/>
      <c r="M221" s="2"/>
      <c r="N221" s="11"/>
    </row>
    <row r="222" ht="22.5" hidden="1" customHeight="1">
      <c r="A222" s="2" t="s">
        <v>139</v>
      </c>
      <c r="B222" s="2" t="s">
        <v>196</v>
      </c>
      <c r="C222" s="2">
        <v>8876.0</v>
      </c>
      <c r="D222" s="8" t="s">
        <v>22</v>
      </c>
      <c r="E222" s="9" t="s">
        <v>18</v>
      </c>
      <c r="F222" s="2">
        <v>1.0</v>
      </c>
      <c r="G222" s="2">
        <v>990.0</v>
      </c>
      <c r="H222" s="5">
        <v>46085.0</v>
      </c>
      <c r="I222" s="2" t="s">
        <v>14</v>
      </c>
      <c r="L222" s="11"/>
      <c r="M222" s="2"/>
      <c r="N222" s="11"/>
    </row>
    <row r="223" ht="22.5" hidden="1" customHeight="1">
      <c r="A223" s="2" t="s">
        <v>139</v>
      </c>
      <c r="B223" s="2" t="s">
        <v>196</v>
      </c>
      <c r="C223" s="2">
        <v>8876.0</v>
      </c>
      <c r="D223" s="8" t="s">
        <v>22</v>
      </c>
      <c r="E223" s="9" t="s">
        <v>13</v>
      </c>
      <c r="F223" s="2">
        <v>1.0</v>
      </c>
      <c r="G223" s="2">
        <v>990.0</v>
      </c>
      <c r="H223" s="5">
        <v>46085.0</v>
      </c>
      <c r="I223" s="2" t="s">
        <v>14</v>
      </c>
      <c r="L223" s="11"/>
      <c r="M223" s="2"/>
      <c r="N223" s="11"/>
    </row>
    <row r="224" ht="22.5" hidden="1" customHeight="1">
      <c r="A224" s="2" t="s">
        <v>139</v>
      </c>
      <c r="B224" s="2" t="s">
        <v>196</v>
      </c>
      <c r="C224" s="2">
        <v>8876.0</v>
      </c>
      <c r="D224" s="8" t="s">
        <v>22</v>
      </c>
      <c r="E224" s="9" t="s">
        <v>198</v>
      </c>
      <c r="F224" s="2">
        <v>1.0</v>
      </c>
      <c r="G224" s="2">
        <v>990.0</v>
      </c>
      <c r="H224" s="5">
        <v>46085.0</v>
      </c>
      <c r="I224" s="2" t="s">
        <v>14</v>
      </c>
      <c r="L224" s="11"/>
      <c r="M224" s="2"/>
      <c r="N224" s="11"/>
    </row>
    <row r="225" ht="22.5" hidden="1" customHeight="1">
      <c r="A225" s="2" t="s">
        <v>96</v>
      </c>
      <c r="B225" s="2" t="s">
        <v>196</v>
      </c>
      <c r="C225" s="2">
        <v>8876.0</v>
      </c>
      <c r="D225" s="8" t="s">
        <v>12</v>
      </c>
      <c r="E225" s="9" t="s">
        <v>18</v>
      </c>
      <c r="F225" s="2">
        <v>1.0</v>
      </c>
      <c r="G225" s="2">
        <v>990.0</v>
      </c>
      <c r="H225" s="5">
        <v>46085.0</v>
      </c>
      <c r="I225" s="2" t="s">
        <v>14</v>
      </c>
      <c r="L225" s="11"/>
      <c r="M225" s="2"/>
      <c r="N225" s="11"/>
    </row>
    <row r="226" ht="22.5" hidden="1" customHeight="1">
      <c r="A226" s="2" t="s">
        <v>199</v>
      </c>
      <c r="B226" s="2" t="s">
        <v>196</v>
      </c>
      <c r="C226" s="2">
        <v>8876.0</v>
      </c>
      <c r="D226" s="8" t="s">
        <v>22</v>
      </c>
      <c r="E226" s="9" t="s">
        <v>18</v>
      </c>
      <c r="F226" s="2">
        <v>1.0</v>
      </c>
      <c r="G226" s="2">
        <v>990.0</v>
      </c>
      <c r="H226" s="5">
        <v>46085.0</v>
      </c>
      <c r="I226" s="2" t="s">
        <v>14</v>
      </c>
      <c r="L226" s="11"/>
      <c r="M226" s="2"/>
      <c r="N226" s="11"/>
    </row>
    <row r="227" ht="22.5" hidden="1" customHeight="1">
      <c r="A227" s="2" t="s">
        <v>200</v>
      </c>
      <c r="B227" s="2" t="s">
        <v>196</v>
      </c>
      <c r="C227" s="2">
        <v>8876.0</v>
      </c>
      <c r="D227" s="8" t="s">
        <v>22</v>
      </c>
      <c r="E227" s="9" t="s">
        <v>18</v>
      </c>
      <c r="F227" s="2">
        <v>1.0</v>
      </c>
      <c r="G227" s="2">
        <v>990.0</v>
      </c>
      <c r="H227" s="5">
        <v>46085.0</v>
      </c>
      <c r="I227" s="2" t="s">
        <v>14</v>
      </c>
      <c r="L227" s="11"/>
      <c r="M227" s="2"/>
      <c r="N227" s="11"/>
    </row>
    <row r="228" ht="22.5" hidden="1" customHeight="1">
      <c r="A228" s="2" t="s">
        <v>200</v>
      </c>
      <c r="B228" s="2" t="s">
        <v>196</v>
      </c>
      <c r="C228" s="2">
        <v>8876.0</v>
      </c>
      <c r="D228" s="8" t="s">
        <v>22</v>
      </c>
      <c r="E228" s="9" t="s">
        <v>13</v>
      </c>
      <c r="F228" s="2">
        <v>1.0</v>
      </c>
      <c r="G228" s="2">
        <v>990.0</v>
      </c>
      <c r="H228" s="5">
        <v>46085.0</v>
      </c>
      <c r="I228" s="2" t="s">
        <v>14</v>
      </c>
      <c r="L228" s="11"/>
      <c r="M228" s="2"/>
      <c r="N228" s="11"/>
    </row>
    <row r="229" ht="22.5" hidden="1" customHeight="1">
      <c r="A229" s="2" t="s">
        <v>201</v>
      </c>
      <c r="B229" s="2" t="s">
        <v>196</v>
      </c>
      <c r="C229" s="2">
        <v>8876.0</v>
      </c>
      <c r="D229" s="8" t="s">
        <v>12</v>
      </c>
      <c r="E229" s="9" t="s">
        <v>26</v>
      </c>
      <c r="F229" s="2">
        <v>1.0</v>
      </c>
      <c r="G229" s="2">
        <v>990.0</v>
      </c>
      <c r="H229" s="5">
        <v>46085.0</v>
      </c>
      <c r="I229" s="2" t="s">
        <v>14</v>
      </c>
      <c r="L229" s="11"/>
      <c r="M229" s="2"/>
      <c r="N229" s="11"/>
    </row>
    <row r="230" ht="22.5" hidden="1" customHeight="1">
      <c r="A230" s="2" t="s">
        <v>201</v>
      </c>
      <c r="B230" s="2" t="s">
        <v>196</v>
      </c>
      <c r="C230" s="2">
        <v>8876.0</v>
      </c>
      <c r="D230" s="8" t="s">
        <v>22</v>
      </c>
      <c r="E230" s="9" t="s">
        <v>26</v>
      </c>
      <c r="F230" s="2">
        <v>1.0</v>
      </c>
      <c r="G230" s="2">
        <v>990.0</v>
      </c>
      <c r="H230" s="5">
        <v>46085.0</v>
      </c>
      <c r="I230" s="2" t="s">
        <v>14</v>
      </c>
      <c r="L230" s="11"/>
      <c r="M230" s="2"/>
      <c r="N230" s="11"/>
    </row>
    <row r="231" ht="22.5" hidden="1" customHeight="1">
      <c r="A231" s="2" t="s">
        <v>201</v>
      </c>
      <c r="B231" s="2" t="s">
        <v>196</v>
      </c>
      <c r="C231" s="2">
        <v>8876.0</v>
      </c>
      <c r="D231" s="8" t="s">
        <v>12</v>
      </c>
      <c r="E231" s="9" t="s">
        <v>18</v>
      </c>
      <c r="F231" s="2">
        <v>1.0</v>
      </c>
      <c r="G231" s="2">
        <v>990.0</v>
      </c>
      <c r="H231" s="5">
        <v>46085.0</v>
      </c>
      <c r="I231" s="2" t="s">
        <v>14</v>
      </c>
      <c r="L231" s="11"/>
      <c r="M231" s="2"/>
      <c r="N231" s="11"/>
    </row>
    <row r="232" ht="22.5" hidden="1" customHeight="1">
      <c r="A232" s="2" t="s">
        <v>201</v>
      </c>
      <c r="B232" s="2" t="s">
        <v>196</v>
      </c>
      <c r="C232" s="2">
        <v>8876.0</v>
      </c>
      <c r="D232" s="8" t="s">
        <v>12</v>
      </c>
      <c r="E232" s="9" t="s">
        <v>13</v>
      </c>
      <c r="F232" s="2">
        <v>1.0</v>
      </c>
      <c r="G232" s="2">
        <v>990.0</v>
      </c>
      <c r="H232" s="5">
        <v>46085.0</v>
      </c>
      <c r="I232" s="2" t="s">
        <v>14</v>
      </c>
      <c r="L232" s="11"/>
      <c r="M232" s="2"/>
      <c r="N232" s="11"/>
    </row>
    <row r="233" ht="22.5" hidden="1" customHeight="1">
      <c r="A233" s="2" t="s">
        <v>202</v>
      </c>
      <c r="B233" s="2" t="s">
        <v>196</v>
      </c>
      <c r="C233" s="2">
        <v>8876.0</v>
      </c>
      <c r="D233" s="8" t="s">
        <v>22</v>
      </c>
      <c r="E233" s="9" t="s">
        <v>18</v>
      </c>
      <c r="F233" s="2">
        <v>1.0</v>
      </c>
      <c r="G233" s="2">
        <v>990.0</v>
      </c>
      <c r="H233" s="5">
        <v>46085.0</v>
      </c>
      <c r="I233" s="2" t="s">
        <v>14</v>
      </c>
      <c r="L233" s="11"/>
      <c r="M233" s="2"/>
      <c r="N233" s="11"/>
    </row>
    <row r="234" ht="22.5" hidden="1" customHeight="1">
      <c r="A234" s="2" t="s">
        <v>202</v>
      </c>
      <c r="B234" s="2" t="s">
        <v>196</v>
      </c>
      <c r="C234" s="2">
        <v>8876.0</v>
      </c>
      <c r="D234" s="8" t="s">
        <v>22</v>
      </c>
      <c r="E234" s="9" t="s">
        <v>13</v>
      </c>
      <c r="F234" s="2">
        <v>1.0</v>
      </c>
      <c r="G234" s="2">
        <v>990.0</v>
      </c>
      <c r="H234" s="5">
        <v>46085.0</v>
      </c>
      <c r="I234" s="2" t="s">
        <v>14</v>
      </c>
      <c r="L234" s="11"/>
      <c r="M234" s="2"/>
      <c r="N234" s="11"/>
    </row>
    <row r="235" ht="22.5" hidden="1" customHeight="1">
      <c r="A235" s="2" t="s">
        <v>203</v>
      </c>
      <c r="B235" s="2" t="s">
        <v>196</v>
      </c>
      <c r="C235" s="2">
        <v>8876.0</v>
      </c>
      <c r="D235" s="8" t="s">
        <v>22</v>
      </c>
      <c r="E235" s="9" t="s">
        <v>18</v>
      </c>
      <c r="F235" s="2">
        <v>1.0</v>
      </c>
      <c r="G235" s="2">
        <v>990.0</v>
      </c>
      <c r="H235" s="5">
        <v>46085.0</v>
      </c>
      <c r="I235" s="2" t="s">
        <v>14</v>
      </c>
      <c r="L235" s="11"/>
      <c r="M235" s="2"/>
      <c r="N235" s="11"/>
    </row>
    <row r="236" ht="22.5" hidden="1" customHeight="1">
      <c r="A236" s="2" t="s">
        <v>48</v>
      </c>
      <c r="B236" s="2" t="s">
        <v>196</v>
      </c>
      <c r="C236" s="2">
        <v>8876.0</v>
      </c>
      <c r="D236" s="8" t="s">
        <v>12</v>
      </c>
      <c r="E236" s="9" t="s">
        <v>18</v>
      </c>
      <c r="F236" s="2">
        <v>1.0</v>
      </c>
      <c r="G236" s="2">
        <v>990.0</v>
      </c>
      <c r="H236" s="5">
        <v>46085.0</v>
      </c>
      <c r="I236" s="2" t="s">
        <v>14</v>
      </c>
      <c r="L236" s="11"/>
      <c r="M236" s="2"/>
      <c r="N236" s="11"/>
    </row>
    <row r="237" ht="22.5" hidden="1" customHeight="1">
      <c r="A237" s="2" t="s">
        <v>178</v>
      </c>
      <c r="B237" s="2" t="s">
        <v>196</v>
      </c>
      <c r="C237" s="2">
        <v>8876.0</v>
      </c>
      <c r="D237" s="8" t="s">
        <v>22</v>
      </c>
      <c r="E237" s="9" t="s">
        <v>198</v>
      </c>
      <c r="F237" s="2">
        <v>1.0</v>
      </c>
      <c r="G237" s="2">
        <v>990.0</v>
      </c>
      <c r="H237" s="5">
        <v>46085.0</v>
      </c>
      <c r="I237" s="2" t="s">
        <v>14</v>
      </c>
      <c r="L237" s="11"/>
      <c r="M237" s="2"/>
      <c r="N237" s="11"/>
    </row>
    <row r="238" ht="22.5" hidden="1" customHeight="1">
      <c r="A238" s="2" t="s">
        <v>101</v>
      </c>
      <c r="B238" s="2" t="s">
        <v>196</v>
      </c>
      <c r="C238" s="2">
        <v>8876.0</v>
      </c>
      <c r="D238" s="8" t="s">
        <v>12</v>
      </c>
      <c r="E238" s="9" t="s">
        <v>13</v>
      </c>
      <c r="F238" s="2">
        <v>1.0</v>
      </c>
      <c r="G238" s="2">
        <v>990.0</v>
      </c>
      <c r="H238" s="5">
        <v>46085.0</v>
      </c>
      <c r="I238" s="2" t="s">
        <v>14</v>
      </c>
      <c r="L238" s="11"/>
      <c r="M238" s="2"/>
      <c r="N238" s="11"/>
    </row>
    <row r="239" ht="22.5" hidden="1" customHeight="1">
      <c r="A239" s="2" t="s">
        <v>101</v>
      </c>
      <c r="B239" s="2" t="s">
        <v>196</v>
      </c>
      <c r="C239" s="2">
        <v>8876.0</v>
      </c>
      <c r="D239" s="8" t="s">
        <v>12</v>
      </c>
      <c r="E239" s="9" t="s">
        <v>26</v>
      </c>
      <c r="F239" s="2">
        <v>1.0</v>
      </c>
      <c r="G239" s="2">
        <v>990.0</v>
      </c>
      <c r="H239" s="5">
        <v>46085.0</v>
      </c>
      <c r="I239" s="2" t="s">
        <v>14</v>
      </c>
      <c r="L239" s="11"/>
      <c r="M239" s="2"/>
      <c r="N239" s="11"/>
    </row>
    <row r="240" ht="22.5" hidden="1" customHeight="1">
      <c r="A240" s="2" t="s">
        <v>204</v>
      </c>
      <c r="B240" s="2" t="s">
        <v>196</v>
      </c>
      <c r="C240" s="2">
        <v>8876.0</v>
      </c>
      <c r="D240" s="8" t="s">
        <v>12</v>
      </c>
      <c r="E240" s="9" t="s">
        <v>18</v>
      </c>
      <c r="F240" s="2">
        <v>1.0</v>
      </c>
      <c r="G240" s="2">
        <v>990.0</v>
      </c>
      <c r="H240" s="5">
        <v>46085.0</v>
      </c>
      <c r="I240" s="2" t="s">
        <v>14</v>
      </c>
      <c r="L240" s="11"/>
      <c r="M240" s="2"/>
      <c r="N240" s="11"/>
    </row>
    <row r="241" ht="22.5" hidden="1" customHeight="1">
      <c r="A241" s="2" t="s">
        <v>204</v>
      </c>
      <c r="B241" s="2" t="s">
        <v>196</v>
      </c>
      <c r="C241" s="2">
        <v>8876.0</v>
      </c>
      <c r="D241" s="8" t="s">
        <v>12</v>
      </c>
      <c r="E241" s="9" t="s">
        <v>13</v>
      </c>
      <c r="F241" s="2">
        <v>1.0</v>
      </c>
      <c r="G241" s="2">
        <v>990.0</v>
      </c>
      <c r="H241" s="5">
        <v>46085.0</v>
      </c>
      <c r="I241" s="2" t="s">
        <v>14</v>
      </c>
      <c r="L241" s="11"/>
      <c r="M241" s="2"/>
      <c r="N241" s="11"/>
    </row>
    <row r="242" ht="22.5" hidden="1" customHeight="1">
      <c r="A242" s="2" t="s">
        <v>205</v>
      </c>
      <c r="B242" s="2" t="s">
        <v>196</v>
      </c>
      <c r="C242" s="2">
        <v>8876.0</v>
      </c>
      <c r="D242" s="8" t="s">
        <v>12</v>
      </c>
      <c r="E242" s="9" t="s">
        <v>18</v>
      </c>
      <c r="F242" s="2">
        <v>1.0</v>
      </c>
      <c r="G242" s="2">
        <v>990.0</v>
      </c>
      <c r="H242" s="5">
        <v>46085.0</v>
      </c>
      <c r="I242" s="2" t="s">
        <v>14</v>
      </c>
      <c r="L242" s="11"/>
      <c r="M242" s="2"/>
      <c r="N242" s="11"/>
    </row>
    <row r="243" ht="22.5" hidden="1" customHeight="1">
      <c r="A243" s="2" t="s">
        <v>205</v>
      </c>
      <c r="B243" s="2" t="s">
        <v>196</v>
      </c>
      <c r="C243" s="2">
        <v>8876.0</v>
      </c>
      <c r="D243" s="8" t="s">
        <v>12</v>
      </c>
      <c r="E243" s="9" t="s">
        <v>13</v>
      </c>
      <c r="F243" s="2">
        <v>1.0</v>
      </c>
      <c r="G243" s="2">
        <v>990.0</v>
      </c>
      <c r="H243" s="5">
        <v>46085.0</v>
      </c>
      <c r="I243" s="2" t="s">
        <v>14</v>
      </c>
      <c r="L243" s="11"/>
      <c r="M243" s="2"/>
      <c r="N243" s="11"/>
    </row>
    <row r="244" ht="22.5" hidden="1" customHeight="1">
      <c r="A244" s="2" t="s">
        <v>206</v>
      </c>
      <c r="B244" s="2" t="s">
        <v>196</v>
      </c>
      <c r="C244" s="2">
        <v>8876.0</v>
      </c>
      <c r="D244" s="8" t="s">
        <v>22</v>
      </c>
      <c r="E244" s="9" t="s">
        <v>26</v>
      </c>
      <c r="F244" s="2">
        <v>1.0</v>
      </c>
      <c r="G244" s="2">
        <v>990.0</v>
      </c>
      <c r="H244" s="5">
        <v>46085.0</v>
      </c>
      <c r="I244" s="2" t="s">
        <v>14</v>
      </c>
      <c r="L244" s="11"/>
      <c r="M244" s="2"/>
      <c r="N244" s="11"/>
    </row>
    <row r="245" ht="22.5" hidden="1" customHeight="1">
      <c r="A245" s="2" t="s">
        <v>49</v>
      </c>
      <c r="B245" s="2" t="s">
        <v>196</v>
      </c>
      <c r="C245" s="2">
        <v>8876.0</v>
      </c>
      <c r="D245" s="8" t="s">
        <v>12</v>
      </c>
      <c r="E245" s="9" t="s">
        <v>13</v>
      </c>
      <c r="F245" s="2">
        <v>1.0</v>
      </c>
      <c r="G245" s="2">
        <v>990.0</v>
      </c>
      <c r="H245" s="5">
        <v>46085.0</v>
      </c>
      <c r="I245" s="2" t="s">
        <v>14</v>
      </c>
      <c r="L245" s="11"/>
      <c r="M245" s="2"/>
      <c r="N245" s="11"/>
    </row>
    <row r="246" ht="22.5" hidden="1" customHeight="1">
      <c r="A246" s="2" t="s">
        <v>207</v>
      </c>
      <c r="B246" s="2" t="s">
        <v>196</v>
      </c>
      <c r="C246" s="2">
        <v>8876.0</v>
      </c>
      <c r="D246" s="8" t="s">
        <v>12</v>
      </c>
      <c r="E246" s="9" t="s">
        <v>18</v>
      </c>
      <c r="F246" s="2">
        <v>1.0</v>
      </c>
      <c r="G246" s="2">
        <v>990.0</v>
      </c>
      <c r="H246" s="5">
        <v>46085.0</v>
      </c>
      <c r="I246" s="2" t="s">
        <v>14</v>
      </c>
      <c r="L246" s="11"/>
      <c r="M246" s="2"/>
      <c r="N246" s="11"/>
    </row>
    <row r="247" ht="22.5" hidden="1" customHeight="1">
      <c r="A247" s="2" t="s">
        <v>207</v>
      </c>
      <c r="B247" s="2" t="s">
        <v>196</v>
      </c>
      <c r="C247" s="2">
        <v>8876.0</v>
      </c>
      <c r="D247" s="8" t="s">
        <v>12</v>
      </c>
      <c r="E247" s="9" t="s">
        <v>13</v>
      </c>
      <c r="F247" s="2">
        <v>1.0</v>
      </c>
      <c r="G247" s="2">
        <v>990.0</v>
      </c>
      <c r="H247" s="5">
        <v>46085.0</v>
      </c>
      <c r="I247" s="2" t="s">
        <v>14</v>
      </c>
      <c r="L247" s="11"/>
      <c r="M247" s="2"/>
      <c r="N247" s="11"/>
    </row>
    <row r="248" ht="22.5" hidden="1" customHeight="1">
      <c r="A248" s="2" t="s">
        <v>208</v>
      </c>
      <c r="B248" s="2" t="s">
        <v>196</v>
      </c>
      <c r="C248" s="2">
        <v>8876.0</v>
      </c>
      <c r="D248" s="8" t="s">
        <v>22</v>
      </c>
      <c r="E248" s="9" t="s">
        <v>18</v>
      </c>
      <c r="F248" s="2">
        <v>1.0</v>
      </c>
      <c r="G248" s="2">
        <v>990.0</v>
      </c>
      <c r="H248" s="5">
        <v>46085.0</v>
      </c>
      <c r="I248" s="2" t="s">
        <v>14</v>
      </c>
      <c r="L248" s="11"/>
      <c r="M248" s="2"/>
      <c r="N248" s="11"/>
    </row>
    <row r="249" ht="22.5" hidden="1" customHeight="1">
      <c r="A249" s="2" t="s">
        <v>208</v>
      </c>
      <c r="B249" s="2" t="s">
        <v>196</v>
      </c>
      <c r="C249" s="2">
        <v>8876.0</v>
      </c>
      <c r="D249" s="8" t="s">
        <v>22</v>
      </c>
      <c r="E249" s="9" t="s">
        <v>27</v>
      </c>
      <c r="F249" s="2">
        <v>1.0</v>
      </c>
      <c r="G249" s="2">
        <v>990.0</v>
      </c>
      <c r="H249" s="5">
        <v>46085.0</v>
      </c>
      <c r="I249" s="2" t="s">
        <v>14</v>
      </c>
      <c r="L249" s="11"/>
      <c r="M249" s="2"/>
      <c r="N249" s="11"/>
    </row>
    <row r="250" ht="22.5" hidden="1" customHeight="1">
      <c r="A250" s="2" t="s">
        <v>156</v>
      </c>
      <c r="B250" s="2" t="s">
        <v>196</v>
      </c>
      <c r="C250" s="2">
        <v>8876.0</v>
      </c>
      <c r="D250" s="8" t="s">
        <v>22</v>
      </c>
      <c r="E250" s="9" t="s">
        <v>18</v>
      </c>
      <c r="F250" s="2">
        <v>1.0</v>
      </c>
      <c r="G250" s="2">
        <v>990.0</v>
      </c>
      <c r="H250" s="5">
        <v>46085.0</v>
      </c>
      <c r="I250" s="2" t="s">
        <v>14</v>
      </c>
      <c r="L250" s="11"/>
      <c r="M250" s="2"/>
      <c r="N250" s="11"/>
    </row>
    <row r="251" ht="22.5" hidden="1" customHeight="1">
      <c r="A251" s="2" t="s">
        <v>156</v>
      </c>
      <c r="B251" s="2" t="s">
        <v>196</v>
      </c>
      <c r="C251" s="2">
        <v>8876.0</v>
      </c>
      <c r="D251" s="8" t="s">
        <v>22</v>
      </c>
      <c r="E251" s="9" t="s">
        <v>26</v>
      </c>
      <c r="F251" s="2">
        <v>1.0</v>
      </c>
      <c r="G251" s="2">
        <v>990.0</v>
      </c>
      <c r="H251" s="5">
        <v>46085.0</v>
      </c>
      <c r="I251" s="2" t="s">
        <v>14</v>
      </c>
      <c r="L251" s="11"/>
      <c r="M251" s="2"/>
      <c r="N251" s="11"/>
    </row>
    <row r="252" ht="22.5" hidden="1" customHeight="1">
      <c r="A252" s="2" t="s">
        <v>209</v>
      </c>
      <c r="B252" s="2" t="s">
        <v>196</v>
      </c>
      <c r="C252" s="2">
        <v>8876.0</v>
      </c>
      <c r="D252" s="8" t="s">
        <v>22</v>
      </c>
      <c r="E252" s="9" t="s">
        <v>18</v>
      </c>
      <c r="F252" s="2">
        <v>1.0</v>
      </c>
      <c r="G252" s="2">
        <v>990.0</v>
      </c>
      <c r="H252" s="5">
        <v>46085.0</v>
      </c>
      <c r="I252" s="2" t="s">
        <v>14</v>
      </c>
      <c r="L252" s="11"/>
      <c r="M252" s="2"/>
      <c r="N252" s="11"/>
    </row>
    <row r="253" ht="22.5" hidden="1" customHeight="1">
      <c r="A253" s="2" t="s">
        <v>209</v>
      </c>
      <c r="B253" s="2" t="s">
        <v>196</v>
      </c>
      <c r="C253" s="2">
        <v>8876.0</v>
      </c>
      <c r="D253" s="8" t="s">
        <v>22</v>
      </c>
      <c r="E253" s="9" t="s">
        <v>26</v>
      </c>
      <c r="F253" s="2">
        <v>1.0</v>
      </c>
      <c r="G253" s="2">
        <v>990.0</v>
      </c>
      <c r="H253" s="5">
        <v>46085.0</v>
      </c>
      <c r="I253" s="2" t="s">
        <v>14</v>
      </c>
      <c r="L253" s="11"/>
      <c r="M253" s="2"/>
      <c r="N253" s="11"/>
    </row>
    <row r="254" ht="22.5" hidden="1" customHeight="1">
      <c r="A254" s="2" t="s">
        <v>210</v>
      </c>
      <c r="B254" s="2" t="s">
        <v>196</v>
      </c>
      <c r="C254" s="2">
        <v>8876.0</v>
      </c>
      <c r="D254" s="8" t="s">
        <v>12</v>
      </c>
      <c r="E254" s="9" t="s">
        <v>18</v>
      </c>
      <c r="F254" s="2">
        <v>1.0</v>
      </c>
      <c r="G254" s="2">
        <v>990.0</v>
      </c>
      <c r="H254" s="5">
        <v>46085.0</v>
      </c>
      <c r="I254" s="2" t="s">
        <v>14</v>
      </c>
      <c r="L254" s="11"/>
      <c r="M254" s="2"/>
      <c r="N254" s="11"/>
    </row>
    <row r="255" ht="22.5" hidden="1" customHeight="1">
      <c r="A255" s="2" t="s">
        <v>210</v>
      </c>
      <c r="B255" s="2" t="s">
        <v>196</v>
      </c>
      <c r="C255" s="2">
        <v>8876.0</v>
      </c>
      <c r="D255" s="8" t="s">
        <v>12</v>
      </c>
      <c r="E255" s="9" t="s">
        <v>13</v>
      </c>
      <c r="F255" s="2">
        <v>1.0</v>
      </c>
      <c r="G255" s="2">
        <v>990.0</v>
      </c>
      <c r="H255" s="5">
        <v>46085.0</v>
      </c>
      <c r="I255" s="2" t="s">
        <v>14</v>
      </c>
      <c r="L255" s="11"/>
      <c r="M255" s="2"/>
      <c r="N255" s="11"/>
    </row>
    <row r="256" ht="22.5" hidden="1" customHeight="1">
      <c r="A256" s="2" t="s">
        <v>117</v>
      </c>
      <c r="B256" s="2" t="s">
        <v>196</v>
      </c>
      <c r="C256" s="2">
        <v>8876.0</v>
      </c>
      <c r="D256" s="8" t="s">
        <v>12</v>
      </c>
      <c r="E256" s="9" t="s">
        <v>18</v>
      </c>
      <c r="F256" s="2">
        <v>1.0</v>
      </c>
      <c r="G256" s="2">
        <v>990.0</v>
      </c>
      <c r="H256" s="5">
        <v>46085.0</v>
      </c>
      <c r="I256" s="2" t="s">
        <v>14</v>
      </c>
      <c r="L256" s="11"/>
      <c r="M256" s="2"/>
      <c r="N256" s="11"/>
    </row>
    <row r="257" ht="22.5" hidden="1" customHeight="1">
      <c r="A257" s="2" t="s">
        <v>117</v>
      </c>
      <c r="B257" s="2" t="s">
        <v>196</v>
      </c>
      <c r="C257" s="2">
        <v>8876.0</v>
      </c>
      <c r="D257" s="8" t="s">
        <v>12</v>
      </c>
      <c r="E257" s="9" t="s">
        <v>26</v>
      </c>
      <c r="F257" s="2">
        <v>1.0</v>
      </c>
      <c r="G257" s="2">
        <v>990.0</v>
      </c>
      <c r="H257" s="5">
        <v>46085.0</v>
      </c>
      <c r="I257" s="2" t="s">
        <v>14</v>
      </c>
      <c r="L257" s="11"/>
      <c r="M257" s="2"/>
      <c r="N257" s="11"/>
    </row>
    <row r="258" ht="22.5" hidden="1" customHeight="1">
      <c r="A258" s="2" t="s">
        <v>116</v>
      </c>
      <c r="B258" s="2" t="s">
        <v>196</v>
      </c>
      <c r="C258" s="2">
        <v>8876.0</v>
      </c>
      <c r="D258" s="8" t="s">
        <v>12</v>
      </c>
      <c r="E258" s="9" t="s">
        <v>18</v>
      </c>
      <c r="F258" s="2">
        <v>1.0</v>
      </c>
      <c r="G258" s="2">
        <v>990.0</v>
      </c>
      <c r="H258" s="5">
        <v>46085.0</v>
      </c>
      <c r="I258" s="2" t="s">
        <v>14</v>
      </c>
      <c r="L258" s="11"/>
      <c r="M258" s="2"/>
      <c r="N258" s="11"/>
    </row>
    <row r="259" ht="22.5" hidden="1" customHeight="1">
      <c r="A259" s="2" t="s">
        <v>211</v>
      </c>
      <c r="B259" s="2" t="s">
        <v>196</v>
      </c>
      <c r="C259" s="2">
        <v>8876.0</v>
      </c>
      <c r="D259" s="8" t="s">
        <v>22</v>
      </c>
      <c r="E259" s="9" t="s">
        <v>18</v>
      </c>
      <c r="F259" s="2">
        <v>1.0</v>
      </c>
      <c r="G259" s="2">
        <v>990.0</v>
      </c>
      <c r="H259" s="5">
        <v>46085.0</v>
      </c>
      <c r="I259" s="2" t="s">
        <v>14</v>
      </c>
      <c r="L259" s="11"/>
      <c r="M259" s="2"/>
      <c r="N259" s="11"/>
    </row>
    <row r="260" ht="22.5" hidden="1" customHeight="1">
      <c r="A260" s="2" t="s">
        <v>211</v>
      </c>
      <c r="B260" s="2" t="s">
        <v>196</v>
      </c>
      <c r="C260" s="2">
        <v>8876.0</v>
      </c>
      <c r="D260" s="8" t="s">
        <v>22</v>
      </c>
      <c r="E260" s="9" t="s">
        <v>13</v>
      </c>
      <c r="F260" s="2">
        <v>1.0</v>
      </c>
      <c r="G260" s="2">
        <v>990.0</v>
      </c>
      <c r="H260" s="5">
        <v>46085.0</v>
      </c>
      <c r="I260" s="2" t="s">
        <v>14</v>
      </c>
      <c r="L260" s="11"/>
      <c r="M260" s="2"/>
      <c r="N260" s="11"/>
    </row>
    <row r="261" ht="22.5" hidden="1" customHeight="1">
      <c r="A261" s="2" t="s">
        <v>212</v>
      </c>
      <c r="B261" s="2" t="s">
        <v>196</v>
      </c>
      <c r="C261" s="2">
        <v>8876.0</v>
      </c>
      <c r="D261" s="8" t="s">
        <v>12</v>
      </c>
      <c r="E261" s="9" t="s">
        <v>18</v>
      </c>
      <c r="F261" s="2">
        <v>1.0</v>
      </c>
      <c r="G261" s="2">
        <v>990.0</v>
      </c>
      <c r="H261" s="5">
        <v>46085.0</v>
      </c>
      <c r="I261" s="2" t="s">
        <v>14</v>
      </c>
      <c r="L261" s="11"/>
      <c r="M261" s="2"/>
      <c r="N261" s="11"/>
    </row>
    <row r="262" ht="22.5" hidden="1" customHeight="1">
      <c r="A262" s="2" t="s">
        <v>212</v>
      </c>
      <c r="B262" s="2" t="s">
        <v>196</v>
      </c>
      <c r="C262" s="2">
        <v>8876.0</v>
      </c>
      <c r="D262" s="8" t="s">
        <v>12</v>
      </c>
      <c r="E262" s="9" t="s">
        <v>13</v>
      </c>
      <c r="F262" s="2">
        <v>1.0</v>
      </c>
      <c r="G262" s="2">
        <v>990.0</v>
      </c>
      <c r="H262" s="5">
        <v>46085.0</v>
      </c>
      <c r="I262" s="2" t="s">
        <v>14</v>
      </c>
      <c r="L262" s="11"/>
      <c r="M262" s="2"/>
      <c r="N262" s="11"/>
    </row>
    <row r="263" ht="22.5" hidden="1" customHeight="1">
      <c r="A263" s="2" t="s">
        <v>213</v>
      </c>
      <c r="B263" s="2" t="s">
        <v>196</v>
      </c>
      <c r="C263" s="2">
        <v>8876.0</v>
      </c>
      <c r="D263" s="8" t="s">
        <v>12</v>
      </c>
      <c r="E263" s="9" t="s">
        <v>18</v>
      </c>
      <c r="F263" s="2">
        <v>1.0</v>
      </c>
      <c r="G263" s="2">
        <v>990.0</v>
      </c>
      <c r="H263" s="5">
        <v>46085.0</v>
      </c>
      <c r="I263" s="2" t="s">
        <v>14</v>
      </c>
      <c r="L263" s="11"/>
      <c r="M263" s="2"/>
      <c r="N263" s="11"/>
    </row>
    <row r="264" ht="22.5" hidden="1" customHeight="1">
      <c r="A264" s="2" t="s">
        <v>213</v>
      </c>
      <c r="B264" s="2" t="s">
        <v>196</v>
      </c>
      <c r="C264" s="2">
        <v>8876.0</v>
      </c>
      <c r="D264" s="8" t="s">
        <v>12</v>
      </c>
      <c r="E264" s="9" t="s">
        <v>13</v>
      </c>
      <c r="F264" s="2">
        <v>1.0</v>
      </c>
      <c r="G264" s="2">
        <v>990.0</v>
      </c>
      <c r="H264" s="5">
        <v>46085.0</v>
      </c>
      <c r="I264" s="2" t="s">
        <v>14</v>
      </c>
      <c r="L264" s="11"/>
      <c r="M264" s="2"/>
      <c r="N264" s="11"/>
    </row>
    <row r="265" ht="22.5" hidden="1" customHeight="1">
      <c r="A265" s="2" t="s">
        <v>32</v>
      </c>
      <c r="B265" s="2" t="s">
        <v>196</v>
      </c>
      <c r="C265" s="2">
        <v>8876.0</v>
      </c>
      <c r="D265" s="8" t="s">
        <v>12</v>
      </c>
      <c r="E265" s="9" t="s">
        <v>18</v>
      </c>
      <c r="F265" s="2">
        <v>1.0</v>
      </c>
      <c r="G265" s="2">
        <v>990.0</v>
      </c>
      <c r="H265" s="5">
        <v>46085.0</v>
      </c>
      <c r="I265" s="2" t="s">
        <v>14</v>
      </c>
      <c r="L265" s="11"/>
      <c r="M265" s="2"/>
      <c r="N265" s="11"/>
    </row>
    <row r="266" ht="22.5" hidden="1" customHeight="1">
      <c r="A266" s="2" t="s">
        <v>32</v>
      </c>
      <c r="B266" s="2" t="s">
        <v>196</v>
      </c>
      <c r="C266" s="2">
        <v>8876.0</v>
      </c>
      <c r="D266" s="8" t="s">
        <v>12</v>
      </c>
      <c r="E266" s="9" t="s">
        <v>13</v>
      </c>
      <c r="F266" s="2">
        <v>1.0</v>
      </c>
      <c r="G266" s="2">
        <v>990.0</v>
      </c>
      <c r="H266" s="5">
        <v>46085.0</v>
      </c>
      <c r="I266" s="2" t="s">
        <v>14</v>
      </c>
      <c r="L266" s="11"/>
      <c r="M266" s="2"/>
      <c r="N266" s="11"/>
    </row>
    <row r="267" ht="22.5" hidden="1" customHeight="1">
      <c r="A267" s="2" t="s">
        <v>32</v>
      </c>
      <c r="B267" s="2" t="s">
        <v>196</v>
      </c>
      <c r="C267" s="2">
        <v>8876.0</v>
      </c>
      <c r="D267" s="8" t="s">
        <v>12</v>
      </c>
      <c r="E267" s="9" t="s">
        <v>16</v>
      </c>
      <c r="F267" s="2">
        <v>1.0</v>
      </c>
      <c r="G267" s="2">
        <v>990.0</v>
      </c>
      <c r="H267" s="5">
        <v>46085.0</v>
      </c>
      <c r="I267" s="2" t="s">
        <v>14</v>
      </c>
      <c r="L267" s="11"/>
      <c r="M267" s="2"/>
      <c r="N267" s="11"/>
    </row>
    <row r="268" ht="22.5" hidden="1" customHeight="1">
      <c r="A268" s="2" t="s">
        <v>214</v>
      </c>
      <c r="B268" s="2" t="s">
        <v>196</v>
      </c>
      <c r="C268" s="2">
        <v>8876.0</v>
      </c>
      <c r="D268" s="8" t="s">
        <v>22</v>
      </c>
      <c r="E268" s="9" t="s">
        <v>13</v>
      </c>
      <c r="F268" s="2">
        <v>1.0</v>
      </c>
      <c r="G268" s="2">
        <v>990.0</v>
      </c>
      <c r="H268" s="5">
        <v>46085.0</v>
      </c>
      <c r="I268" s="2" t="s">
        <v>14</v>
      </c>
      <c r="L268" s="11"/>
      <c r="M268" s="2"/>
      <c r="N268" s="11"/>
    </row>
    <row r="269" ht="22.5" hidden="1" customHeight="1">
      <c r="A269" s="2" t="s">
        <v>214</v>
      </c>
      <c r="B269" s="2" t="s">
        <v>196</v>
      </c>
      <c r="C269" s="2">
        <v>8876.0</v>
      </c>
      <c r="D269" s="8" t="s">
        <v>22</v>
      </c>
      <c r="E269" s="9" t="s">
        <v>18</v>
      </c>
      <c r="F269" s="2">
        <v>1.0</v>
      </c>
      <c r="G269" s="2">
        <v>990.0</v>
      </c>
      <c r="H269" s="5">
        <v>46085.0</v>
      </c>
      <c r="I269" s="2" t="s">
        <v>14</v>
      </c>
      <c r="L269" s="11"/>
      <c r="M269" s="2"/>
      <c r="N269" s="11"/>
    </row>
    <row r="270" ht="22.5" hidden="1" customHeight="1">
      <c r="A270" s="2" t="s">
        <v>215</v>
      </c>
      <c r="B270" s="2" t="s">
        <v>196</v>
      </c>
      <c r="C270" s="2">
        <v>8876.0</v>
      </c>
      <c r="D270" s="8" t="s">
        <v>12</v>
      </c>
      <c r="E270" s="9" t="s">
        <v>18</v>
      </c>
      <c r="F270" s="2">
        <v>1.0</v>
      </c>
      <c r="G270" s="2">
        <v>990.0</v>
      </c>
      <c r="H270" s="5">
        <v>46085.0</v>
      </c>
      <c r="I270" s="2" t="s">
        <v>24</v>
      </c>
      <c r="L270" s="11"/>
      <c r="M270" s="2"/>
      <c r="N270" s="11"/>
    </row>
    <row r="271" ht="22.5" hidden="1" customHeight="1">
      <c r="A271" s="2" t="s">
        <v>215</v>
      </c>
      <c r="B271" s="2" t="s">
        <v>196</v>
      </c>
      <c r="C271" s="2">
        <v>8876.0</v>
      </c>
      <c r="D271" s="8" t="s">
        <v>12</v>
      </c>
      <c r="E271" s="9" t="s">
        <v>26</v>
      </c>
      <c r="F271" s="2">
        <v>1.0</v>
      </c>
      <c r="G271" s="2">
        <v>990.0</v>
      </c>
      <c r="H271" s="5">
        <v>46085.0</v>
      </c>
      <c r="I271" s="2" t="s">
        <v>24</v>
      </c>
      <c r="L271" s="11"/>
      <c r="M271" s="2"/>
      <c r="N271" s="11"/>
    </row>
    <row r="272" ht="22.5" hidden="1" customHeight="1">
      <c r="A272" s="2" t="s">
        <v>216</v>
      </c>
      <c r="B272" s="2" t="s">
        <v>196</v>
      </c>
      <c r="C272" s="2">
        <v>8876.0</v>
      </c>
      <c r="D272" s="8" t="s">
        <v>22</v>
      </c>
      <c r="E272" s="9" t="s">
        <v>16</v>
      </c>
      <c r="F272" s="2">
        <v>1.0</v>
      </c>
      <c r="G272" s="2">
        <v>990.0</v>
      </c>
      <c r="H272" s="5">
        <v>46085.0</v>
      </c>
      <c r="I272" s="2" t="s">
        <v>14</v>
      </c>
      <c r="L272" s="11"/>
      <c r="M272" s="2"/>
      <c r="N272" s="11"/>
    </row>
    <row r="273" ht="22.5" hidden="1" customHeight="1">
      <c r="A273" s="2" t="s">
        <v>216</v>
      </c>
      <c r="B273" s="2" t="s">
        <v>196</v>
      </c>
      <c r="C273" s="2">
        <v>8876.0</v>
      </c>
      <c r="D273" s="8" t="s">
        <v>22</v>
      </c>
      <c r="E273" s="9" t="s">
        <v>18</v>
      </c>
      <c r="F273" s="2">
        <v>1.0</v>
      </c>
      <c r="G273" s="2">
        <v>990.0</v>
      </c>
      <c r="H273" s="5">
        <v>46085.0</v>
      </c>
      <c r="I273" s="2" t="s">
        <v>14</v>
      </c>
      <c r="L273" s="11"/>
      <c r="M273" s="2"/>
      <c r="N273" s="11"/>
    </row>
    <row r="274" ht="22.5" hidden="1" customHeight="1">
      <c r="A274" s="2" t="s">
        <v>217</v>
      </c>
      <c r="B274" s="2" t="s">
        <v>196</v>
      </c>
      <c r="C274" s="2">
        <v>8876.0</v>
      </c>
      <c r="D274" s="8" t="s">
        <v>22</v>
      </c>
      <c r="E274" s="9" t="s">
        <v>26</v>
      </c>
      <c r="F274" s="2">
        <v>1.0</v>
      </c>
      <c r="G274" s="2">
        <v>990.0</v>
      </c>
      <c r="H274" s="5">
        <v>46085.0</v>
      </c>
      <c r="I274" s="2" t="s">
        <v>14</v>
      </c>
      <c r="L274" s="11"/>
      <c r="M274" s="2"/>
      <c r="N274" s="11"/>
    </row>
    <row r="275" ht="22.5" hidden="1" customHeight="1">
      <c r="A275" s="2" t="s">
        <v>217</v>
      </c>
      <c r="B275" s="2" t="s">
        <v>196</v>
      </c>
      <c r="C275" s="2">
        <v>8876.0</v>
      </c>
      <c r="D275" s="8" t="s">
        <v>22</v>
      </c>
      <c r="E275" s="9" t="s">
        <v>18</v>
      </c>
      <c r="F275" s="2">
        <v>1.0</v>
      </c>
      <c r="G275" s="2">
        <v>990.0</v>
      </c>
      <c r="H275" s="5">
        <v>46085.0</v>
      </c>
      <c r="I275" s="2" t="s">
        <v>14</v>
      </c>
      <c r="L275" s="11"/>
      <c r="M275" s="2"/>
      <c r="N275" s="11"/>
    </row>
    <row r="276" ht="22.5" hidden="1" customHeight="1">
      <c r="A276" s="2" t="s">
        <v>218</v>
      </c>
      <c r="B276" s="2" t="s">
        <v>196</v>
      </c>
      <c r="C276" s="2">
        <v>8876.0</v>
      </c>
      <c r="D276" s="8" t="s">
        <v>22</v>
      </c>
      <c r="E276" s="9" t="s">
        <v>18</v>
      </c>
      <c r="F276" s="2">
        <v>1.0</v>
      </c>
      <c r="G276" s="2">
        <v>990.0</v>
      </c>
      <c r="H276" s="5">
        <v>46085.0</v>
      </c>
      <c r="I276" s="2" t="s">
        <v>14</v>
      </c>
      <c r="L276" s="11"/>
      <c r="M276" s="2"/>
      <c r="N276" s="11"/>
    </row>
    <row r="277" ht="22.5" hidden="1" customHeight="1">
      <c r="A277" s="2" t="s">
        <v>218</v>
      </c>
      <c r="B277" s="2" t="s">
        <v>196</v>
      </c>
      <c r="C277" s="2">
        <v>8876.0</v>
      </c>
      <c r="D277" s="8" t="s">
        <v>22</v>
      </c>
      <c r="E277" s="9" t="s">
        <v>13</v>
      </c>
      <c r="F277" s="2">
        <v>1.0</v>
      </c>
      <c r="G277" s="2">
        <v>990.0</v>
      </c>
      <c r="H277" s="5">
        <v>46085.0</v>
      </c>
      <c r="I277" s="2" t="s">
        <v>14</v>
      </c>
      <c r="L277" s="11"/>
      <c r="M277" s="2"/>
      <c r="N277" s="11"/>
    </row>
    <row r="278" ht="22.5" hidden="1" customHeight="1">
      <c r="A278" s="2" t="s">
        <v>219</v>
      </c>
      <c r="B278" s="2" t="s">
        <v>196</v>
      </c>
      <c r="C278" s="2">
        <v>8876.0</v>
      </c>
      <c r="D278" s="8" t="s">
        <v>12</v>
      </c>
      <c r="E278" s="9" t="s">
        <v>13</v>
      </c>
      <c r="F278" s="2">
        <v>1.0</v>
      </c>
      <c r="G278" s="2">
        <v>990.0</v>
      </c>
      <c r="H278" s="5">
        <v>46085.0</v>
      </c>
      <c r="I278" s="2" t="s">
        <v>14</v>
      </c>
      <c r="L278" s="11"/>
      <c r="M278" s="2"/>
      <c r="N278" s="11"/>
    </row>
    <row r="279" ht="22.5" hidden="1" customHeight="1">
      <c r="A279" s="2" t="s">
        <v>125</v>
      </c>
      <c r="B279" s="2" t="s">
        <v>196</v>
      </c>
      <c r="C279" s="2">
        <v>8876.0</v>
      </c>
      <c r="D279" s="8" t="s">
        <v>22</v>
      </c>
      <c r="E279" s="9" t="s">
        <v>18</v>
      </c>
      <c r="F279" s="2">
        <v>1.0</v>
      </c>
      <c r="G279" s="2">
        <v>990.0</v>
      </c>
      <c r="H279" s="5">
        <v>46085.0</v>
      </c>
      <c r="I279" s="2" t="s">
        <v>14</v>
      </c>
      <c r="L279" s="11"/>
      <c r="M279" s="2"/>
      <c r="N279" s="11"/>
    </row>
    <row r="280" ht="22.5" hidden="1" customHeight="1">
      <c r="A280" s="2" t="s">
        <v>125</v>
      </c>
      <c r="B280" s="2" t="s">
        <v>196</v>
      </c>
      <c r="C280" s="2">
        <v>8876.0</v>
      </c>
      <c r="D280" s="8" t="s">
        <v>22</v>
      </c>
      <c r="E280" s="9" t="s">
        <v>13</v>
      </c>
      <c r="F280" s="2">
        <v>1.0</v>
      </c>
      <c r="G280" s="2">
        <v>990.0</v>
      </c>
      <c r="H280" s="5">
        <v>46085.0</v>
      </c>
      <c r="I280" s="2" t="s">
        <v>14</v>
      </c>
      <c r="L280" s="11"/>
      <c r="M280" s="2"/>
      <c r="N280" s="11"/>
    </row>
    <row r="281" ht="22.5" hidden="1" customHeight="1">
      <c r="A281" s="2" t="s">
        <v>193</v>
      </c>
      <c r="B281" s="2" t="s">
        <v>196</v>
      </c>
      <c r="C281" s="2">
        <v>8876.0</v>
      </c>
      <c r="D281" s="8" t="s">
        <v>12</v>
      </c>
      <c r="E281" s="9" t="s">
        <v>18</v>
      </c>
      <c r="F281" s="2">
        <v>1.0</v>
      </c>
      <c r="G281" s="2">
        <v>990.0</v>
      </c>
      <c r="H281" s="5">
        <v>46085.0</v>
      </c>
      <c r="I281" s="2" t="s">
        <v>14</v>
      </c>
      <c r="L281" s="11"/>
      <c r="M281" s="2"/>
      <c r="N281" s="11"/>
    </row>
    <row r="282" ht="22.5" hidden="1" customHeight="1">
      <c r="A282" s="2" t="s">
        <v>193</v>
      </c>
      <c r="B282" s="2" t="s">
        <v>196</v>
      </c>
      <c r="C282" s="2">
        <v>8876.0</v>
      </c>
      <c r="D282" s="8" t="s">
        <v>12</v>
      </c>
      <c r="E282" s="9" t="s">
        <v>13</v>
      </c>
      <c r="F282" s="2">
        <v>1.0</v>
      </c>
      <c r="G282" s="2">
        <v>990.0</v>
      </c>
      <c r="H282" s="5">
        <v>46085.0</v>
      </c>
      <c r="I282" s="2" t="s">
        <v>14</v>
      </c>
      <c r="L282" s="11"/>
      <c r="M282" s="2"/>
      <c r="N282" s="11"/>
    </row>
    <row r="283" ht="22.5" hidden="1" customHeight="1">
      <c r="A283" s="2" t="s">
        <v>34</v>
      </c>
      <c r="B283" s="2" t="s">
        <v>196</v>
      </c>
      <c r="C283" s="2">
        <v>8876.0</v>
      </c>
      <c r="D283" s="8" t="s">
        <v>12</v>
      </c>
      <c r="E283" s="9" t="s">
        <v>18</v>
      </c>
      <c r="F283" s="2">
        <v>1.0</v>
      </c>
      <c r="G283" s="2">
        <v>990.0</v>
      </c>
      <c r="H283" s="5">
        <v>46085.0</v>
      </c>
      <c r="I283" s="2" t="s">
        <v>14</v>
      </c>
      <c r="L283" s="11"/>
      <c r="M283" s="2"/>
      <c r="N283" s="11"/>
    </row>
    <row r="284" ht="22.5" hidden="1" customHeight="1">
      <c r="A284" s="2" t="s">
        <v>34</v>
      </c>
      <c r="B284" s="2" t="s">
        <v>196</v>
      </c>
      <c r="C284" s="2">
        <v>8876.0</v>
      </c>
      <c r="D284" s="8" t="s">
        <v>12</v>
      </c>
      <c r="E284" s="9" t="s">
        <v>16</v>
      </c>
      <c r="F284" s="2">
        <v>1.0</v>
      </c>
      <c r="G284" s="2">
        <v>990.0</v>
      </c>
      <c r="H284" s="5">
        <v>46085.0</v>
      </c>
      <c r="I284" s="2" t="s">
        <v>14</v>
      </c>
      <c r="L284" s="11"/>
      <c r="M284" s="2"/>
      <c r="N284" s="11"/>
    </row>
    <row r="285" ht="22.5" hidden="1" customHeight="1">
      <c r="A285" s="2" t="s">
        <v>147</v>
      </c>
      <c r="B285" s="2" t="s">
        <v>196</v>
      </c>
      <c r="C285" s="2">
        <v>8876.0</v>
      </c>
      <c r="D285" s="8" t="s">
        <v>12</v>
      </c>
      <c r="E285" s="9" t="s">
        <v>18</v>
      </c>
      <c r="F285" s="2">
        <v>1.0</v>
      </c>
      <c r="G285" s="2">
        <v>990.0</v>
      </c>
      <c r="H285" s="5">
        <v>46085.0</v>
      </c>
      <c r="I285" s="2" t="s">
        <v>14</v>
      </c>
      <c r="L285" s="11"/>
      <c r="M285" s="2"/>
      <c r="N285" s="11"/>
    </row>
    <row r="286" ht="22.5" hidden="1" customHeight="1">
      <c r="A286" s="2" t="s">
        <v>147</v>
      </c>
      <c r="B286" s="2" t="s">
        <v>196</v>
      </c>
      <c r="C286" s="2">
        <v>8876.0</v>
      </c>
      <c r="D286" s="8" t="s">
        <v>12</v>
      </c>
      <c r="E286" s="9" t="s">
        <v>13</v>
      </c>
      <c r="F286" s="2">
        <v>1.0</v>
      </c>
      <c r="G286" s="2">
        <v>990.0</v>
      </c>
      <c r="H286" s="5">
        <v>46085.0</v>
      </c>
      <c r="I286" s="2" t="s">
        <v>14</v>
      </c>
      <c r="L286" s="11"/>
      <c r="M286" s="2"/>
      <c r="N286" s="11"/>
    </row>
    <row r="287" ht="22.5" hidden="1" customHeight="1">
      <c r="A287" s="2" t="s">
        <v>220</v>
      </c>
      <c r="B287" s="2" t="s">
        <v>196</v>
      </c>
      <c r="C287" s="2">
        <v>8876.0</v>
      </c>
      <c r="D287" s="8" t="s">
        <v>22</v>
      </c>
      <c r="E287" s="9" t="s">
        <v>13</v>
      </c>
      <c r="F287" s="2">
        <v>1.0</v>
      </c>
      <c r="G287" s="2">
        <v>990.0</v>
      </c>
      <c r="H287" s="5">
        <v>46085.0</v>
      </c>
      <c r="I287" s="2" t="s">
        <v>14</v>
      </c>
      <c r="L287" s="11"/>
      <c r="M287" s="2"/>
      <c r="N287" s="11"/>
    </row>
    <row r="288" ht="22.5" hidden="1" customHeight="1">
      <c r="A288" s="2" t="s">
        <v>127</v>
      </c>
      <c r="B288" s="2" t="s">
        <v>221</v>
      </c>
      <c r="C288" s="2">
        <v>7137.0</v>
      </c>
      <c r="D288" s="8" t="s">
        <v>12</v>
      </c>
      <c r="E288" s="9" t="s">
        <v>58</v>
      </c>
      <c r="F288" s="2">
        <v>1.0</v>
      </c>
      <c r="G288" s="2">
        <v>2500.0</v>
      </c>
      <c r="H288" s="5">
        <v>46085.0</v>
      </c>
      <c r="I288" s="2" t="s">
        <v>14</v>
      </c>
      <c r="L288" s="11"/>
      <c r="M288" s="2"/>
      <c r="N288" s="11"/>
    </row>
    <row r="289" ht="22.5" hidden="1" customHeight="1">
      <c r="A289" s="2" t="s">
        <v>222</v>
      </c>
      <c r="B289" s="2" t="s">
        <v>221</v>
      </c>
      <c r="C289" s="2">
        <v>7137.0</v>
      </c>
      <c r="D289" s="8" t="s">
        <v>12</v>
      </c>
      <c r="E289" s="9" t="s">
        <v>58</v>
      </c>
      <c r="F289" s="2">
        <v>1.0</v>
      </c>
      <c r="G289" s="2">
        <v>2500.0</v>
      </c>
      <c r="H289" s="5">
        <v>46085.0</v>
      </c>
      <c r="I289" s="2" t="s">
        <v>14</v>
      </c>
      <c r="L289" s="11"/>
      <c r="M289" s="2"/>
      <c r="N289" s="11"/>
    </row>
    <row r="290" ht="22.5" hidden="1" customHeight="1">
      <c r="A290" s="2" t="s">
        <v>202</v>
      </c>
      <c r="B290" s="2" t="s">
        <v>223</v>
      </c>
      <c r="C290" s="2">
        <v>7957.0</v>
      </c>
      <c r="D290" s="8" t="s">
        <v>12</v>
      </c>
      <c r="E290" s="9" t="s">
        <v>18</v>
      </c>
      <c r="F290" s="2">
        <v>1.0</v>
      </c>
      <c r="G290" s="2">
        <v>1400.0</v>
      </c>
      <c r="H290" s="5">
        <v>46085.0</v>
      </c>
      <c r="I290" s="2" t="s">
        <v>14</v>
      </c>
      <c r="L290" s="11"/>
      <c r="M290" s="2"/>
      <c r="N290" s="11"/>
    </row>
    <row r="291" ht="22.5" hidden="1" customHeight="1">
      <c r="A291" s="2" t="s">
        <v>224</v>
      </c>
      <c r="B291" s="2" t="s">
        <v>223</v>
      </c>
      <c r="C291" s="2">
        <v>7957.0</v>
      </c>
      <c r="D291" s="8" t="s">
        <v>22</v>
      </c>
      <c r="E291" s="9" t="s">
        <v>18</v>
      </c>
      <c r="F291" s="2">
        <v>1.0</v>
      </c>
      <c r="G291" s="2">
        <v>1400.0</v>
      </c>
      <c r="H291" s="5">
        <v>46085.0</v>
      </c>
      <c r="I291" s="2" t="s">
        <v>14</v>
      </c>
      <c r="L291" s="11"/>
      <c r="M291" s="2"/>
      <c r="N291" s="11"/>
    </row>
    <row r="292" ht="22.5" hidden="1" customHeight="1">
      <c r="A292" s="2" t="s">
        <v>224</v>
      </c>
      <c r="B292" s="2" t="s">
        <v>223</v>
      </c>
      <c r="C292" s="2">
        <v>7957.0</v>
      </c>
      <c r="D292" s="8" t="s">
        <v>22</v>
      </c>
      <c r="E292" s="9" t="s">
        <v>23</v>
      </c>
      <c r="F292" s="2">
        <v>1.0</v>
      </c>
      <c r="G292" s="2">
        <v>1400.0</v>
      </c>
      <c r="H292" s="5">
        <v>46085.0</v>
      </c>
      <c r="I292" s="2" t="s">
        <v>14</v>
      </c>
      <c r="L292" s="11"/>
      <c r="M292" s="2"/>
      <c r="N292" s="11"/>
    </row>
    <row r="293" ht="22.5" hidden="1" customHeight="1">
      <c r="A293" s="2" t="s">
        <v>225</v>
      </c>
      <c r="B293" s="2" t="s">
        <v>223</v>
      </c>
      <c r="C293" s="2">
        <v>7957.0</v>
      </c>
      <c r="D293" s="8" t="s">
        <v>12</v>
      </c>
      <c r="E293" s="9" t="s">
        <v>18</v>
      </c>
      <c r="F293" s="2">
        <v>1.0</v>
      </c>
      <c r="G293" s="2">
        <v>1400.0</v>
      </c>
      <c r="H293" s="5">
        <v>46085.0</v>
      </c>
      <c r="I293" s="2" t="s">
        <v>14</v>
      </c>
      <c r="L293" s="11"/>
      <c r="M293" s="2"/>
      <c r="N293" s="11"/>
    </row>
    <row r="294" ht="22.5" hidden="1" customHeight="1">
      <c r="A294" s="2" t="s">
        <v>225</v>
      </c>
      <c r="B294" s="2" t="s">
        <v>223</v>
      </c>
      <c r="C294" s="2">
        <v>7957.0</v>
      </c>
      <c r="D294" s="8" t="s">
        <v>12</v>
      </c>
      <c r="E294" s="9" t="s">
        <v>23</v>
      </c>
      <c r="F294" s="2">
        <v>1.0</v>
      </c>
      <c r="G294" s="2">
        <v>1400.0</v>
      </c>
      <c r="H294" s="5">
        <v>46085.0</v>
      </c>
      <c r="I294" s="2" t="s">
        <v>14</v>
      </c>
      <c r="L294" s="11"/>
      <c r="M294" s="2"/>
      <c r="N294" s="11"/>
    </row>
    <row r="295" ht="22.5" hidden="1" customHeight="1">
      <c r="A295" s="2" t="s">
        <v>226</v>
      </c>
      <c r="B295" s="2" t="s">
        <v>223</v>
      </c>
      <c r="C295" s="2">
        <v>7957.0</v>
      </c>
      <c r="D295" s="8" t="s">
        <v>22</v>
      </c>
      <c r="E295" s="9" t="s">
        <v>18</v>
      </c>
      <c r="F295" s="2">
        <v>1.0</v>
      </c>
      <c r="G295" s="2">
        <v>1400.0</v>
      </c>
      <c r="H295" s="5">
        <v>46085.0</v>
      </c>
      <c r="I295" s="2" t="s">
        <v>14</v>
      </c>
      <c r="L295" s="11"/>
      <c r="M295" s="2"/>
      <c r="N295" s="11"/>
    </row>
    <row r="296" ht="22.5" hidden="1" customHeight="1">
      <c r="A296" s="2" t="s">
        <v>227</v>
      </c>
      <c r="B296" s="2" t="s">
        <v>223</v>
      </c>
      <c r="C296" s="2">
        <v>7957.0</v>
      </c>
      <c r="D296" s="8" t="s">
        <v>22</v>
      </c>
      <c r="E296" s="9" t="s">
        <v>23</v>
      </c>
      <c r="F296" s="2">
        <v>1.0</v>
      </c>
      <c r="G296" s="2">
        <v>1400.0</v>
      </c>
      <c r="H296" s="5">
        <v>46085.0</v>
      </c>
      <c r="I296" s="2" t="s">
        <v>14</v>
      </c>
      <c r="L296" s="11"/>
      <c r="M296" s="2"/>
      <c r="N296" s="11"/>
    </row>
    <row r="297" ht="22.5" hidden="1" customHeight="1">
      <c r="A297" s="2" t="s">
        <v>188</v>
      </c>
      <c r="B297" s="2" t="s">
        <v>223</v>
      </c>
      <c r="C297" s="2">
        <v>7957.0</v>
      </c>
      <c r="D297" s="8" t="s">
        <v>12</v>
      </c>
      <c r="E297" s="9" t="s">
        <v>18</v>
      </c>
      <c r="F297" s="2">
        <v>1.0</v>
      </c>
      <c r="G297" s="2">
        <v>1400.0</v>
      </c>
      <c r="H297" s="5">
        <v>46085.0</v>
      </c>
      <c r="I297" s="2" t="s">
        <v>14</v>
      </c>
      <c r="L297" s="11"/>
      <c r="M297" s="2"/>
      <c r="N297" s="11"/>
    </row>
    <row r="298" ht="22.5" hidden="1" customHeight="1">
      <c r="A298" s="2" t="s">
        <v>188</v>
      </c>
      <c r="B298" s="2" t="s">
        <v>223</v>
      </c>
      <c r="C298" s="2">
        <v>7957.0</v>
      </c>
      <c r="D298" s="8" t="s">
        <v>12</v>
      </c>
      <c r="E298" s="9" t="s">
        <v>47</v>
      </c>
      <c r="F298" s="2">
        <v>1.0</v>
      </c>
      <c r="G298" s="2">
        <v>1400.0</v>
      </c>
      <c r="H298" s="5">
        <v>46085.0</v>
      </c>
      <c r="I298" s="2" t="s">
        <v>14</v>
      </c>
      <c r="L298" s="11"/>
      <c r="M298" s="2"/>
      <c r="N298" s="11"/>
    </row>
    <row r="299" ht="22.5" hidden="1" customHeight="1">
      <c r="A299" s="2" t="s">
        <v>113</v>
      </c>
      <c r="B299" s="2" t="s">
        <v>223</v>
      </c>
      <c r="C299" s="2">
        <v>7957.0</v>
      </c>
      <c r="D299" s="8" t="s">
        <v>22</v>
      </c>
      <c r="E299" s="9" t="s">
        <v>18</v>
      </c>
      <c r="F299" s="2">
        <v>1.0</v>
      </c>
      <c r="G299" s="2">
        <v>1400.0</v>
      </c>
      <c r="H299" s="5">
        <v>46085.0</v>
      </c>
      <c r="I299" s="2" t="s">
        <v>14</v>
      </c>
      <c r="L299" s="11"/>
      <c r="M299" s="2"/>
      <c r="N299" s="11"/>
    </row>
    <row r="300" ht="22.5" hidden="1" customHeight="1">
      <c r="A300" s="2" t="s">
        <v>228</v>
      </c>
      <c r="B300" s="2" t="s">
        <v>223</v>
      </c>
      <c r="C300" s="2">
        <v>7957.0</v>
      </c>
      <c r="D300" s="8" t="s">
        <v>12</v>
      </c>
      <c r="E300" s="9" t="s">
        <v>47</v>
      </c>
      <c r="F300" s="2">
        <v>1.0</v>
      </c>
      <c r="G300" s="2">
        <v>1400.0</v>
      </c>
      <c r="H300" s="5">
        <v>46085.0</v>
      </c>
      <c r="I300" s="2" t="s">
        <v>14</v>
      </c>
      <c r="L300" s="11"/>
      <c r="M300" s="2"/>
      <c r="N300" s="11"/>
    </row>
    <row r="301" ht="22.5" hidden="1" customHeight="1">
      <c r="A301" s="2" t="s">
        <v>181</v>
      </c>
      <c r="B301" s="2" t="s">
        <v>229</v>
      </c>
      <c r="C301" s="2">
        <v>8867.0</v>
      </c>
      <c r="D301" s="8" t="s">
        <v>12</v>
      </c>
      <c r="E301" s="9" t="s">
        <v>13</v>
      </c>
      <c r="F301" s="2">
        <v>1.0</v>
      </c>
      <c r="G301" s="2">
        <v>1200.0</v>
      </c>
      <c r="H301" s="5">
        <v>46085.0</v>
      </c>
      <c r="I301" s="2" t="s">
        <v>14</v>
      </c>
      <c r="J301" s="12" t="s">
        <v>183</v>
      </c>
      <c r="L301" s="11"/>
      <c r="M301" s="2"/>
      <c r="N301" s="11"/>
    </row>
    <row r="302" ht="22.5" hidden="1" customHeight="1">
      <c r="A302" s="2" t="s">
        <v>230</v>
      </c>
      <c r="B302" s="2" t="s">
        <v>229</v>
      </c>
      <c r="C302" s="2">
        <v>8867.0</v>
      </c>
      <c r="D302" s="8" t="s">
        <v>12</v>
      </c>
      <c r="E302" s="9" t="s">
        <v>13</v>
      </c>
      <c r="F302" s="2">
        <v>1.0</v>
      </c>
      <c r="G302" s="2">
        <v>1200.0</v>
      </c>
      <c r="H302" s="5">
        <v>46085.0</v>
      </c>
      <c r="I302" s="2" t="s">
        <v>14</v>
      </c>
      <c r="L302" s="11"/>
      <c r="M302" s="2"/>
      <c r="N302" s="11"/>
    </row>
    <row r="303" ht="22.5" hidden="1" customHeight="1">
      <c r="A303" s="2" t="s">
        <v>230</v>
      </c>
      <c r="B303" s="2" t="s">
        <v>229</v>
      </c>
      <c r="C303" s="2">
        <v>8867.0</v>
      </c>
      <c r="D303" s="8" t="s">
        <v>12</v>
      </c>
      <c r="E303" s="9" t="s">
        <v>58</v>
      </c>
      <c r="F303" s="2">
        <v>1.0</v>
      </c>
      <c r="G303" s="2">
        <v>1200.0</v>
      </c>
      <c r="H303" s="5">
        <v>46085.0</v>
      </c>
      <c r="I303" s="2" t="s">
        <v>14</v>
      </c>
      <c r="L303" s="11"/>
      <c r="M303" s="2"/>
      <c r="N303" s="11"/>
    </row>
    <row r="304" ht="22.5" hidden="1" customHeight="1">
      <c r="A304" s="2" t="s">
        <v>231</v>
      </c>
      <c r="B304" s="2" t="s">
        <v>229</v>
      </c>
      <c r="C304" s="2">
        <v>8867.0</v>
      </c>
      <c r="D304" s="8" t="s">
        <v>22</v>
      </c>
      <c r="E304" s="9" t="s">
        <v>23</v>
      </c>
      <c r="F304" s="2">
        <v>1.0</v>
      </c>
      <c r="G304" s="2">
        <v>1200.0</v>
      </c>
      <c r="H304" s="5">
        <v>46085.0</v>
      </c>
      <c r="I304" s="2" t="s">
        <v>14</v>
      </c>
      <c r="L304" s="11"/>
      <c r="M304" s="2"/>
      <c r="N304" s="11"/>
    </row>
    <row r="305" ht="22.5" hidden="1" customHeight="1">
      <c r="A305" s="2" t="s">
        <v>231</v>
      </c>
      <c r="B305" s="2" t="s">
        <v>229</v>
      </c>
      <c r="C305" s="2">
        <v>8867.0</v>
      </c>
      <c r="D305" s="8" t="s">
        <v>22</v>
      </c>
      <c r="E305" s="9" t="s">
        <v>13</v>
      </c>
      <c r="F305" s="2">
        <v>1.0</v>
      </c>
      <c r="G305" s="2">
        <v>1200.0</v>
      </c>
      <c r="H305" s="5">
        <v>46085.0</v>
      </c>
      <c r="I305" s="2" t="s">
        <v>24</v>
      </c>
      <c r="L305" s="11"/>
      <c r="M305" s="2"/>
      <c r="N305" s="11"/>
    </row>
    <row r="306" ht="22.5" hidden="1" customHeight="1">
      <c r="A306" s="2" t="s">
        <v>17</v>
      </c>
      <c r="B306" s="2" t="s">
        <v>229</v>
      </c>
      <c r="C306" s="2">
        <v>8867.0</v>
      </c>
      <c r="D306" s="8" t="s">
        <v>12</v>
      </c>
      <c r="E306" s="9" t="s">
        <v>13</v>
      </c>
      <c r="F306" s="2">
        <v>1.0</v>
      </c>
      <c r="G306" s="2">
        <v>1200.0</v>
      </c>
      <c r="H306" s="5">
        <v>46085.0</v>
      </c>
      <c r="I306" s="2" t="s">
        <v>14</v>
      </c>
      <c r="L306" s="11"/>
      <c r="M306" s="2"/>
      <c r="N306" s="11"/>
    </row>
    <row r="307" ht="22.5" hidden="1" customHeight="1">
      <c r="A307" s="2" t="s">
        <v>232</v>
      </c>
      <c r="B307" s="2" t="s">
        <v>229</v>
      </c>
      <c r="C307" s="2">
        <v>8867.0</v>
      </c>
      <c r="D307" s="8" t="s">
        <v>12</v>
      </c>
      <c r="E307" s="9" t="s">
        <v>23</v>
      </c>
      <c r="F307" s="2">
        <v>1.0</v>
      </c>
      <c r="G307" s="2">
        <v>1200.0</v>
      </c>
      <c r="H307" s="5">
        <v>46085.0</v>
      </c>
      <c r="I307" s="2" t="s">
        <v>14</v>
      </c>
      <c r="L307" s="11"/>
      <c r="M307" s="2"/>
      <c r="N307" s="11"/>
    </row>
    <row r="308" ht="22.5" hidden="1" customHeight="1">
      <c r="A308" s="2" t="s">
        <v>205</v>
      </c>
      <c r="B308" s="2" t="s">
        <v>229</v>
      </c>
      <c r="C308" s="2">
        <v>8867.0</v>
      </c>
      <c r="D308" s="8" t="s">
        <v>12</v>
      </c>
      <c r="E308" s="9" t="s">
        <v>13</v>
      </c>
      <c r="F308" s="2">
        <v>1.0</v>
      </c>
      <c r="G308" s="2">
        <v>1200.0</v>
      </c>
      <c r="H308" s="5">
        <v>46085.0</v>
      </c>
      <c r="I308" s="2" t="s">
        <v>14</v>
      </c>
      <c r="L308" s="11"/>
      <c r="M308" s="2"/>
      <c r="N308" s="11"/>
    </row>
    <row r="309" ht="22.5" hidden="1" customHeight="1">
      <c r="A309" s="2" t="s">
        <v>205</v>
      </c>
      <c r="B309" s="2" t="s">
        <v>229</v>
      </c>
      <c r="C309" s="2">
        <v>8867.0</v>
      </c>
      <c r="D309" s="8" t="s">
        <v>12</v>
      </c>
      <c r="E309" s="9" t="s">
        <v>16</v>
      </c>
      <c r="F309" s="2">
        <v>1.0</v>
      </c>
      <c r="G309" s="2">
        <v>1200.0</v>
      </c>
      <c r="H309" s="5">
        <v>46085.0</v>
      </c>
      <c r="I309" s="2" t="s">
        <v>14</v>
      </c>
      <c r="L309" s="11"/>
      <c r="M309" s="2"/>
      <c r="N309" s="11"/>
    </row>
    <row r="310" ht="22.5" hidden="1" customHeight="1">
      <c r="A310" s="2" t="s">
        <v>129</v>
      </c>
      <c r="B310" s="2" t="s">
        <v>229</v>
      </c>
      <c r="C310" s="2">
        <v>8867.0</v>
      </c>
      <c r="D310" s="8" t="s">
        <v>12</v>
      </c>
      <c r="E310" s="9" t="s">
        <v>18</v>
      </c>
      <c r="F310" s="2">
        <v>1.0</v>
      </c>
      <c r="G310" s="2">
        <v>1200.0</v>
      </c>
      <c r="H310" s="5">
        <v>46085.0</v>
      </c>
      <c r="I310" s="2" t="s">
        <v>14</v>
      </c>
      <c r="L310" s="11"/>
      <c r="M310" s="2"/>
      <c r="N310" s="11"/>
    </row>
    <row r="311" ht="22.5" hidden="1" customHeight="1">
      <c r="A311" s="2" t="s">
        <v>37</v>
      </c>
      <c r="B311" s="2" t="s">
        <v>229</v>
      </c>
      <c r="C311" s="2">
        <v>8867.0</v>
      </c>
      <c r="D311" s="8" t="s">
        <v>12</v>
      </c>
      <c r="E311" s="9" t="s">
        <v>13</v>
      </c>
      <c r="F311" s="2">
        <v>1.0</v>
      </c>
      <c r="G311" s="2">
        <v>1200.0</v>
      </c>
      <c r="H311" s="5">
        <v>46085.0</v>
      </c>
      <c r="I311" s="2" t="s">
        <v>14</v>
      </c>
      <c r="L311" s="11"/>
      <c r="M311" s="2"/>
      <c r="N311" s="11"/>
    </row>
    <row r="312" ht="22.5" hidden="1" customHeight="1">
      <c r="A312" s="2" t="s">
        <v>37</v>
      </c>
      <c r="B312" s="2" t="s">
        <v>229</v>
      </c>
      <c r="C312" s="2">
        <v>8867.0</v>
      </c>
      <c r="D312" s="8" t="s">
        <v>12</v>
      </c>
      <c r="E312" s="9" t="s">
        <v>16</v>
      </c>
      <c r="F312" s="2">
        <v>1.0</v>
      </c>
      <c r="G312" s="2">
        <v>1200.0</v>
      </c>
      <c r="H312" s="5">
        <v>46085.0</v>
      </c>
      <c r="I312" s="2" t="s">
        <v>14</v>
      </c>
      <c r="L312" s="11"/>
      <c r="M312" s="2"/>
      <c r="N312" s="11"/>
    </row>
    <row r="313" ht="22.5" hidden="1" customHeight="1">
      <c r="A313" s="2" t="s">
        <v>126</v>
      </c>
      <c r="B313" s="2" t="s">
        <v>229</v>
      </c>
      <c r="C313" s="2">
        <v>8867.0</v>
      </c>
      <c r="D313" s="8" t="s">
        <v>22</v>
      </c>
      <c r="E313" s="9" t="s">
        <v>13</v>
      </c>
      <c r="F313" s="2">
        <v>1.0</v>
      </c>
      <c r="G313" s="2">
        <v>1200.0</v>
      </c>
      <c r="H313" s="5">
        <v>46085.0</v>
      </c>
      <c r="I313" s="2" t="s">
        <v>14</v>
      </c>
      <c r="L313" s="11"/>
      <c r="M313" s="2"/>
      <c r="N313" s="11"/>
    </row>
    <row r="314" ht="22.5" hidden="1" customHeight="1">
      <c r="A314" s="2" t="s">
        <v>126</v>
      </c>
      <c r="B314" s="2" t="s">
        <v>229</v>
      </c>
      <c r="C314" s="2">
        <v>8867.0</v>
      </c>
      <c r="D314" s="8" t="s">
        <v>22</v>
      </c>
      <c r="E314" s="9" t="s">
        <v>23</v>
      </c>
      <c r="F314" s="2">
        <v>1.0</v>
      </c>
      <c r="G314" s="2">
        <v>1200.0</v>
      </c>
      <c r="H314" s="5">
        <v>46085.0</v>
      </c>
      <c r="I314" s="2" t="s">
        <v>24</v>
      </c>
      <c r="L314" s="11"/>
      <c r="M314" s="2"/>
      <c r="N314" s="11"/>
    </row>
    <row r="315" ht="22.5" hidden="1" customHeight="1">
      <c r="A315" s="2" t="s">
        <v>82</v>
      </c>
      <c r="B315" s="2" t="s">
        <v>229</v>
      </c>
      <c r="C315" s="2">
        <v>8867.0</v>
      </c>
      <c r="D315" s="8" t="s">
        <v>22</v>
      </c>
      <c r="E315" s="9" t="s">
        <v>13</v>
      </c>
      <c r="F315" s="2">
        <v>1.0</v>
      </c>
      <c r="G315" s="2">
        <v>1200.0</v>
      </c>
      <c r="H315" s="5">
        <v>46085.0</v>
      </c>
      <c r="I315" s="2" t="s">
        <v>14</v>
      </c>
      <c r="L315" s="11"/>
      <c r="M315" s="2"/>
      <c r="N315" s="11"/>
    </row>
    <row r="316" ht="22.5" hidden="1" customHeight="1">
      <c r="A316" s="2" t="s">
        <v>233</v>
      </c>
      <c r="B316" s="2" t="s">
        <v>234</v>
      </c>
      <c r="C316" s="2">
        <v>8740.0</v>
      </c>
      <c r="D316" s="8" t="s">
        <v>22</v>
      </c>
      <c r="E316" s="9" t="s">
        <v>13</v>
      </c>
      <c r="F316" s="2">
        <v>1.0</v>
      </c>
      <c r="G316" s="2">
        <v>1600.0</v>
      </c>
      <c r="H316" s="5">
        <v>46085.0</v>
      </c>
      <c r="I316" s="2" t="s">
        <v>14</v>
      </c>
      <c r="L316" s="11"/>
      <c r="M316" s="2"/>
      <c r="N316" s="11"/>
    </row>
    <row r="317" ht="22.5" hidden="1" customHeight="1">
      <c r="A317" s="2" t="s">
        <v>181</v>
      </c>
      <c r="B317" s="2" t="s">
        <v>234</v>
      </c>
      <c r="C317" s="2">
        <v>8740.0</v>
      </c>
      <c r="D317" s="8" t="s">
        <v>12</v>
      </c>
      <c r="E317" s="9" t="s">
        <v>13</v>
      </c>
      <c r="F317" s="2">
        <v>1.0</v>
      </c>
      <c r="G317" s="2">
        <v>1600.0</v>
      </c>
      <c r="H317" s="5">
        <v>46085.0</v>
      </c>
      <c r="I317" s="2" t="s">
        <v>14</v>
      </c>
      <c r="J317" s="12" t="s">
        <v>183</v>
      </c>
      <c r="L317" s="11"/>
      <c r="M317" s="2"/>
      <c r="N317" s="11"/>
    </row>
    <row r="318" ht="22.5" hidden="1" customHeight="1">
      <c r="A318" s="2" t="s">
        <v>235</v>
      </c>
      <c r="B318" s="2" t="s">
        <v>234</v>
      </c>
      <c r="C318" s="2">
        <v>8740.0</v>
      </c>
      <c r="D318" s="8" t="s">
        <v>12</v>
      </c>
      <c r="E318" s="9" t="s">
        <v>13</v>
      </c>
      <c r="F318" s="2">
        <v>1.0</v>
      </c>
      <c r="G318" s="2">
        <v>1600.0</v>
      </c>
      <c r="H318" s="5">
        <v>46085.0</v>
      </c>
      <c r="I318" s="2" t="s">
        <v>14</v>
      </c>
      <c r="L318" s="11"/>
      <c r="M318" s="2"/>
      <c r="N318" s="11"/>
    </row>
    <row r="319" ht="22.5" hidden="1" customHeight="1">
      <c r="A319" s="2" t="s">
        <v>236</v>
      </c>
      <c r="B319" s="2" t="s">
        <v>234</v>
      </c>
      <c r="C319" s="2">
        <v>8740.0</v>
      </c>
      <c r="D319" s="8" t="s">
        <v>22</v>
      </c>
      <c r="E319" s="9" t="s">
        <v>13</v>
      </c>
      <c r="F319" s="2">
        <v>1.0</v>
      </c>
      <c r="G319" s="2">
        <v>1600.0</v>
      </c>
      <c r="H319" s="5">
        <v>46085.0</v>
      </c>
      <c r="I319" s="2" t="s">
        <v>14</v>
      </c>
      <c r="L319" s="11"/>
      <c r="M319" s="2"/>
      <c r="N319" s="11"/>
    </row>
    <row r="320" ht="22.5" hidden="1" customHeight="1">
      <c r="A320" s="2" t="s">
        <v>230</v>
      </c>
      <c r="B320" s="2" t="s">
        <v>234</v>
      </c>
      <c r="C320" s="2">
        <v>8740.0</v>
      </c>
      <c r="D320" s="8" t="s">
        <v>12</v>
      </c>
      <c r="E320" s="9" t="s">
        <v>13</v>
      </c>
      <c r="F320" s="2">
        <v>1.0</v>
      </c>
      <c r="G320" s="2">
        <v>1600.0</v>
      </c>
      <c r="H320" s="5">
        <v>46085.0</v>
      </c>
      <c r="I320" s="2" t="s">
        <v>14</v>
      </c>
      <c r="L320" s="11"/>
      <c r="M320" s="2"/>
      <c r="N320" s="11"/>
    </row>
    <row r="321" ht="22.5" hidden="1" customHeight="1">
      <c r="A321" s="2" t="s">
        <v>96</v>
      </c>
      <c r="B321" s="2" t="s">
        <v>234</v>
      </c>
      <c r="C321" s="2">
        <v>8740.0</v>
      </c>
      <c r="D321" s="8" t="s">
        <v>12</v>
      </c>
      <c r="E321" s="9" t="s">
        <v>13</v>
      </c>
      <c r="F321" s="2">
        <v>1.0</v>
      </c>
      <c r="G321" s="2">
        <v>1600.0</v>
      </c>
      <c r="H321" s="5">
        <v>46085.0</v>
      </c>
      <c r="I321" s="2" t="s">
        <v>14</v>
      </c>
      <c r="L321" s="11"/>
      <c r="M321" s="2"/>
      <c r="N321" s="11"/>
    </row>
    <row r="322" ht="22.5" hidden="1" customHeight="1">
      <c r="A322" s="2" t="s">
        <v>237</v>
      </c>
      <c r="B322" s="2" t="s">
        <v>234</v>
      </c>
      <c r="C322" s="2">
        <v>8740.0</v>
      </c>
      <c r="D322" s="8" t="s">
        <v>12</v>
      </c>
      <c r="E322" s="9" t="s">
        <v>13</v>
      </c>
      <c r="F322" s="2">
        <v>1.0</v>
      </c>
      <c r="G322" s="2">
        <v>1600.0</v>
      </c>
      <c r="H322" s="5">
        <v>46085.0</v>
      </c>
      <c r="I322" s="2" t="s">
        <v>14</v>
      </c>
      <c r="L322" s="11"/>
      <c r="M322" s="2"/>
      <c r="N322" s="11"/>
    </row>
    <row r="323" ht="22.5" hidden="1" customHeight="1">
      <c r="A323" s="2" t="s">
        <v>238</v>
      </c>
      <c r="B323" s="2" t="s">
        <v>234</v>
      </c>
      <c r="C323" s="2">
        <v>8740.0</v>
      </c>
      <c r="D323" s="8" t="s">
        <v>22</v>
      </c>
      <c r="E323" s="9" t="s">
        <v>13</v>
      </c>
      <c r="F323" s="2">
        <v>1.0</v>
      </c>
      <c r="G323" s="2">
        <v>1600.0</v>
      </c>
      <c r="H323" s="5">
        <v>46085.0</v>
      </c>
      <c r="I323" s="2" t="s">
        <v>14</v>
      </c>
      <c r="J323" s="12" t="s">
        <v>239</v>
      </c>
      <c r="L323" s="11"/>
      <c r="M323" s="2"/>
      <c r="N323" s="11"/>
    </row>
    <row r="324" ht="22.5" hidden="1" customHeight="1">
      <c r="A324" s="2" t="s">
        <v>99</v>
      </c>
      <c r="B324" s="2" t="s">
        <v>234</v>
      </c>
      <c r="C324" s="2">
        <v>8740.0</v>
      </c>
      <c r="D324" s="8" t="s">
        <v>22</v>
      </c>
      <c r="E324" s="9" t="s">
        <v>13</v>
      </c>
      <c r="F324" s="2">
        <v>1.0</v>
      </c>
      <c r="G324" s="2">
        <v>1600.0</v>
      </c>
      <c r="H324" s="5">
        <v>46085.0</v>
      </c>
      <c r="I324" s="2" t="s">
        <v>14</v>
      </c>
      <c r="L324" s="11"/>
      <c r="M324" s="2"/>
      <c r="N324" s="11"/>
    </row>
    <row r="325" ht="22.5" hidden="1" customHeight="1">
      <c r="A325" s="2" t="s">
        <v>231</v>
      </c>
      <c r="B325" s="2" t="s">
        <v>234</v>
      </c>
      <c r="C325" s="2">
        <v>8740.0</v>
      </c>
      <c r="D325" s="8" t="s">
        <v>22</v>
      </c>
      <c r="E325" s="9" t="s">
        <v>13</v>
      </c>
      <c r="F325" s="2">
        <v>1.0</v>
      </c>
      <c r="G325" s="2">
        <v>1600.0</v>
      </c>
      <c r="H325" s="5">
        <v>46085.0</v>
      </c>
      <c r="I325" s="2" t="s">
        <v>14</v>
      </c>
      <c r="L325" s="11"/>
      <c r="M325" s="2"/>
      <c r="N325" s="11"/>
    </row>
    <row r="326" ht="22.5" hidden="1" customHeight="1">
      <c r="A326" s="2" t="s">
        <v>17</v>
      </c>
      <c r="B326" s="2" t="s">
        <v>234</v>
      </c>
      <c r="C326" s="2">
        <v>8740.0</v>
      </c>
      <c r="D326" s="8" t="s">
        <v>12</v>
      </c>
      <c r="E326" s="9" t="s">
        <v>13</v>
      </c>
      <c r="F326" s="2">
        <v>1.0</v>
      </c>
      <c r="G326" s="2">
        <v>1600.0</v>
      </c>
      <c r="H326" s="5">
        <v>46085.0</v>
      </c>
      <c r="I326" s="2" t="s">
        <v>14</v>
      </c>
      <c r="L326" s="11"/>
      <c r="M326" s="2"/>
      <c r="N326" s="11"/>
    </row>
    <row r="327" ht="22.5" hidden="1" customHeight="1">
      <c r="A327" s="2" t="s">
        <v>159</v>
      </c>
      <c r="B327" s="2" t="s">
        <v>234</v>
      </c>
      <c r="C327" s="2">
        <v>8740.0</v>
      </c>
      <c r="D327" s="8" t="s">
        <v>22</v>
      </c>
      <c r="E327" s="9" t="s">
        <v>13</v>
      </c>
      <c r="F327" s="2">
        <v>1.0</v>
      </c>
      <c r="G327" s="2">
        <v>1600.0</v>
      </c>
      <c r="H327" s="5">
        <v>46085.0</v>
      </c>
      <c r="I327" s="2" t="s">
        <v>14</v>
      </c>
      <c r="L327" s="11"/>
      <c r="M327" s="2"/>
      <c r="N327" s="11"/>
    </row>
    <row r="328" ht="22.5" hidden="1" customHeight="1">
      <c r="A328" s="2" t="s">
        <v>240</v>
      </c>
      <c r="B328" s="2" t="s">
        <v>234</v>
      </c>
      <c r="C328" s="2">
        <v>8740.0</v>
      </c>
      <c r="D328" s="8" t="s">
        <v>22</v>
      </c>
      <c r="E328" s="9" t="s">
        <v>13</v>
      </c>
      <c r="F328" s="2">
        <v>1.0</v>
      </c>
      <c r="G328" s="2">
        <v>1600.0</v>
      </c>
      <c r="H328" s="5">
        <v>46085.0</v>
      </c>
      <c r="I328" s="2" t="s">
        <v>14</v>
      </c>
      <c r="L328" s="11"/>
      <c r="M328" s="2"/>
      <c r="N328" s="11"/>
    </row>
    <row r="329" ht="22.5" hidden="1" customHeight="1">
      <c r="A329" s="2" t="s">
        <v>241</v>
      </c>
      <c r="B329" s="2" t="s">
        <v>234</v>
      </c>
      <c r="C329" s="2">
        <v>8740.0</v>
      </c>
      <c r="D329" s="8" t="s">
        <v>12</v>
      </c>
      <c r="E329" s="9" t="s">
        <v>13</v>
      </c>
      <c r="F329" s="2">
        <v>1.0</v>
      </c>
      <c r="G329" s="2">
        <v>1600.0</v>
      </c>
      <c r="H329" s="5">
        <v>46085.0</v>
      </c>
      <c r="I329" s="2" t="s">
        <v>14</v>
      </c>
      <c r="L329" s="11"/>
      <c r="M329" s="2"/>
      <c r="N329" s="11"/>
    </row>
    <row r="330" ht="22.5" hidden="1" customHeight="1">
      <c r="A330" s="2" t="s">
        <v>205</v>
      </c>
      <c r="B330" s="2" t="s">
        <v>234</v>
      </c>
      <c r="C330" s="2">
        <v>8740.0</v>
      </c>
      <c r="D330" s="8" t="s">
        <v>12</v>
      </c>
      <c r="E330" s="9" t="s">
        <v>13</v>
      </c>
      <c r="F330" s="2">
        <v>1.0</v>
      </c>
      <c r="G330" s="2">
        <v>1600.0</v>
      </c>
      <c r="H330" s="5">
        <v>46085.0</v>
      </c>
      <c r="I330" s="2" t="s">
        <v>14</v>
      </c>
      <c r="L330" s="11"/>
      <c r="M330" s="2"/>
      <c r="N330" s="11"/>
    </row>
    <row r="331" ht="22.5" hidden="1" customHeight="1">
      <c r="A331" s="2" t="s">
        <v>242</v>
      </c>
      <c r="B331" s="2" t="s">
        <v>234</v>
      </c>
      <c r="C331" s="2">
        <v>8740.0</v>
      </c>
      <c r="D331" s="8" t="s">
        <v>12</v>
      </c>
      <c r="E331" s="9" t="s">
        <v>13</v>
      </c>
      <c r="F331" s="2">
        <v>1.0</v>
      </c>
      <c r="G331" s="2">
        <v>1600.0</v>
      </c>
      <c r="H331" s="5">
        <v>46085.0</v>
      </c>
      <c r="I331" s="2" t="s">
        <v>14</v>
      </c>
      <c r="L331" s="11"/>
      <c r="M331" s="2"/>
      <c r="N331" s="11"/>
    </row>
    <row r="332" ht="22.5" hidden="1" customHeight="1">
      <c r="A332" s="2" t="s">
        <v>25</v>
      </c>
      <c r="B332" s="2" t="s">
        <v>234</v>
      </c>
      <c r="C332" s="2">
        <v>8740.0</v>
      </c>
      <c r="D332" s="8" t="s">
        <v>22</v>
      </c>
      <c r="E332" s="9" t="s">
        <v>13</v>
      </c>
      <c r="F332" s="2">
        <v>1.0</v>
      </c>
      <c r="G332" s="2">
        <v>1600.0</v>
      </c>
      <c r="H332" s="5">
        <v>46085.0</v>
      </c>
      <c r="I332" s="2" t="s">
        <v>14</v>
      </c>
      <c r="L332" s="11"/>
      <c r="M332" s="2"/>
      <c r="N332" s="11"/>
    </row>
    <row r="333" ht="22.5" hidden="1" customHeight="1">
      <c r="A333" s="2" t="s">
        <v>243</v>
      </c>
      <c r="B333" s="2" t="s">
        <v>234</v>
      </c>
      <c r="C333" s="2">
        <v>8740.0</v>
      </c>
      <c r="D333" s="8" t="s">
        <v>12</v>
      </c>
      <c r="E333" s="9" t="s">
        <v>13</v>
      </c>
      <c r="F333" s="2">
        <v>1.0</v>
      </c>
      <c r="G333" s="2">
        <v>1600.0</v>
      </c>
      <c r="H333" s="5">
        <v>46085.0</v>
      </c>
      <c r="I333" s="2" t="s">
        <v>14</v>
      </c>
      <c r="L333" s="11"/>
      <c r="M333" s="2"/>
      <c r="N333" s="11"/>
    </row>
    <row r="334" ht="22.5" hidden="1" customHeight="1">
      <c r="A334" s="2" t="s">
        <v>244</v>
      </c>
      <c r="B334" s="2" t="s">
        <v>234</v>
      </c>
      <c r="C334" s="2">
        <v>8740.0</v>
      </c>
      <c r="D334" s="8" t="s">
        <v>22</v>
      </c>
      <c r="E334" s="9" t="s">
        <v>13</v>
      </c>
      <c r="F334" s="2">
        <v>1.0</v>
      </c>
      <c r="G334" s="2">
        <v>1600.0</v>
      </c>
      <c r="H334" s="5">
        <v>46085.0</v>
      </c>
      <c r="I334" s="2" t="s">
        <v>14</v>
      </c>
      <c r="L334" s="11"/>
      <c r="M334" s="2"/>
      <c r="N334" s="11"/>
    </row>
    <row r="335" ht="22.5" hidden="1" customHeight="1">
      <c r="A335" s="2" t="s">
        <v>245</v>
      </c>
      <c r="B335" s="2" t="s">
        <v>234</v>
      </c>
      <c r="C335" s="2">
        <v>8740.0</v>
      </c>
      <c r="D335" s="8" t="s">
        <v>22</v>
      </c>
      <c r="E335" s="9" t="s">
        <v>13</v>
      </c>
      <c r="F335" s="2">
        <v>1.0</v>
      </c>
      <c r="G335" s="2">
        <v>1600.0</v>
      </c>
      <c r="H335" s="5">
        <v>46085.0</v>
      </c>
      <c r="I335" s="2" t="s">
        <v>14</v>
      </c>
      <c r="L335" s="11"/>
      <c r="M335" s="2"/>
      <c r="N335" s="11"/>
    </row>
    <row r="336" ht="22.5" hidden="1" customHeight="1">
      <c r="A336" s="2" t="s">
        <v>101</v>
      </c>
      <c r="B336" s="2" t="s">
        <v>234</v>
      </c>
      <c r="C336" s="2">
        <v>8740.0</v>
      </c>
      <c r="D336" s="8" t="s">
        <v>12</v>
      </c>
      <c r="E336" s="9" t="s">
        <v>13</v>
      </c>
      <c r="F336" s="2">
        <v>2.0</v>
      </c>
      <c r="G336" s="2">
        <v>1600.0</v>
      </c>
      <c r="H336" s="5">
        <v>46085.0</v>
      </c>
      <c r="I336" s="2" t="s">
        <v>14</v>
      </c>
      <c r="L336" s="11"/>
      <c r="M336" s="2"/>
      <c r="N336" s="11"/>
    </row>
    <row r="337" ht="22.5" hidden="1" customHeight="1">
      <c r="A337" s="2" t="s">
        <v>222</v>
      </c>
      <c r="B337" s="2" t="s">
        <v>234</v>
      </c>
      <c r="C337" s="2">
        <v>8740.0</v>
      </c>
      <c r="D337" s="8" t="s">
        <v>22</v>
      </c>
      <c r="E337" s="9" t="s">
        <v>13</v>
      </c>
      <c r="F337" s="2">
        <v>1.0</v>
      </c>
      <c r="G337" s="2">
        <v>1600.0</v>
      </c>
      <c r="H337" s="5">
        <v>46085.0</v>
      </c>
      <c r="I337" s="2" t="s">
        <v>14</v>
      </c>
      <c r="L337" s="11"/>
      <c r="M337" s="2"/>
      <c r="N337" s="11"/>
    </row>
    <row r="338" ht="22.5" hidden="1" customHeight="1">
      <c r="A338" s="2" t="s">
        <v>246</v>
      </c>
      <c r="B338" s="2" t="s">
        <v>234</v>
      </c>
      <c r="C338" s="2">
        <v>8740.0</v>
      </c>
      <c r="D338" s="8" t="s">
        <v>12</v>
      </c>
      <c r="E338" s="9" t="s">
        <v>13</v>
      </c>
      <c r="F338" s="2">
        <v>1.0</v>
      </c>
      <c r="G338" s="2">
        <v>1600.0</v>
      </c>
      <c r="H338" s="5">
        <v>46085.0</v>
      </c>
      <c r="I338" s="2" t="s">
        <v>14</v>
      </c>
      <c r="L338" s="11"/>
      <c r="M338" s="2"/>
      <c r="N338" s="11"/>
    </row>
    <row r="339" ht="22.5" hidden="1" customHeight="1">
      <c r="A339" s="2" t="s">
        <v>53</v>
      </c>
      <c r="B339" s="2" t="s">
        <v>234</v>
      </c>
      <c r="C339" s="2">
        <v>8740.0</v>
      </c>
      <c r="D339" s="8" t="s">
        <v>12</v>
      </c>
      <c r="E339" s="9" t="s">
        <v>13</v>
      </c>
      <c r="F339" s="2">
        <v>1.0</v>
      </c>
      <c r="G339" s="2">
        <v>1600.0</v>
      </c>
      <c r="H339" s="5">
        <v>46085.0</v>
      </c>
      <c r="I339" s="2" t="s">
        <v>14</v>
      </c>
      <c r="L339" s="11"/>
      <c r="M339" s="2"/>
      <c r="N339" s="11"/>
    </row>
    <row r="340" ht="22.5" hidden="1" customHeight="1">
      <c r="A340" s="2" t="s">
        <v>247</v>
      </c>
      <c r="B340" s="2" t="s">
        <v>234</v>
      </c>
      <c r="C340" s="2">
        <v>8740.0</v>
      </c>
      <c r="D340" s="8" t="s">
        <v>12</v>
      </c>
      <c r="E340" s="9" t="s">
        <v>13</v>
      </c>
      <c r="F340" s="2">
        <v>1.0</v>
      </c>
      <c r="G340" s="2">
        <v>1600.0</v>
      </c>
      <c r="H340" s="5">
        <v>46085.0</v>
      </c>
      <c r="I340" s="2" t="s">
        <v>14</v>
      </c>
      <c r="L340" s="11"/>
      <c r="M340" s="2"/>
      <c r="N340" s="11"/>
    </row>
    <row r="341" ht="22.5" hidden="1" customHeight="1">
      <c r="A341" s="2" t="s">
        <v>248</v>
      </c>
      <c r="B341" s="2" t="s">
        <v>234</v>
      </c>
      <c r="C341" s="2">
        <v>8740.0</v>
      </c>
      <c r="D341" s="8" t="s">
        <v>22</v>
      </c>
      <c r="E341" s="9" t="s">
        <v>13</v>
      </c>
      <c r="F341" s="2">
        <v>1.0</v>
      </c>
      <c r="G341" s="2">
        <v>1600.0</v>
      </c>
      <c r="H341" s="5">
        <v>46085.0</v>
      </c>
      <c r="I341" s="2" t="s">
        <v>14</v>
      </c>
      <c r="L341" s="11"/>
      <c r="M341" s="2"/>
      <c r="N341" s="11"/>
    </row>
    <row r="342" ht="22.5" hidden="1" customHeight="1">
      <c r="A342" s="2" t="s">
        <v>226</v>
      </c>
      <c r="B342" s="2" t="s">
        <v>234</v>
      </c>
      <c r="C342" s="2">
        <v>8740.0</v>
      </c>
      <c r="D342" s="8" t="s">
        <v>22</v>
      </c>
      <c r="E342" s="9" t="s">
        <v>13</v>
      </c>
      <c r="F342" s="2">
        <v>1.0</v>
      </c>
      <c r="G342" s="2">
        <v>1600.0</v>
      </c>
      <c r="H342" s="5">
        <v>46085.0</v>
      </c>
      <c r="I342" s="2" t="s">
        <v>14</v>
      </c>
      <c r="L342" s="11"/>
      <c r="M342" s="2"/>
      <c r="N342" s="11"/>
    </row>
    <row r="343" ht="22.5" hidden="1" customHeight="1">
      <c r="A343" s="2" t="s">
        <v>193</v>
      </c>
      <c r="B343" s="2" t="s">
        <v>234</v>
      </c>
      <c r="C343" s="2">
        <v>8740.0</v>
      </c>
      <c r="D343" s="8" t="s">
        <v>12</v>
      </c>
      <c r="E343" s="9" t="s">
        <v>13</v>
      </c>
      <c r="F343" s="2">
        <v>1.0</v>
      </c>
      <c r="G343" s="2">
        <v>1600.0</v>
      </c>
      <c r="H343" s="5">
        <v>46085.0</v>
      </c>
      <c r="I343" s="2" t="s">
        <v>14</v>
      </c>
      <c r="L343" s="11"/>
      <c r="M343" s="2"/>
      <c r="N343" s="11"/>
    </row>
    <row r="344" ht="22.5" hidden="1" customHeight="1">
      <c r="A344" s="2" t="s">
        <v>236</v>
      </c>
      <c r="B344" s="2" t="s">
        <v>234</v>
      </c>
      <c r="C344" s="2">
        <v>8740.0</v>
      </c>
      <c r="D344" s="8" t="s">
        <v>22</v>
      </c>
      <c r="E344" s="9" t="s">
        <v>13</v>
      </c>
      <c r="F344" s="2">
        <v>1.0</v>
      </c>
      <c r="G344" s="2">
        <v>1600.0</v>
      </c>
      <c r="H344" s="5">
        <v>46085.0</v>
      </c>
      <c r="I344" s="2" t="s">
        <v>24</v>
      </c>
      <c r="L344" s="11"/>
      <c r="M344" s="2"/>
      <c r="N344" s="11"/>
    </row>
    <row r="345" ht="22.5" hidden="1" customHeight="1">
      <c r="A345" s="2" t="s">
        <v>249</v>
      </c>
      <c r="B345" s="2" t="s">
        <v>234</v>
      </c>
      <c r="C345" s="2">
        <v>8740.0</v>
      </c>
      <c r="D345" s="8" t="s">
        <v>12</v>
      </c>
      <c r="E345" s="9" t="s">
        <v>13</v>
      </c>
      <c r="F345" s="2">
        <v>1.0</v>
      </c>
      <c r="G345" s="2">
        <v>1600.0</v>
      </c>
      <c r="H345" s="5">
        <v>46085.0</v>
      </c>
      <c r="I345" s="2" t="s">
        <v>14</v>
      </c>
      <c r="J345" s="12" t="s">
        <v>250</v>
      </c>
      <c r="L345" s="11"/>
      <c r="M345" s="2"/>
      <c r="N345" s="11"/>
    </row>
    <row r="346" ht="22.5" hidden="1" customHeight="1">
      <c r="A346" s="2" t="s">
        <v>42</v>
      </c>
      <c r="B346" s="2" t="s">
        <v>234</v>
      </c>
      <c r="C346" s="2">
        <v>8740.0</v>
      </c>
      <c r="D346" s="8" t="s">
        <v>12</v>
      </c>
      <c r="E346" s="9" t="s">
        <v>13</v>
      </c>
      <c r="F346" s="2">
        <v>1.0</v>
      </c>
      <c r="G346" s="2">
        <v>1600.0</v>
      </c>
      <c r="H346" s="5">
        <v>46085.0</v>
      </c>
      <c r="I346" s="2" t="s">
        <v>14</v>
      </c>
      <c r="L346" s="11"/>
      <c r="M346" s="2"/>
      <c r="N346" s="11"/>
    </row>
    <row r="347" ht="22.5" hidden="1" customHeight="1">
      <c r="A347" s="2" t="s">
        <v>126</v>
      </c>
      <c r="B347" s="2" t="s">
        <v>234</v>
      </c>
      <c r="C347" s="2">
        <v>8740.0</v>
      </c>
      <c r="D347" s="8" t="s">
        <v>22</v>
      </c>
      <c r="E347" s="9" t="s">
        <v>13</v>
      </c>
      <c r="F347" s="2">
        <v>1.0</v>
      </c>
      <c r="G347" s="2">
        <v>1600.0</v>
      </c>
      <c r="H347" s="5">
        <v>46085.0</v>
      </c>
      <c r="I347" s="2" t="s">
        <v>14</v>
      </c>
      <c r="L347" s="11"/>
      <c r="M347" s="2"/>
      <c r="N347" s="11"/>
    </row>
    <row r="348" ht="22.5" hidden="1" customHeight="1">
      <c r="A348" s="2" t="s">
        <v>220</v>
      </c>
      <c r="B348" s="2" t="s">
        <v>234</v>
      </c>
      <c r="C348" s="2">
        <v>8740.0</v>
      </c>
      <c r="D348" s="8" t="s">
        <v>22</v>
      </c>
      <c r="E348" s="9" t="s">
        <v>13</v>
      </c>
      <c r="F348" s="2">
        <v>1.0</v>
      </c>
      <c r="G348" s="2">
        <v>1600.0</v>
      </c>
      <c r="H348" s="5">
        <v>46085.0</v>
      </c>
      <c r="I348" s="2" t="s">
        <v>14</v>
      </c>
      <c r="L348" s="11"/>
      <c r="M348" s="2"/>
      <c r="N348" s="11"/>
    </row>
    <row r="349" ht="22.5" hidden="1" customHeight="1">
      <c r="A349" s="2" t="s">
        <v>220</v>
      </c>
      <c r="B349" s="2" t="s">
        <v>251</v>
      </c>
      <c r="C349" s="2">
        <v>5344.0</v>
      </c>
      <c r="D349" s="8" t="s">
        <v>22</v>
      </c>
      <c r="E349" s="9" t="s">
        <v>58</v>
      </c>
      <c r="F349" s="2">
        <v>1.0</v>
      </c>
      <c r="G349" s="2">
        <v>1700.0</v>
      </c>
      <c r="H349" s="5">
        <v>46085.0</v>
      </c>
      <c r="I349" s="2" t="s">
        <v>14</v>
      </c>
      <c r="L349" s="11"/>
      <c r="M349" s="2"/>
      <c r="N349" s="11"/>
    </row>
    <row r="350" ht="22.5" hidden="1" customHeight="1">
      <c r="A350" s="2" t="s">
        <v>73</v>
      </c>
      <c r="B350" s="2" t="s">
        <v>251</v>
      </c>
      <c r="C350" s="2">
        <v>5344.0</v>
      </c>
      <c r="D350" s="8" t="s">
        <v>22</v>
      </c>
      <c r="E350" s="9" t="s">
        <v>58</v>
      </c>
      <c r="F350" s="2">
        <v>1.0</v>
      </c>
      <c r="G350" s="2">
        <v>1700.0</v>
      </c>
      <c r="H350" s="5">
        <v>46085.0</v>
      </c>
      <c r="I350" s="2" t="s">
        <v>14</v>
      </c>
      <c r="L350" s="11"/>
      <c r="M350" s="2"/>
      <c r="N350" s="11"/>
    </row>
    <row r="351" ht="22.5" hidden="1" customHeight="1">
      <c r="A351" s="2" t="s">
        <v>252</v>
      </c>
      <c r="B351" s="2" t="s">
        <v>251</v>
      </c>
      <c r="C351" s="2">
        <v>5344.0</v>
      </c>
      <c r="D351" s="8" t="s">
        <v>12</v>
      </c>
      <c r="E351" s="9" t="s">
        <v>58</v>
      </c>
      <c r="F351" s="2">
        <v>1.0</v>
      </c>
      <c r="G351" s="2">
        <v>1700.0</v>
      </c>
      <c r="H351" s="5">
        <v>46085.0</v>
      </c>
      <c r="I351" s="2" t="s">
        <v>14</v>
      </c>
      <c r="L351" s="11"/>
      <c r="M351" s="2"/>
      <c r="N351" s="11"/>
    </row>
    <row r="352" ht="22.5" hidden="1" customHeight="1">
      <c r="A352" s="2" t="s">
        <v>96</v>
      </c>
      <c r="B352" s="2" t="s">
        <v>251</v>
      </c>
      <c r="C352" s="2">
        <v>5344.0</v>
      </c>
      <c r="D352" s="8" t="s">
        <v>12</v>
      </c>
      <c r="E352" s="9" t="s">
        <v>58</v>
      </c>
      <c r="F352" s="2">
        <v>1.0</v>
      </c>
      <c r="G352" s="2">
        <v>1700.0</v>
      </c>
      <c r="H352" s="5">
        <v>46085.0</v>
      </c>
      <c r="I352" s="2" t="s">
        <v>14</v>
      </c>
      <c r="L352" s="11"/>
      <c r="M352" s="2"/>
      <c r="N352" s="11"/>
    </row>
    <row r="353" ht="22.5" hidden="1" customHeight="1">
      <c r="A353" s="2" t="s">
        <v>17</v>
      </c>
      <c r="B353" s="2" t="s">
        <v>251</v>
      </c>
      <c r="C353" s="2">
        <v>5344.0</v>
      </c>
      <c r="D353" s="8" t="s">
        <v>12</v>
      </c>
      <c r="E353" s="9" t="s">
        <v>58</v>
      </c>
      <c r="F353" s="2">
        <v>1.0</v>
      </c>
      <c r="G353" s="2">
        <v>1700.0</v>
      </c>
      <c r="H353" s="5">
        <v>46085.0</v>
      </c>
      <c r="I353" s="2" t="s">
        <v>14</v>
      </c>
      <c r="L353" s="11"/>
      <c r="M353" s="2"/>
      <c r="N353" s="11"/>
    </row>
    <row r="354" ht="22.5" hidden="1" customHeight="1">
      <c r="A354" s="2" t="s">
        <v>253</v>
      </c>
      <c r="B354" s="2" t="s">
        <v>251</v>
      </c>
      <c r="C354" s="2">
        <v>5344.0</v>
      </c>
      <c r="D354" s="8" t="s">
        <v>12</v>
      </c>
      <c r="E354" s="9" t="s">
        <v>58</v>
      </c>
      <c r="F354" s="2">
        <v>1.0</v>
      </c>
      <c r="G354" s="2">
        <v>1700.0</v>
      </c>
      <c r="H354" s="5">
        <v>46085.0</v>
      </c>
      <c r="I354" s="2" t="s">
        <v>14</v>
      </c>
      <c r="L354" s="11"/>
      <c r="M354" s="2"/>
      <c r="N354" s="11"/>
    </row>
    <row r="355" ht="22.5" hidden="1" customHeight="1">
      <c r="A355" s="13" t="s">
        <v>254</v>
      </c>
      <c r="B355" s="13" t="s">
        <v>234</v>
      </c>
      <c r="C355" s="14">
        <v>8740.0</v>
      </c>
      <c r="D355" s="15" t="s">
        <v>12</v>
      </c>
      <c r="E355" s="16" t="s">
        <v>13</v>
      </c>
      <c r="F355" s="17">
        <v>1.0</v>
      </c>
      <c r="G355" s="17">
        <v>1600.0</v>
      </c>
      <c r="H355" s="18">
        <v>46097.0</v>
      </c>
      <c r="I355" s="2" t="s">
        <v>14</v>
      </c>
      <c r="J355" s="13"/>
      <c r="L355" s="19"/>
      <c r="M355" s="2"/>
      <c r="N355" s="19"/>
    </row>
    <row r="356" ht="22.5" hidden="1" customHeight="1">
      <c r="A356" s="13" t="s">
        <v>255</v>
      </c>
      <c r="B356" s="13" t="s">
        <v>196</v>
      </c>
      <c r="C356" s="14">
        <v>8876.0</v>
      </c>
      <c r="D356" s="20" t="s">
        <v>22</v>
      </c>
      <c r="E356" s="21" t="s">
        <v>18</v>
      </c>
      <c r="F356" s="17">
        <v>1.0</v>
      </c>
      <c r="G356" s="17">
        <v>990.0</v>
      </c>
      <c r="H356" s="18">
        <v>46097.0</v>
      </c>
      <c r="I356" s="2" t="s">
        <v>14</v>
      </c>
      <c r="J356" s="13"/>
      <c r="L356" s="19"/>
      <c r="M356" s="2"/>
      <c r="N356" s="19"/>
    </row>
    <row r="357" ht="22.5" hidden="1" customHeight="1">
      <c r="A357" s="13" t="s">
        <v>255</v>
      </c>
      <c r="B357" s="13" t="s">
        <v>182</v>
      </c>
      <c r="C357" s="14">
        <v>9369.0</v>
      </c>
      <c r="D357" s="22" t="s">
        <v>22</v>
      </c>
      <c r="E357" s="23" t="s">
        <v>58</v>
      </c>
      <c r="F357" s="17">
        <v>1.0</v>
      </c>
      <c r="G357" s="17">
        <v>2400.0</v>
      </c>
      <c r="H357" s="18">
        <v>46097.0</v>
      </c>
      <c r="I357" s="2" t="s">
        <v>14</v>
      </c>
      <c r="J357" s="13"/>
      <c r="L357" s="19"/>
      <c r="M357" s="2"/>
      <c r="N357" s="19"/>
    </row>
    <row r="358" ht="22.5" hidden="1" customHeight="1">
      <c r="A358" s="13" t="s">
        <v>256</v>
      </c>
      <c r="B358" s="13" t="s">
        <v>97</v>
      </c>
      <c r="C358" s="14">
        <v>8748.0</v>
      </c>
      <c r="D358" s="20" t="s">
        <v>12</v>
      </c>
      <c r="E358" s="24" t="s">
        <v>58</v>
      </c>
      <c r="F358" s="17">
        <v>1.0</v>
      </c>
      <c r="G358" s="17">
        <v>1800.0</v>
      </c>
      <c r="H358" s="18">
        <v>46097.0</v>
      </c>
      <c r="I358" s="2" t="s">
        <v>14</v>
      </c>
      <c r="J358" s="13"/>
      <c r="L358" s="19"/>
      <c r="M358" s="2"/>
      <c r="N358" s="19"/>
    </row>
    <row r="359" ht="22.5" hidden="1" customHeight="1">
      <c r="A359" s="13" t="s">
        <v>257</v>
      </c>
      <c r="B359" s="13" t="s">
        <v>234</v>
      </c>
      <c r="C359" s="14">
        <v>8740.0</v>
      </c>
      <c r="D359" s="22" t="s">
        <v>12</v>
      </c>
      <c r="E359" s="25" t="s">
        <v>13</v>
      </c>
      <c r="F359" s="17">
        <v>1.0</v>
      </c>
      <c r="G359" s="17">
        <v>1600.0</v>
      </c>
      <c r="H359" s="18">
        <v>46097.0</v>
      </c>
      <c r="I359" s="2" t="s">
        <v>14</v>
      </c>
      <c r="J359" s="13"/>
      <c r="L359" s="19"/>
      <c r="M359" s="2"/>
      <c r="N359" s="19"/>
    </row>
    <row r="360" ht="22.5" hidden="1" customHeight="1">
      <c r="A360" s="13" t="s">
        <v>155</v>
      </c>
      <c r="B360" s="13" t="s">
        <v>234</v>
      </c>
      <c r="C360" s="14">
        <v>8740.0</v>
      </c>
      <c r="D360" s="20" t="s">
        <v>12</v>
      </c>
      <c r="E360" s="21" t="s">
        <v>13</v>
      </c>
      <c r="F360" s="17">
        <v>1.0</v>
      </c>
      <c r="G360" s="17">
        <v>1600.0</v>
      </c>
      <c r="H360" s="18">
        <v>46097.0</v>
      </c>
      <c r="I360" s="2" t="s">
        <v>14</v>
      </c>
      <c r="J360" s="13"/>
      <c r="L360" s="19"/>
      <c r="M360" s="2"/>
      <c r="N360" s="19"/>
    </row>
    <row r="361" ht="22.5" hidden="1" customHeight="1">
      <c r="A361" s="13" t="s">
        <v>88</v>
      </c>
      <c r="B361" s="13" t="s">
        <v>234</v>
      </c>
      <c r="C361" s="14">
        <v>8740.0</v>
      </c>
      <c r="D361" s="22" t="s">
        <v>12</v>
      </c>
      <c r="E361" s="25" t="s">
        <v>13</v>
      </c>
      <c r="F361" s="17">
        <v>1.0</v>
      </c>
      <c r="G361" s="17">
        <v>1600.0</v>
      </c>
      <c r="H361" s="18">
        <v>46097.0</v>
      </c>
      <c r="I361" s="2" t="s">
        <v>14</v>
      </c>
      <c r="J361" s="13"/>
      <c r="L361" s="19"/>
      <c r="M361" s="2"/>
      <c r="N361" s="19"/>
    </row>
    <row r="362" ht="22.5" hidden="1" customHeight="1">
      <c r="A362" s="13" t="s">
        <v>69</v>
      </c>
      <c r="B362" s="13" t="s">
        <v>97</v>
      </c>
      <c r="C362" s="14">
        <v>8748.0</v>
      </c>
      <c r="D362" s="20" t="s">
        <v>12</v>
      </c>
      <c r="E362" s="24" t="s">
        <v>58</v>
      </c>
      <c r="F362" s="17">
        <v>1.0</v>
      </c>
      <c r="G362" s="17">
        <v>1800.0</v>
      </c>
      <c r="H362" s="18">
        <v>46097.0</v>
      </c>
      <c r="I362" s="2" t="s">
        <v>14</v>
      </c>
      <c r="J362" s="26" t="s">
        <v>258</v>
      </c>
      <c r="L362" s="19"/>
      <c r="M362" s="2"/>
      <c r="N362" s="19"/>
    </row>
    <row r="363" ht="22.5" hidden="1" customHeight="1">
      <c r="A363" s="13" t="s">
        <v>69</v>
      </c>
      <c r="B363" s="13" t="s">
        <v>223</v>
      </c>
      <c r="C363" s="14">
        <v>7957.0</v>
      </c>
      <c r="D363" s="22" t="s">
        <v>12</v>
      </c>
      <c r="E363" s="25" t="s">
        <v>18</v>
      </c>
      <c r="F363" s="17">
        <v>1.0</v>
      </c>
      <c r="G363" s="17">
        <v>1400.0</v>
      </c>
      <c r="H363" s="18">
        <v>46097.0</v>
      </c>
      <c r="I363" s="2" t="s">
        <v>14</v>
      </c>
      <c r="J363" s="13"/>
      <c r="L363" s="19"/>
      <c r="M363" s="2"/>
      <c r="N363" s="19"/>
    </row>
    <row r="364" ht="22.5" hidden="1" customHeight="1">
      <c r="A364" s="13" t="s">
        <v>259</v>
      </c>
      <c r="B364" s="13" t="s">
        <v>234</v>
      </c>
      <c r="C364" s="14">
        <v>8740.0</v>
      </c>
      <c r="D364" s="20" t="s">
        <v>12</v>
      </c>
      <c r="E364" s="21" t="s">
        <v>13</v>
      </c>
      <c r="F364" s="17">
        <v>1.0</v>
      </c>
      <c r="G364" s="17">
        <v>1600.0</v>
      </c>
      <c r="H364" s="18">
        <v>46097.0</v>
      </c>
      <c r="I364" s="2" t="s">
        <v>14</v>
      </c>
      <c r="J364" s="13"/>
      <c r="L364" s="19"/>
      <c r="M364" s="2"/>
      <c r="N364" s="19"/>
    </row>
    <row r="365" ht="22.5" hidden="1" customHeight="1">
      <c r="A365" s="13" t="s">
        <v>260</v>
      </c>
      <c r="B365" s="13" t="s">
        <v>234</v>
      </c>
      <c r="C365" s="14">
        <v>8740.0</v>
      </c>
      <c r="D365" s="22" t="s">
        <v>22</v>
      </c>
      <c r="E365" s="25" t="s">
        <v>13</v>
      </c>
      <c r="F365" s="17">
        <v>1.0</v>
      </c>
      <c r="G365" s="17">
        <v>1600.0</v>
      </c>
      <c r="H365" s="18">
        <v>46097.0</v>
      </c>
      <c r="I365" s="2" t="s">
        <v>14</v>
      </c>
      <c r="J365" s="13"/>
      <c r="L365" s="19"/>
      <c r="M365" s="2"/>
      <c r="N365" s="19"/>
    </row>
    <row r="366" ht="22.5" hidden="1" customHeight="1">
      <c r="A366" s="13" t="s">
        <v>261</v>
      </c>
      <c r="B366" s="13" t="s">
        <v>234</v>
      </c>
      <c r="C366" s="14">
        <v>8740.0</v>
      </c>
      <c r="D366" s="20" t="s">
        <v>22</v>
      </c>
      <c r="E366" s="21" t="s">
        <v>13</v>
      </c>
      <c r="F366" s="17">
        <v>1.0</v>
      </c>
      <c r="G366" s="17">
        <v>1600.0</v>
      </c>
      <c r="H366" s="18">
        <v>46097.0</v>
      </c>
      <c r="I366" s="2" t="s">
        <v>14</v>
      </c>
      <c r="J366" s="13"/>
      <c r="L366" s="19"/>
      <c r="M366" s="2"/>
      <c r="N366" s="19"/>
    </row>
    <row r="367" ht="22.5" hidden="1" customHeight="1">
      <c r="A367" s="13" t="s">
        <v>262</v>
      </c>
      <c r="B367" s="13" t="s">
        <v>234</v>
      </c>
      <c r="C367" s="14">
        <v>8740.0</v>
      </c>
      <c r="D367" s="22" t="s">
        <v>12</v>
      </c>
      <c r="E367" s="25" t="s">
        <v>13</v>
      </c>
      <c r="F367" s="17">
        <v>1.0</v>
      </c>
      <c r="G367" s="17">
        <v>1600.0</v>
      </c>
      <c r="H367" s="18">
        <v>46097.0</v>
      </c>
      <c r="I367" s="2" t="s">
        <v>14</v>
      </c>
      <c r="J367" s="13"/>
      <c r="L367" s="19"/>
      <c r="M367" s="2"/>
      <c r="N367" s="19"/>
    </row>
    <row r="368" ht="22.5" hidden="1" customHeight="1">
      <c r="A368" s="13" t="s">
        <v>263</v>
      </c>
      <c r="B368" s="13" t="s">
        <v>234</v>
      </c>
      <c r="C368" s="14">
        <v>8740.0</v>
      </c>
      <c r="D368" s="20" t="s">
        <v>22</v>
      </c>
      <c r="E368" s="21" t="s">
        <v>13</v>
      </c>
      <c r="F368" s="17">
        <v>1.0</v>
      </c>
      <c r="G368" s="17">
        <v>1600.0</v>
      </c>
      <c r="H368" s="18">
        <v>46097.0</v>
      </c>
      <c r="I368" s="2" t="s">
        <v>14</v>
      </c>
      <c r="J368" s="13"/>
      <c r="L368" s="19"/>
      <c r="M368" s="2"/>
      <c r="N368" s="19"/>
    </row>
    <row r="369" ht="22.5" hidden="1" customHeight="1">
      <c r="A369" s="13" t="s">
        <v>158</v>
      </c>
      <c r="B369" s="13" t="s">
        <v>234</v>
      </c>
      <c r="C369" s="14">
        <v>8740.0</v>
      </c>
      <c r="D369" s="22" t="s">
        <v>12</v>
      </c>
      <c r="E369" s="25" t="s">
        <v>13</v>
      </c>
      <c r="F369" s="17">
        <v>1.0</v>
      </c>
      <c r="G369" s="17">
        <v>1600.0</v>
      </c>
      <c r="H369" s="18">
        <v>46097.0</v>
      </c>
      <c r="I369" s="2" t="s">
        <v>14</v>
      </c>
      <c r="J369" s="13"/>
      <c r="L369" s="19"/>
      <c r="M369" s="2"/>
      <c r="N369" s="19"/>
    </row>
    <row r="370" ht="22.5" hidden="1" customHeight="1">
      <c r="A370" s="13" t="s">
        <v>261</v>
      </c>
      <c r="B370" s="13" t="s">
        <v>152</v>
      </c>
      <c r="C370" s="14">
        <v>8319.0</v>
      </c>
      <c r="D370" s="20" t="s">
        <v>22</v>
      </c>
      <c r="E370" s="24" t="s">
        <v>58</v>
      </c>
      <c r="F370" s="17">
        <v>1.0</v>
      </c>
      <c r="G370" s="17">
        <v>1800.0</v>
      </c>
      <c r="H370" s="18">
        <v>46097.0</v>
      </c>
      <c r="I370" s="2" t="s">
        <v>14</v>
      </c>
      <c r="J370" s="13"/>
      <c r="L370" s="19"/>
      <c r="M370" s="2"/>
      <c r="N370" s="19"/>
    </row>
    <row r="371" ht="22.5" hidden="1" customHeight="1">
      <c r="A371" s="13" t="s">
        <v>264</v>
      </c>
      <c r="B371" s="13" t="s">
        <v>97</v>
      </c>
      <c r="C371" s="14">
        <v>8748.0</v>
      </c>
      <c r="D371" s="22" t="s">
        <v>22</v>
      </c>
      <c r="E371" s="23" t="s">
        <v>58</v>
      </c>
      <c r="F371" s="17">
        <v>1.0</v>
      </c>
      <c r="G371" s="17">
        <v>1800.0</v>
      </c>
      <c r="H371" s="18">
        <v>46097.0</v>
      </c>
      <c r="I371" s="2" t="s">
        <v>14</v>
      </c>
      <c r="J371" s="13"/>
      <c r="L371" s="19"/>
      <c r="M371" s="2"/>
      <c r="N371" s="19"/>
    </row>
    <row r="372" ht="22.5" hidden="1" customHeight="1">
      <c r="A372" s="13" t="s">
        <v>158</v>
      </c>
      <c r="B372" s="13" t="s">
        <v>152</v>
      </c>
      <c r="C372" s="14">
        <v>8319.0</v>
      </c>
      <c r="D372" s="20" t="s">
        <v>12</v>
      </c>
      <c r="E372" s="24" t="s">
        <v>58</v>
      </c>
      <c r="F372" s="17">
        <v>1.0</v>
      </c>
      <c r="G372" s="17">
        <v>1800.0</v>
      </c>
      <c r="H372" s="18">
        <v>46097.0</v>
      </c>
      <c r="I372" s="2" t="s">
        <v>14</v>
      </c>
      <c r="J372" s="13"/>
      <c r="L372" s="19"/>
      <c r="M372" s="2"/>
      <c r="N372" s="19"/>
    </row>
    <row r="373" ht="22.5" hidden="1" customHeight="1">
      <c r="A373" s="13" t="s">
        <v>265</v>
      </c>
      <c r="B373" s="2" t="s">
        <v>229</v>
      </c>
      <c r="C373" s="27">
        <v>8867.0</v>
      </c>
      <c r="D373" s="22" t="s">
        <v>12</v>
      </c>
      <c r="E373" s="23" t="s">
        <v>58</v>
      </c>
      <c r="F373" s="17">
        <v>1.0</v>
      </c>
      <c r="G373" s="28">
        <v>1200.0</v>
      </c>
      <c r="H373" s="18">
        <v>46097.0</v>
      </c>
      <c r="I373" s="2" t="s">
        <v>14</v>
      </c>
      <c r="J373" s="13"/>
      <c r="L373" s="19"/>
      <c r="M373" s="2"/>
      <c r="N373" s="19"/>
    </row>
    <row r="374" ht="22.5" hidden="1" customHeight="1">
      <c r="A374" s="13" t="s">
        <v>265</v>
      </c>
      <c r="B374" s="2" t="s">
        <v>229</v>
      </c>
      <c r="C374" s="27">
        <v>8867.0</v>
      </c>
      <c r="D374" s="20" t="s">
        <v>12</v>
      </c>
      <c r="E374" s="24" t="s">
        <v>16</v>
      </c>
      <c r="F374" s="17">
        <v>1.0</v>
      </c>
      <c r="G374" s="28">
        <v>1200.0</v>
      </c>
      <c r="H374" s="18">
        <v>46097.0</v>
      </c>
      <c r="I374" s="2" t="s">
        <v>14</v>
      </c>
      <c r="J374" s="13"/>
      <c r="L374" s="19"/>
      <c r="M374" s="2"/>
      <c r="N374" s="19"/>
    </row>
    <row r="375" ht="22.5" hidden="1" customHeight="1">
      <c r="A375" s="13" t="s">
        <v>266</v>
      </c>
      <c r="B375" s="13" t="s">
        <v>182</v>
      </c>
      <c r="C375" s="14">
        <v>9369.0</v>
      </c>
      <c r="D375" s="22" t="s">
        <v>12</v>
      </c>
      <c r="E375" s="23" t="s">
        <v>58</v>
      </c>
      <c r="F375" s="17">
        <v>1.0</v>
      </c>
      <c r="G375" s="17">
        <v>2400.0</v>
      </c>
      <c r="H375" s="18">
        <v>46097.0</v>
      </c>
      <c r="I375" s="2" t="s">
        <v>14</v>
      </c>
      <c r="J375" s="13"/>
      <c r="L375" s="19"/>
      <c r="M375" s="2"/>
      <c r="N375" s="19"/>
    </row>
    <row r="376" ht="22.5" hidden="1" customHeight="1">
      <c r="A376" s="13" t="s">
        <v>266</v>
      </c>
      <c r="B376" s="13" t="s">
        <v>251</v>
      </c>
      <c r="C376" s="14">
        <v>5344.0</v>
      </c>
      <c r="D376" s="20" t="s">
        <v>12</v>
      </c>
      <c r="E376" s="24" t="s">
        <v>58</v>
      </c>
      <c r="F376" s="17">
        <v>1.0</v>
      </c>
      <c r="G376" s="17">
        <v>1700.0</v>
      </c>
      <c r="H376" s="18">
        <v>46097.0</v>
      </c>
      <c r="I376" s="2" t="s">
        <v>14</v>
      </c>
      <c r="J376" s="13"/>
      <c r="L376" s="19"/>
      <c r="M376" s="2"/>
      <c r="N376" s="19"/>
    </row>
    <row r="377" ht="22.5" hidden="1" customHeight="1">
      <c r="A377" s="13" t="s">
        <v>266</v>
      </c>
      <c r="B377" s="13" t="s">
        <v>223</v>
      </c>
      <c r="C377" s="14">
        <v>7957.0</v>
      </c>
      <c r="D377" s="22" t="s">
        <v>22</v>
      </c>
      <c r="E377" s="25" t="s">
        <v>18</v>
      </c>
      <c r="F377" s="17">
        <v>1.0</v>
      </c>
      <c r="G377" s="17">
        <v>1400.0</v>
      </c>
      <c r="H377" s="18">
        <v>46097.0</v>
      </c>
      <c r="I377" s="2" t="s">
        <v>14</v>
      </c>
      <c r="J377" s="13"/>
      <c r="L377" s="19"/>
      <c r="M377" s="2"/>
      <c r="N377" s="19"/>
    </row>
    <row r="378" ht="22.5" hidden="1" customHeight="1">
      <c r="A378" s="29" t="s">
        <v>181</v>
      </c>
      <c r="B378" s="13" t="s">
        <v>251</v>
      </c>
      <c r="C378" s="14">
        <v>5344.0</v>
      </c>
      <c r="D378" s="20" t="s">
        <v>12</v>
      </c>
      <c r="E378" s="24" t="s">
        <v>58</v>
      </c>
      <c r="F378" s="17">
        <v>1.0</v>
      </c>
      <c r="G378" s="17">
        <v>1700.0</v>
      </c>
      <c r="H378" s="18">
        <v>46097.0</v>
      </c>
      <c r="I378" s="2" t="s">
        <v>14</v>
      </c>
      <c r="J378" s="30" t="s">
        <v>183</v>
      </c>
      <c r="L378" s="19"/>
      <c r="M378" s="2"/>
      <c r="N378" s="19"/>
    </row>
    <row r="379" ht="22.5" hidden="1" customHeight="1">
      <c r="A379" s="13" t="s">
        <v>164</v>
      </c>
      <c r="B379" s="13" t="s">
        <v>251</v>
      </c>
      <c r="C379" s="14">
        <v>5344.0</v>
      </c>
      <c r="D379" s="22" t="s">
        <v>75</v>
      </c>
      <c r="E379" s="23" t="s">
        <v>58</v>
      </c>
      <c r="F379" s="17">
        <v>1.0</v>
      </c>
      <c r="G379" s="17">
        <v>1700.0</v>
      </c>
      <c r="H379" s="18">
        <v>46097.0</v>
      </c>
      <c r="I379" s="2" t="s">
        <v>14</v>
      </c>
      <c r="J379" s="13"/>
      <c r="L379" s="19"/>
      <c r="M379" s="2"/>
      <c r="N379" s="19"/>
    </row>
    <row r="380" ht="22.5" hidden="1" customHeight="1">
      <c r="A380" s="2" t="s">
        <v>267</v>
      </c>
      <c r="B380" s="2" t="s">
        <v>268</v>
      </c>
      <c r="C380" s="2" t="s">
        <v>269</v>
      </c>
      <c r="D380" s="8">
        <v>38.0</v>
      </c>
      <c r="E380" s="9" t="s">
        <v>18</v>
      </c>
      <c r="F380" s="17">
        <v>1.0</v>
      </c>
      <c r="G380" s="2">
        <v>1990.0</v>
      </c>
      <c r="H380" s="5">
        <v>46100.0</v>
      </c>
      <c r="I380" s="2" t="s">
        <v>14</v>
      </c>
      <c r="L380" s="11"/>
      <c r="M380" s="2"/>
      <c r="N380" s="11"/>
    </row>
    <row r="381" ht="22.5" hidden="1" customHeight="1">
      <c r="A381" s="2" t="s">
        <v>267</v>
      </c>
      <c r="B381" s="2" t="s">
        <v>268</v>
      </c>
      <c r="C381" s="2" t="s">
        <v>269</v>
      </c>
      <c r="D381" s="8">
        <v>38.0</v>
      </c>
      <c r="E381" s="9" t="s">
        <v>47</v>
      </c>
      <c r="F381" s="17">
        <v>1.0</v>
      </c>
      <c r="G381" s="2">
        <v>1990.0</v>
      </c>
      <c r="H381" s="5">
        <v>46100.0</v>
      </c>
      <c r="I381" s="2" t="s">
        <v>14</v>
      </c>
      <c r="L381" s="11"/>
      <c r="M381" s="2"/>
      <c r="N381" s="11"/>
    </row>
    <row r="382" ht="22.5" hidden="1" customHeight="1">
      <c r="A382" s="2" t="s">
        <v>270</v>
      </c>
      <c r="B382" s="2" t="s">
        <v>268</v>
      </c>
      <c r="C382" s="2" t="s">
        <v>269</v>
      </c>
      <c r="D382" s="8">
        <v>39.0</v>
      </c>
      <c r="E382" s="9" t="s">
        <v>18</v>
      </c>
      <c r="F382" s="17">
        <v>1.0</v>
      </c>
      <c r="G382" s="2">
        <v>1990.0</v>
      </c>
      <c r="H382" s="5">
        <v>46100.0</v>
      </c>
      <c r="I382" s="2" t="s">
        <v>14</v>
      </c>
      <c r="L382" s="11"/>
      <c r="M382" s="2"/>
      <c r="N382" s="11"/>
    </row>
    <row r="383" ht="22.5" hidden="1" customHeight="1">
      <c r="A383" s="2" t="s">
        <v>129</v>
      </c>
      <c r="B383" s="2" t="s">
        <v>268</v>
      </c>
      <c r="C383" s="2" t="s">
        <v>269</v>
      </c>
      <c r="D383" s="8">
        <v>37.0</v>
      </c>
      <c r="E383" s="9" t="s">
        <v>18</v>
      </c>
      <c r="F383" s="17">
        <v>1.0</v>
      </c>
      <c r="G383" s="2">
        <v>1990.0</v>
      </c>
      <c r="H383" s="5">
        <v>46100.0</v>
      </c>
      <c r="I383" s="2" t="s">
        <v>14</v>
      </c>
      <c r="L383" s="11"/>
      <c r="M383" s="2"/>
      <c r="N383" s="11"/>
    </row>
    <row r="384" ht="22.5" hidden="1" customHeight="1">
      <c r="A384" s="2" t="s">
        <v>271</v>
      </c>
      <c r="B384" s="2" t="s">
        <v>268</v>
      </c>
      <c r="C384" s="2" t="s">
        <v>269</v>
      </c>
      <c r="D384" s="8">
        <v>37.0</v>
      </c>
      <c r="E384" s="9" t="s">
        <v>47</v>
      </c>
      <c r="F384" s="17">
        <v>1.0</v>
      </c>
      <c r="G384" s="2">
        <v>1990.0</v>
      </c>
      <c r="H384" s="5">
        <v>46100.0</v>
      </c>
      <c r="I384" s="2" t="s">
        <v>14</v>
      </c>
      <c r="J384" s="12" t="s">
        <v>272</v>
      </c>
      <c r="L384" s="11"/>
      <c r="M384" s="2"/>
      <c r="N384" s="11"/>
    </row>
    <row r="385" ht="22.5" hidden="1" customHeight="1">
      <c r="A385" s="2" t="s">
        <v>273</v>
      </c>
      <c r="B385" s="2" t="s">
        <v>268</v>
      </c>
      <c r="C385" s="2" t="s">
        <v>269</v>
      </c>
      <c r="D385" s="8">
        <v>39.0</v>
      </c>
      <c r="E385" s="9" t="s">
        <v>47</v>
      </c>
      <c r="F385" s="17">
        <v>1.0</v>
      </c>
      <c r="G385" s="2">
        <v>1990.0</v>
      </c>
      <c r="H385" s="5">
        <v>46100.0</v>
      </c>
      <c r="I385" s="2" t="s">
        <v>24</v>
      </c>
      <c r="L385" s="11"/>
      <c r="M385" s="2"/>
      <c r="N385" s="11"/>
    </row>
    <row r="386" ht="22.5" hidden="1" customHeight="1">
      <c r="A386" s="2" t="s">
        <v>273</v>
      </c>
      <c r="B386" s="2" t="s">
        <v>268</v>
      </c>
      <c r="C386" s="2" t="s">
        <v>269</v>
      </c>
      <c r="D386" s="8">
        <v>39.0</v>
      </c>
      <c r="E386" s="9" t="s">
        <v>18</v>
      </c>
      <c r="F386" s="17">
        <v>1.0</v>
      </c>
      <c r="G386" s="2">
        <v>1990.0</v>
      </c>
      <c r="H386" s="5">
        <v>46100.0</v>
      </c>
      <c r="I386" s="2" t="s">
        <v>24</v>
      </c>
      <c r="L386" s="11"/>
      <c r="M386" s="2"/>
      <c r="N386" s="11"/>
    </row>
    <row r="387" ht="22.5" hidden="1" customHeight="1">
      <c r="A387" s="2" t="s">
        <v>274</v>
      </c>
      <c r="B387" s="2" t="s">
        <v>268</v>
      </c>
      <c r="C387" s="2" t="s">
        <v>269</v>
      </c>
      <c r="D387" s="8">
        <v>39.0</v>
      </c>
      <c r="E387" s="9" t="s">
        <v>18</v>
      </c>
      <c r="F387" s="17">
        <v>1.0</v>
      </c>
      <c r="G387" s="2">
        <v>1990.0</v>
      </c>
      <c r="H387" s="5">
        <v>46100.0</v>
      </c>
      <c r="I387" s="2" t="s">
        <v>14</v>
      </c>
      <c r="L387" s="11"/>
      <c r="M387" s="2"/>
      <c r="N387" s="11"/>
    </row>
    <row r="388" ht="22.5" hidden="1" customHeight="1">
      <c r="A388" s="2" t="s">
        <v>170</v>
      </c>
      <c r="B388" s="2" t="s">
        <v>268</v>
      </c>
      <c r="C388" s="2" t="s">
        <v>269</v>
      </c>
      <c r="D388" s="8">
        <v>37.0</v>
      </c>
      <c r="E388" s="9" t="s">
        <v>47</v>
      </c>
      <c r="F388" s="17">
        <v>1.0</v>
      </c>
      <c r="G388" s="2">
        <v>1990.0</v>
      </c>
      <c r="H388" s="5">
        <v>46100.0</v>
      </c>
      <c r="I388" s="2" t="s">
        <v>14</v>
      </c>
      <c r="L388" s="11"/>
      <c r="M388" s="2"/>
      <c r="N388" s="11"/>
    </row>
    <row r="389" ht="22.5" hidden="1" customHeight="1">
      <c r="A389" s="2" t="s">
        <v>275</v>
      </c>
      <c r="B389" s="2" t="s">
        <v>268</v>
      </c>
      <c r="C389" s="2" t="s">
        <v>269</v>
      </c>
      <c r="D389" s="8">
        <v>38.0</v>
      </c>
      <c r="E389" s="9" t="s">
        <v>18</v>
      </c>
      <c r="F389" s="17">
        <v>1.0</v>
      </c>
      <c r="G389" s="2">
        <v>1990.0</v>
      </c>
      <c r="H389" s="5">
        <v>46100.0</v>
      </c>
      <c r="I389" s="2" t="s">
        <v>14</v>
      </c>
      <c r="L389" s="11"/>
      <c r="M389" s="2"/>
      <c r="N389" s="11"/>
    </row>
    <row r="390" ht="22.5" hidden="1" customHeight="1">
      <c r="A390" s="2" t="s">
        <v>276</v>
      </c>
      <c r="B390" s="2" t="s">
        <v>268</v>
      </c>
      <c r="C390" s="2" t="s">
        <v>269</v>
      </c>
      <c r="D390" s="8">
        <v>38.0</v>
      </c>
      <c r="E390" s="9" t="s">
        <v>47</v>
      </c>
      <c r="F390" s="17">
        <v>1.0</v>
      </c>
      <c r="G390" s="2">
        <v>1990.0</v>
      </c>
      <c r="H390" s="5">
        <v>46100.0</v>
      </c>
      <c r="I390" s="2" t="s">
        <v>14</v>
      </c>
      <c r="J390" s="12" t="s">
        <v>277</v>
      </c>
      <c r="L390" s="11"/>
      <c r="M390" s="2"/>
      <c r="N390" s="11"/>
    </row>
    <row r="391" ht="22.5" hidden="1" customHeight="1">
      <c r="A391" s="2" t="s">
        <v>278</v>
      </c>
      <c r="B391" s="2" t="s">
        <v>268</v>
      </c>
      <c r="C391" s="2" t="s">
        <v>269</v>
      </c>
      <c r="D391" s="8">
        <v>38.0</v>
      </c>
      <c r="E391" s="9" t="s">
        <v>18</v>
      </c>
      <c r="F391" s="17">
        <v>1.0</v>
      </c>
      <c r="G391" s="2">
        <v>1990.0</v>
      </c>
      <c r="H391" s="5">
        <v>46100.0</v>
      </c>
      <c r="I391" s="2" t="s">
        <v>14</v>
      </c>
      <c r="J391" s="12" t="s">
        <v>279</v>
      </c>
      <c r="L391" s="11"/>
      <c r="M391" s="2"/>
      <c r="N391" s="11"/>
    </row>
    <row r="392" ht="22.5" hidden="1" customHeight="1">
      <c r="A392" s="2" t="s">
        <v>280</v>
      </c>
      <c r="B392" s="2" t="s">
        <v>268</v>
      </c>
      <c r="C392" s="2" t="s">
        <v>269</v>
      </c>
      <c r="D392" s="8">
        <v>37.0</v>
      </c>
      <c r="E392" s="9" t="s">
        <v>18</v>
      </c>
      <c r="F392" s="17">
        <v>1.0</v>
      </c>
      <c r="G392" s="2">
        <v>1990.0</v>
      </c>
      <c r="H392" s="5">
        <v>46100.0</v>
      </c>
      <c r="I392" s="2" t="s">
        <v>14</v>
      </c>
      <c r="L392" s="11"/>
      <c r="M392" s="2"/>
      <c r="N392" s="11"/>
    </row>
    <row r="393" ht="22.5" hidden="1" customHeight="1">
      <c r="A393" s="2" t="s">
        <v>281</v>
      </c>
      <c r="B393" s="2" t="s">
        <v>268</v>
      </c>
      <c r="C393" s="2" t="s">
        <v>269</v>
      </c>
      <c r="D393" s="8">
        <v>37.0</v>
      </c>
      <c r="E393" s="9" t="s">
        <v>18</v>
      </c>
      <c r="F393" s="17">
        <v>1.0</v>
      </c>
      <c r="G393" s="2">
        <v>1990.0</v>
      </c>
      <c r="H393" s="5">
        <v>46100.0</v>
      </c>
      <c r="I393" s="2" t="s">
        <v>14</v>
      </c>
      <c r="J393" s="12" t="s">
        <v>282</v>
      </c>
      <c r="L393" s="11"/>
      <c r="M393" s="2"/>
      <c r="N393" s="11"/>
    </row>
    <row r="394" ht="22.5" hidden="1" customHeight="1">
      <c r="A394" s="2" t="s">
        <v>283</v>
      </c>
      <c r="B394" s="2" t="s">
        <v>268</v>
      </c>
      <c r="C394" s="2" t="s">
        <v>269</v>
      </c>
      <c r="D394" s="8">
        <v>40.0</v>
      </c>
      <c r="E394" s="9" t="s">
        <v>47</v>
      </c>
      <c r="F394" s="17">
        <v>1.0</v>
      </c>
      <c r="G394" s="2">
        <v>1990.0</v>
      </c>
      <c r="H394" s="5">
        <v>46100.0</v>
      </c>
      <c r="I394" s="2" t="s">
        <v>14</v>
      </c>
      <c r="L394" s="11"/>
      <c r="M394" s="2"/>
      <c r="N394" s="11"/>
    </row>
    <row r="395" ht="22.5" hidden="1" customHeight="1">
      <c r="A395" s="2" t="s">
        <v>284</v>
      </c>
      <c r="B395" s="2" t="s">
        <v>268</v>
      </c>
      <c r="C395" s="2" t="s">
        <v>269</v>
      </c>
      <c r="D395" s="8">
        <v>36.0</v>
      </c>
      <c r="E395" s="9" t="s">
        <v>47</v>
      </c>
      <c r="F395" s="17">
        <v>1.0</v>
      </c>
      <c r="G395" s="2">
        <v>1990.0</v>
      </c>
      <c r="H395" s="5">
        <v>46100.0</v>
      </c>
      <c r="I395" s="2" t="s">
        <v>14</v>
      </c>
      <c r="J395" s="12" t="s">
        <v>285</v>
      </c>
      <c r="L395" s="11"/>
      <c r="M395" s="2"/>
      <c r="N395" s="11"/>
    </row>
    <row r="396" ht="22.5" hidden="1" customHeight="1">
      <c r="A396" s="2" t="s">
        <v>286</v>
      </c>
      <c r="B396" s="2" t="s">
        <v>268</v>
      </c>
      <c r="C396" s="2" t="s">
        <v>269</v>
      </c>
      <c r="D396" s="8">
        <v>38.0</v>
      </c>
      <c r="E396" s="9" t="s">
        <v>47</v>
      </c>
      <c r="F396" s="17">
        <v>1.0</v>
      </c>
      <c r="G396" s="2">
        <v>1990.0</v>
      </c>
      <c r="H396" s="5">
        <v>46100.0</v>
      </c>
      <c r="I396" s="2" t="s">
        <v>14</v>
      </c>
      <c r="J396" s="12" t="s">
        <v>287</v>
      </c>
      <c r="L396" s="11"/>
      <c r="M396" s="2"/>
      <c r="N396" s="11"/>
    </row>
    <row r="397" ht="22.5" hidden="1" customHeight="1">
      <c r="A397" s="2" t="s">
        <v>65</v>
      </c>
      <c r="B397" s="2" t="s">
        <v>268</v>
      </c>
      <c r="C397" s="2" t="s">
        <v>269</v>
      </c>
      <c r="D397" s="8">
        <v>39.0</v>
      </c>
      <c r="E397" s="9" t="s">
        <v>18</v>
      </c>
      <c r="F397" s="17">
        <v>1.0</v>
      </c>
      <c r="G397" s="2">
        <v>1990.0</v>
      </c>
      <c r="H397" s="5">
        <v>46100.0</v>
      </c>
      <c r="I397" s="2" t="s">
        <v>14</v>
      </c>
      <c r="L397" s="11"/>
      <c r="M397" s="2"/>
      <c r="N397" s="11"/>
    </row>
    <row r="398" ht="22.5" hidden="1" customHeight="1">
      <c r="A398" s="2" t="s">
        <v>288</v>
      </c>
      <c r="B398" s="2" t="s">
        <v>268</v>
      </c>
      <c r="C398" s="2" t="s">
        <v>269</v>
      </c>
      <c r="D398" s="8">
        <v>38.0</v>
      </c>
      <c r="E398" s="9" t="s">
        <v>18</v>
      </c>
      <c r="F398" s="17">
        <v>1.0</v>
      </c>
      <c r="G398" s="2">
        <v>1990.0</v>
      </c>
      <c r="H398" s="5">
        <v>46100.0</v>
      </c>
      <c r="I398" s="2" t="s">
        <v>14</v>
      </c>
      <c r="J398" s="12" t="s">
        <v>289</v>
      </c>
      <c r="L398" s="11"/>
      <c r="M398" s="2"/>
      <c r="N398" s="11"/>
    </row>
    <row r="399" ht="22.5" hidden="1" customHeight="1">
      <c r="A399" s="2" t="s">
        <v>139</v>
      </c>
      <c r="B399" s="2" t="s">
        <v>268</v>
      </c>
      <c r="C399" s="2" t="s">
        <v>269</v>
      </c>
      <c r="D399" s="8">
        <v>38.0</v>
      </c>
      <c r="E399" s="9" t="s">
        <v>47</v>
      </c>
      <c r="F399" s="17">
        <v>1.0</v>
      </c>
      <c r="G399" s="2">
        <v>1990.0</v>
      </c>
      <c r="H399" s="5">
        <v>46100.0</v>
      </c>
      <c r="I399" s="2" t="s">
        <v>14</v>
      </c>
      <c r="J399" s="12" t="s">
        <v>290</v>
      </c>
      <c r="L399" s="11"/>
      <c r="M399" s="2"/>
      <c r="N399" s="11"/>
    </row>
    <row r="400" ht="22.5" hidden="1" customHeight="1">
      <c r="A400" s="2" t="s">
        <v>291</v>
      </c>
      <c r="B400" s="2" t="s">
        <v>268</v>
      </c>
      <c r="C400" s="2" t="s">
        <v>269</v>
      </c>
      <c r="D400" s="8">
        <v>35.0</v>
      </c>
      <c r="E400" s="9" t="s">
        <v>47</v>
      </c>
      <c r="F400" s="17">
        <v>1.0</v>
      </c>
      <c r="G400" s="2">
        <v>1990.0</v>
      </c>
      <c r="H400" s="5">
        <v>46100.0</v>
      </c>
      <c r="I400" s="2" t="s">
        <v>14</v>
      </c>
      <c r="L400" s="11"/>
      <c r="M400" s="2"/>
      <c r="N400" s="11"/>
    </row>
    <row r="401" ht="22.5" hidden="1" customHeight="1">
      <c r="A401" s="2" t="s">
        <v>292</v>
      </c>
      <c r="B401" s="2" t="s">
        <v>268</v>
      </c>
      <c r="C401" s="2" t="s">
        <v>269</v>
      </c>
      <c r="D401" s="8">
        <v>38.0</v>
      </c>
      <c r="E401" s="9" t="s">
        <v>47</v>
      </c>
      <c r="F401" s="17">
        <v>1.0</v>
      </c>
      <c r="G401" s="2">
        <v>1990.0</v>
      </c>
      <c r="H401" s="5">
        <v>46100.0</v>
      </c>
      <c r="I401" s="2" t="s">
        <v>14</v>
      </c>
      <c r="L401" s="11"/>
      <c r="M401" s="2"/>
      <c r="N401" s="11"/>
    </row>
    <row r="402" ht="22.5" hidden="1" customHeight="1">
      <c r="A402" s="2" t="s">
        <v>293</v>
      </c>
      <c r="B402" s="2" t="s">
        <v>268</v>
      </c>
      <c r="C402" s="2" t="s">
        <v>269</v>
      </c>
      <c r="D402" s="8">
        <v>36.0</v>
      </c>
      <c r="E402" s="9" t="s">
        <v>18</v>
      </c>
      <c r="F402" s="17">
        <v>1.0</v>
      </c>
      <c r="G402" s="2">
        <v>1990.0</v>
      </c>
      <c r="H402" s="5">
        <v>46100.0</v>
      </c>
      <c r="I402" s="2" t="s">
        <v>14</v>
      </c>
      <c r="L402" s="11"/>
      <c r="M402" s="2"/>
      <c r="N402" s="11"/>
    </row>
    <row r="403" ht="22.5" hidden="1" customHeight="1">
      <c r="A403" s="2" t="s">
        <v>294</v>
      </c>
      <c r="B403" s="2" t="s">
        <v>268</v>
      </c>
      <c r="C403" s="2" t="s">
        <v>269</v>
      </c>
      <c r="D403" s="8">
        <v>39.0</v>
      </c>
      <c r="E403" s="9" t="s">
        <v>47</v>
      </c>
      <c r="F403" s="17">
        <v>1.0</v>
      </c>
      <c r="G403" s="2">
        <v>1990.0</v>
      </c>
      <c r="H403" s="5">
        <v>46100.0</v>
      </c>
      <c r="I403" s="2" t="s">
        <v>14</v>
      </c>
      <c r="L403" s="11"/>
      <c r="M403" s="2"/>
      <c r="N403" s="11"/>
    </row>
    <row r="404" ht="22.5" hidden="1" customHeight="1">
      <c r="A404" s="2" t="s">
        <v>295</v>
      </c>
      <c r="B404" s="2" t="s">
        <v>268</v>
      </c>
      <c r="C404" s="2" t="s">
        <v>269</v>
      </c>
      <c r="D404" s="8">
        <v>36.0</v>
      </c>
      <c r="E404" s="9" t="s">
        <v>47</v>
      </c>
      <c r="F404" s="17">
        <v>1.0</v>
      </c>
      <c r="G404" s="2">
        <v>1990.0</v>
      </c>
      <c r="H404" s="5">
        <v>46100.0</v>
      </c>
      <c r="I404" s="2" t="s">
        <v>14</v>
      </c>
      <c r="L404" s="11"/>
      <c r="M404" s="2"/>
      <c r="N404" s="11"/>
    </row>
    <row r="405" ht="22.5" hidden="1" customHeight="1">
      <c r="A405" s="2" t="s">
        <v>296</v>
      </c>
      <c r="B405" s="2" t="s">
        <v>268</v>
      </c>
      <c r="C405" s="2" t="s">
        <v>269</v>
      </c>
      <c r="D405" s="8">
        <v>37.0</v>
      </c>
      <c r="E405" s="9" t="s">
        <v>47</v>
      </c>
      <c r="F405" s="17">
        <v>1.0</v>
      </c>
      <c r="G405" s="2">
        <v>1990.0</v>
      </c>
      <c r="H405" s="5">
        <v>46100.0</v>
      </c>
      <c r="I405" s="2" t="s">
        <v>14</v>
      </c>
      <c r="L405" s="11"/>
      <c r="M405" s="2"/>
      <c r="N405" s="11"/>
    </row>
    <row r="406" ht="22.5" hidden="1" customHeight="1">
      <c r="A406" s="2" t="s">
        <v>297</v>
      </c>
      <c r="B406" s="2" t="s">
        <v>268</v>
      </c>
      <c r="C406" s="2" t="s">
        <v>269</v>
      </c>
      <c r="D406" s="8">
        <v>36.0</v>
      </c>
      <c r="E406" s="9" t="s">
        <v>47</v>
      </c>
      <c r="F406" s="17">
        <v>1.0</v>
      </c>
      <c r="G406" s="2">
        <v>1990.0</v>
      </c>
      <c r="H406" s="5">
        <v>46100.0</v>
      </c>
      <c r="I406" s="2" t="s">
        <v>14</v>
      </c>
      <c r="L406" s="11"/>
      <c r="M406" s="2"/>
      <c r="N406" s="11"/>
    </row>
    <row r="407" ht="22.5" hidden="1" customHeight="1">
      <c r="A407" s="2" t="s">
        <v>253</v>
      </c>
      <c r="B407" s="2" t="s">
        <v>268</v>
      </c>
      <c r="C407" s="2" t="s">
        <v>269</v>
      </c>
      <c r="D407" s="8">
        <v>37.0</v>
      </c>
      <c r="E407" s="9" t="s">
        <v>47</v>
      </c>
      <c r="F407" s="17">
        <v>1.0</v>
      </c>
      <c r="G407" s="2">
        <v>1990.0</v>
      </c>
      <c r="H407" s="5">
        <v>46100.0</v>
      </c>
      <c r="I407" s="2" t="s">
        <v>14</v>
      </c>
      <c r="L407" s="11"/>
      <c r="M407" s="2"/>
      <c r="N407" s="11"/>
    </row>
    <row r="408" ht="22.5" hidden="1" customHeight="1">
      <c r="A408" s="2" t="s">
        <v>253</v>
      </c>
      <c r="B408" s="2" t="s">
        <v>268</v>
      </c>
      <c r="C408" s="2" t="s">
        <v>269</v>
      </c>
      <c r="D408" s="8">
        <v>37.0</v>
      </c>
      <c r="E408" s="9" t="s">
        <v>18</v>
      </c>
      <c r="F408" s="17">
        <v>1.0</v>
      </c>
      <c r="G408" s="2">
        <v>1990.0</v>
      </c>
      <c r="H408" s="5">
        <v>46100.0</v>
      </c>
      <c r="I408" s="2" t="s">
        <v>14</v>
      </c>
      <c r="L408" s="11"/>
      <c r="M408" s="2"/>
      <c r="N408" s="11"/>
    </row>
    <row r="409" ht="22.5" hidden="1" customHeight="1">
      <c r="A409" s="2" t="s">
        <v>298</v>
      </c>
      <c r="B409" s="2" t="s">
        <v>268</v>
      </c>
      <c r="C409" s="2" t="s">
        <v>269</v>
      </c>
      <c r="D409" s="8">
        <v>39.0</v>
      </c>
      <c r="E409" s="9" t="s">
        <v>18</v>
      </c>
      <c r="F409" s="17">
        <v>1.0</v>
      </c>
      <c r="G409" s="2">
        <v>1990.0</v>
      </c>
      <c r="H409" s="5">
        <v>46100.0</v>
      </c>
      <c r="I409" s="2" t="s">
        <v>14</v>
      </c>
      <c r="L409" s="11"/>
      <c r="M409" s="2"/>
      <c r="N409" s="11"/>
    </row>
    <row r="410" ht="22.5" hidden="1" customHeight="1">
      <c r="A410" s="2" t="s">
        <v>230</v>
      </c>
      <c r="B410" s="2" t="s">
        <v>268</v>
      </c>
      <c r="C410" s="2" t="s">
        <v>269</v>
      </c>
      <c r="D410" s="8">
        <v>37.0</v>
      </c>
      <c r="E410" s="9" t="s">
        <v>47</v>
      </c>
      <c r="F410" s="17">
        <v>1.0</v>
      </c>
      <c r="G410" s="2">
        <v>1990.0</v>
      </c>
      <c r="H410" s="5">
        <v>46100.0</v>
      </c>
      <c r="I410" s="2" t="s">
        <v>14</v>
      </c>
      <c r="L410" s="11"/>
      <c r="M410" s="2"/>
      <c r="N410" s="11"/>
    </row>
    <row r="411" ht="22.5" hidden="1" customHeight="1">
      <c r="A411" s="2" t="s">
        <v>299</v>
      </c>
      <c r="B411" s="2" t="s">
        <v>268</v>
      </c>
      <c r="C411" s="2" t="s">
        <v>269</v>
      </c>
      <c r="D411" s="8">
        <v>37.0</v>
      </c>
      <c r="E411" s="9" t="s">
        <v>47</v>
      </c>
      <c r="F411" s="17">
        <v>1.0</v>
      </c>
      <c r="G411" s="2">
        <v>1990.0</v>
      </c>
      <c r="H411" s="5">
        <v>46100.0</v>
      </c>
      <c r="I411" s="2" t="s">
        <v>14</v>
      </c>
      <c r="L411" s="11"/>
      <c r="M411" s="2"/>
      <c r="N411" s="11"/>
    </row>
    <row r="412" ht="22.5" hidden="1" customHeight="1">
      <c r="A412" s="2" t="s">
        <v>300</v>
      </c>
      <c r="B412" s="2" t="s">
        <v>268</v>
      </c>
      <c r="C412" s="2" t="s">
        <v>269</v>
      </c>
      <c r="D412" s="8">
        <v>39.0</v>
      </c>
      <c r="E412" s="9" t="s">
        <v>47</v>
      </c>
      <c r="F412" s="17">
        <v>1.0</v>
      </c>
      <c r="G412" s="2">
        <v>1990.0</v>
      </c>
      <c r="H412" s="5">
        <v>46100.0</v>
      </c>
      <c r="I412" s="2" t="s">
        <v>14</v>
      </c>
      <c r="L412" s="11"/>
      <c r="M412" s="2"/>
      <c r="N412" s="11"/>
    </row>
    <row r="413" ht="22.5" hidden="1" customHeight="1">
      <c r="A413" s="2" t="s">
        <v>301</v>
      </c>
      <c r="B413" s="2" t="s">
        <v>268</v>
      </c>
      <c r="C413" s="2" t="s">
        <v>269</v>
      </c>
      <c r="D413" s="8">
        <v>36.0</v>
      </c>
      <c r="E413" s="9" t="s">
        <v>47</v>
      </c>
      <c r="F413" s="17">
        <v>1.0</v>
      </c>
      <c r="G413" s="2">
        <v>1990.0</v>
      </c>
      <c r="H413" s="5">
        <v>46100.0</v>
      </c>
      <c r="I413" s="2" t="s">
        <v>14</v>
      </c>
      <c r="L413" s="11"/>
      <c r="M413" s="2"/>
      <c r="N413" s="11"/>
    </row>
    <row r="414" ht="22.5" hidden="1" customHeight="1">
      <c r="A414" s="2" t="s">
        <v>302</v>
      </c>
      <c r="B414" s="2" t="s">
        <v>268</v>
      </c>
      <c r="C414" s="2" t="s">
        <v>269</v>
      </c>
      <c r="D414" s="8">
        <v>36.0</v>
      </c>
      <c r="E414" s="9" t="s">
        <v>18</v>
      </c>
      <c r="F414" s="17">
        <v>1.0</v>
      </c>
      <c r="G414" s="2">
        <v>1990.0</v>
      </c>
      <c r="H414" s="5">
        <v>46100.0</v>
      </c>
      <c r="I414" s="2" t="s">
        <v>14</v>
      </c>
      <c r="L414" s="11"/>
      <c r="M414" s="2"/>
      <c r="N414" s="11"/>
    </row>
    <row r="415" ht="22.5" hidden="1" customHeight="1">
      <c r="A415" s="2" t="s">
        <v>303</v>
      </c>
      <c r="B415" s="2" t="s">
        <v>268</v>
      </c>
      <c r="C415" s="2" t="s">
        <v>269</v>
      </c>
      <c r="D415" s="8">
        <v>37.0</v>
      </c>
      <c r="E415" s="9" t="s">
        <v>18</v>
      </c>
      <c r="F415" s="17">
        <v>1.0</v>
      </c>
      <c r="G415" s="2">
        <v>1990.0</v>
      </c>
      <c r="H415" s="5">
        <v>46100.0</v>
      </c>
      <c r="I415" s="2" t="s">
        <v>14</v>
      </c>
      <c r="L415" s="11"/>
      <c r="M415" s="2"/>
      <c r="N415" s="11"/>
    </row>
    <row r="416" ht="22.5" hidden="1" customHeight="1">
      <c r="A416" s="2" t="s">
        <v>304</v>
      </c>
      <c r="B416" s="2" t="s">
        <v>268</v>
      </c>
      <c r="C416" s="2" t="s">
        <v>269</v>
      </c>
      <c r="D416" s="8">
        <v>37.0</v>
      </c>
      <c r="E416" s="9" t="s">
        <v>18</v>
      </c>
      <c r="F416" s="17">
        <v>1.0</v>
      </c>
      <c r="G416" s="2">
        <v>1990.0</v>
      </c>
      <c r="H416" s="5">
        <v>46100.0</v>
      </c>
      <c r="I416" s="2" t="s">
        <v>14</v>
      </c>
      <c r="J416" s="12" t="s">
        <v>305</v>
      </c>
      <c r="L416" s="11"/>
      <c r="M416" s="2"/>
      <c r="N416" s="11"/>
    </row>
    <row r="417" ht="22.5" hidden="1" customHeight="1">
      <c r="A417" s="2" t="s">
        <v>306</v>
      </c>
      <c r="B417" s="2" t="s">
        <v>268</v>
      </c>
      <c r="C417" s="2" t="s">
        <v>269</v>
      </c>
      <c r="D417" s="8">
        <v>36.0</v>
      </c>
      <c r="E417" s="9" t="s">
        <v>18</v>
      </c>
      <c r="F417" s="17">
        <v>1.0</v>
      </c>
      <c r="G417" s="2">
        <v>1990.0</v>
      </c>
      <c r="H417" s="5">
        <v>46100.0</v>
      </c>
      <c r="I417" s="2" t="s">
        <v>14</v>
      </c>
      <c r="L417" s="11"/>
      <c r="M417" s="2"/>
      <c r="N417" s="11"/>
    </row>
    <row r="418" ht="22.5" hidden="1" customHeight="1">
      <c r="A418" s="2" t="s">
        <v>307</v>
      </c>
      <c r="B418" s="2" t="s">
        <v>268</v>
      </c>
      <c r="C418" s="2" t="s">
        <v>269</v>
      </c>
      <c r="D418" s="8">
        <v>39.0</v>
      </c>
      <c r="E418" s="9" t="s">
        <v>18</v>
      </c>
      <c r="F418" s="17">
        <v>1.0</v>
      </c>
      <c r="G418" s="2">
        <v>1990.0</v>
      </c>
      <c r="H418" s="5">
        <v>46100.0</v>
      </c>
      <c r="I418" s="2" t="s">
        <v>14</v>
      </c>
      <c r="L418" s="11"/>
      <c r="M418" s="2"/>
      <c r="N418" s="11"/>
    </row>
    <row r="419" ht="22.5" hidden="1" customHeight="1">
      <c r="A419" s="2" t="s">
        <v>308</v>
      </c>
      <c r="B419" s="2" t="s">
        <v>268</v>
      </c>
      <c r="C419" s="2" t="s">
        <v>269</v>
      </c>
      <c r="D419" s="8">
        <v>35.0</v>
      </c>
      <c r="E419" s="9" t="s">
        <v>18</v>
      </c>
      <c r="F419" s="17">
        <v>1.0</v>
      </c>
      <c r="G419" s="2">
        <v>1990.0</v>
      </c>
      <c r="H419" s="5">
        <v>46100.0</v>
      </c>
      <c r="I419" s="2" t="s">
        <v>14</v>
      </c>
      <c r="L419" s="11"/>
      <c r="M419" s="2"/>
      <c r="N419" s="11"/>
    </row>
    <row r="420" ht="22.5" hidden="1" customHeight="1">
      <c r="A420" s="2" t="s">
        <v>155</v>
      </c>
      <c r="B420" s="2" t="s">
        <v>268</v>
      </c>
      <c r="C420" s="2" t="s">
        <v>269</v>
      </c>
      <c r="D420" s="8">
        <v>38.0</v>
      </c>
      <c r="E420" s="9" t="s">
        <v>18</v>
      </c>
      <c r="F420" s="17">
        <v>1.0</v>
      </c>
      <c r="G420" s="2">
        <v>1990.0</v>
      </c>
      <c r="H420" s="5">
        <v>46100.0</v>
      </c>
      <c r="I420" s="2" t="s">
        <v>14</v>
      </c>
      <c r="L420" s="11"/>
      <c r="M420" s="2"/>
      <c r="N420" s="11"/>
    </row>
    <row r="421" ht="22.5" hidden="1" customHeight="1">
      <c r="A421" s="2" t="s">
        <v>226</v>
      </c>
      <c r="B421" s="2" t="s">
        <v>268</v>
      </c>
      <c r="C421" s="2" t="s">
        <v>269</v>
      </c>
      <c r="D421" s="8">
        <v>36.0</v>
      </c>
      <c r="E421" s="9" t="s">
        <v>47</v>
      </c>
      <c r="F421" s="17">
        <v>1.0</v>
      </c>
      <c r="G421" s="2">
        <v>1990.0</v>
      </c>
      <c r="H421" s="5">
        <v>46100.0</v>
      </c>
      <c r="I421" s="2" t="s">
        <v>14</v>
      </c>
      <c r="L421" s="11"/>
      <c r="M421" s="2"/>
      <c r="N421" s="11"/>
    </row>
    <row r="422" ht="22.5" hidden="1" customHeight="1">
      <c r="A422" s="2" t="s">
        <v>309</v>
      </c>
      <c r="B422" s="2" t="s">
        <v>268</v>
      </c>
      <c r="C422" s="2" t="s">
        <v>269</v>
      </c>
      <c r="D422" s="8">
        <v>39.0</v>
      </c>
      <c r="E422" s="9" t="s">
        <v>47</v>
      </c>
      <c r="F422" s="17">
        <v>1.0</v>
      </c>
      <c r="G422" s="2">
        <v>1990.0</v>
      </c>
      <c r="H422" s="5">
        <v>46100.0</v>
      </c>
      <c r="I422" s="2" t="s">
        <v>14</v>
      </c>
      <c r="L422" s="11"/>
      <c r="M422" s="2"/>
      <c r="N422" s="11"/>
    </row>
    <row r="423" ht="22.5" hidden="1" customHeight="1">
      <c r="A423" s="2" t="s">
        <v>310</v>
      </c>
      <c r="B423" s="2" t="s">
        <v>268</v>
      </c>
      <c r="C423" s="2" t="s">
        <v>269</v>
      </c>
      <c r="D423" s="8">
        <v>37.0</v>
      </c>
      <c r="E423" s="9" t="s">
        <v>18</v>
      </c>
      <c r="F423" s="17">
        <v>1.0</v>
      </c>
      <c r="G423" s="2">
        <v>1990.0</v>
      </c>
      <c r="H423" s="5">
        <v>46100.0</v>
      </c>
      <c r="I423" s="2" t="s">
        <v>14</v>
      </c>
      <c r="L423" s="11"/>
      <c r="M423" s="2"/>
      <c r="N423" s="11"/>
    </row>
    <row r="424" ht="22.5" hidden="1" customHeight="1">
      <c r="A424" s="2" t="s">
        <v>257</v>
      </c>
      <c r="B424" s="2" t="s">
        <v>268</v>
      </c>
      <c r="C424" s="2" t="s">
        <v>269</v>
      </c>
      <c r="D424" s="8">
        <v>37.0</v>
      </c>
      <c r="E424" s="9" t="s">
        <v>18</v>
      </c>
      <c r="F424" s="17">
        <v>1.0</v>
      </c>
      <c r="G424" s="2">
        <v>1990.0</v>
      </c>
      <c r="H424" s="5">
        <v>46100.0</v>
      </c>
      <c r="I424" s="2" t="s">
        <v>14</v>
      </c>
      <c r="L424" s="11"/>
      <c r="M424" s="2"/>
      <c r="N424" s="11"/>
    </row>
    <row r="425" ht="22.5" hidden="1" customHeight="1">
      <c r="A425" s="2" t="s">
        <v>311</v>
      </c>
      <c r="B425" s="2" t="s">
        <v>268</v>
      </c>
      <c r="C425" s="2" t="s">
        <v>269</v>
      </c>
      <c r="D425" s="8">
        <v>39.0</v>
      </c>
      <c r="E425" s="9" t="s">
        <v>18</v>
      </c>
      <c r="F425" s="17">
        <v>1.0</v>
      </c>
      <c r="G425" s="2">
        <v>1990.0</v>
      </c>
      <c r="H425" s="5">
        <v>46100.0</v>
      </c>
      <c r="I425" s="2" t="s">
        <v>14</v>
      </c>
      <c r="L425" s="11"/>
      <c r="M425" s="2"/>
      <c r="N425" s="11"/>
    </row>
    <row r="426" ht="22.5" hidden="1" customHeight="1">
      <c r="A426" s="2" t="s">
        <v>312</v>
      </c>
      <c r="B426" s="2" t="s">
        <v>268</v>
      </c>
      <c r="C426" s="2" t="s">
        <v>269</v>
      </c>
      <c r="D426" s="8">
        <v>37.0</v>
      </c>
      <c r="E426" s="9" t="s">
        <v>47</v>
      </c>
      <c r="F426" s="17">
        <v>1.0</v>
      </c>
      <c r="G426" s="2">
        <v>1990.0</v>
      </c>
      <c r="H426" s="5">
        <v>46100.0</v>
      </c>
      <c r="I426" s="2" t="s">
        <v>14</v>
      </c>
      <c r="L426" s="11"/>
      <c r="M426" s="2"/>
      <c r="N426" s="11"/>
    </row>
    <row r="427" ht="22.5" hidden="1" customHeight="1">
      <c r="A427" s="2" t="s">
        <v>313</v>
      </c>
      <c r="B427" s="2" t="s">
        <v>268</v>
      </c>
      <c r="C427" s="2" t="s">
        <v>269</v>
      </c>
      <c r="D427" s="8">
        <v>37.0</v>
      </c>
      <c r="E427" s="9" t="s">
        <v>18</v>
      </c>
      <c r="F427" s="17">
        <v>1.0</v>
      </c>
      <c r="G427" s="2">
        <v>1990.0</v>
      </c>
      <c r="H427" s="5">
        <v>46100.0</v>
      </c>
      <c r="I427" s="2" t="s">
        <v>14</v>
      </c>
      <c r="L427" s="11"/>
      <c r="M427" s="2"/>
      <c r="N427" s="11"/>
    </row>
    <row r="428" ht="22.5" hidden="1" customHeight="1">
      <c r="A428" s="2" t="s">
        <v>222</v>
      </c>
      <c r="B428" s="2" t="s">
        <v>268</v>
      </c>
      <c r="C428" s="2" t="s">
        <v>269</v>
      </c>
      <c r="D428" s="8">
        <v>38.0</v>
      </c>
      <c r="E428" s="9" t="s">
        <v>47</v>
      </c>
      <c r="F428" s="17">
        <v>1.0</v>
      </c>
      <c r="G428" s="2">
        <v>1990.0</v>
      </c>
      <c r="H428" s="5">
        <v>46100.0</v>
      </c>
      <c r="I428" s="2" t="s">
        <v>14</v>
      </c>
      <c r="L428" s="11"/>
      <c r="M428" s="2"/>
      <c r="N428" s="11"/>
    </row>
    <row r="429" ht="22.5" hidden="1" customHeight="1">
      <c r="A429" s="2" t="s">
        <v>314</v>
      </c>
      <c r="B429" s="2" t="s">
        <v>268</v>
      </c>
      <c r="C429" s="2" t="s">
        <v>269</v>
      </c>
      <c r="D429" s="8">
        <v>39.0</v>
      </c>
      <c r="E429" s="9" t="s">
        <v>18</v>
      </c>
      <c r="F429" s="17">
        <v>1.0</v>
      </c>
      <c r="G429" s="2">
        <v>1990.0</v>
      </c>
      <c r="H429" s="5">
        <v>46100.0</v>
      </c>
      <c r="I429" s="2" t="s">
        <v>14</v>
      </c>
      <c r="L429" s="11"/>
      <c r="M429" s="2"/>
      <c r="N429" s="11"/>
    </row>
    <row r="430" ht="22.5" hidden="1" customHeight="1">
      <c r="A430" s="2" t="s">
        <v>205</v>
      </c>
      <c r="B430" s="2" t="s">
        <v>268</v>
      </c>
      <c r="C430" s="2" t="s">
        <v>269</v>
      </c>
      <c r="D430" s="8">
        <v>39.0</v>
      </c>
      <c r="E430" s="9" t="s">
        <v>47</v>
      </c>
      <c r="F430" s="17">
        <v>1.0</v>
      </c>
      <c r="G430" s="2">
        <v>1990.0</v>
      </c>
      <c r="H430" s="5">
        <v>46100.0</v>
      </c>
      <c r="I430" s="2" t="s">
        <v>14</v>
      </c>
      <c r="L430" s="11"/>
      <c r="M430" s="2"/>
      <c r="N430" s="11"/>
    </row>
    <row r="431" ht="22.5" hidden="1" customHeight="1">
      <c r="A431" s="2" t="s">
        <v>315</v>
      </c>
      <c r="B431" s="2" t="s">
        <v>268</v>
      </c>
      <c r="C431" s="2" t="s">
        <v>269</v>
      </c>
      <c r="D431" s="8">
        <v>38.0</v>
      </c>
      <c r="E431" s="9" t="s">
        <v>47</v>
      </c>
      <c r="F431" s="17">
        <v>1.0</v>
      </c>
      <c r="G431" s="2">
        <v>1990.0</v>
      </c>
      <c r="H431" s="5">
        <v>46100.0</v>
      </c>
      <c r="I431" s="2" t="s">
        <v>14</v>
      </c>
      <c r="L431" s="11"/>
      <c r="M431" s="2"/>
      <c r="N431" s="11"/>
    </row>
    <row r="432" ht="22.5" hidden="1" customHeight="1">
      <c r="A432" s="2" t="s">
        <v>316</v>
      </c>
      <c r="B432" s="2" t="s">
        <v>268</v>
      </c>
      <c r="C432" s="2" t="s">
        <v>269</v>
      </c>
      <c r="D432" s="8">
        <v>40.0</v>
      </c>
      <c r="E432" s="9" t="s">
        <v>47</v>
      </c>
      <c r="F432" s="17">
        <v>1.0</v>
      </c>
      <c r="G432" s="2">
        <v>1990.0</v>
      </c>
      <c r="H432" s="5">
        <v>46100.0</v>
      </c>
      <c r="I432" s="2" t="s">
        <v>14</v>
      </c>
      <c r="L432" s="11"/>
      <c r="M432" s="2"/>
      <c r="N432" s="11"/>
    </row>
    <row r="433" ht="22.5" hidden="1" customHeight="1">
      <c r="A433" s="2" t="s">
        <v>317</v>
      </c>
      <c r="B433" s="2" t="s">
        <v>268</v>
      </c>
      <c r="C433" s="2" t="s">
        <v>269</v>
      </c>
      <c r="D433" s="8">
        <v>37.0</v>
      </c>
      <c r="E433" s="9" t="s">
        <v>18</v>
      </c>
      <c r="F433" s="17">
        <v>1.0</v>
      </c>
      <c r="G433" s="2">
        <v>1990.0</v>
      </c>
      <c r="H433" s="5">
        <v>46100.0</v>
      </c>
      <c r="I433" s="2" t="s">
        <v>14</v>
      </c>
      <c r="L433" s="11"/>
      <c r="M433" s="2"/>
      <c r="N433" s="11"/>
    </row>
    <row r="434" ht="22.5" hidden="1" customHeight="1">
      <c r="A434" s="2" t="s">
        <v>50</v>
      </c>
      <c r="B434" s="2" t="s">
        <v>268</v>
      </c>
      <c r="C434" s="2" t="s">
        <v>269</v>
      </c>
      <c r="D434" s="8">
        <v>37.0</v>
      </c>
      <c r="E434" s="9" t="s">
        <v>47</v>
      </c>
      <c r="F434" s="17">
        <v>1.0</v>
      </c>
      <c r="G434" s="2">
        <v>1990.0</v>
      </c>
      <c r="H434" s="5">
        <v>46100.0</v>
      </c>
      <c r="I434" s="2" t="s">
        <v>14</v>
      </c>
      <c r="L434" s="11"/>
      <c r="M434" s="2"/>
      <c r="N434" s="11"/>
    </row>
    <row r="435" ht="22.5" hidden="1" customHeight="1">
      <c r="A435" s="2" t="s">
        <v>130</v>
      </c>
      <c r="B435" s="2" t="s">
        <v>268</v>
      </c>
      <c r="C435" s="2" t="s">
        <v>269</v>
      </c>
      <c r="D435" s="8">
        <v>37.0</v>
      </c>
      <c r="E435" s="9" t="s">
        <v>18</v>
      </c>
      <c r="F435" s="17">
        <v>1.0</v>
      </c>
      <c r="G435" s="2">
        <v>1990.0</v>
      </c>
      <c r="H435" s="5">
        <v>46100.0</v>
      </c>
      <c r="I435" s="2" t="s">
        <v>14</v>
      </c>
      <c r="L435" s="11"/>
      <c r="M435" s="2"/>
      <c r="N435" s="11"/>
    </row>
    <row r="436" ht="22.5" hidden="1" customHeight="1">
      <c r="A436" s="2" t="s">
        <v>202</v>
      </c>
      <c r="B436" s="2" t="s">
        <v>268</v>
      </c>
      <c r="C436" s="2" t="s">
        <v>269</v>
      </c>
      <c r="D436" s="8">
        <v>36.0</v>
      </c>
      <c r="E436" s="9" t="s">
        <v>47</v>
      </c>
      <c r="F436" s="17">
        <v>1.0</v>
      </c>
      <c r="G436" s="2">
        <v>1990.0</v>
      </c>
      <c r="H436" s="5">
        <v>46100.0</v>
      </c>
      <c r="I436" s="2" t="s">
        <v>14</v>
      </c>
      <c r="L436" s="11"/>
      <c r="M436" s="2"/>
      <c r="N436" s="11"/>
    </row>
    <row r="437" ht="22.5" hidden="1" customHeight="1">
      <c r="A437" s="2" t="s">
        <v>318</v>
      </c>
      <c r="B437" s="2" t="s">
        <v>234</v>
      </c>
      <c r="C437" s="31">
        <v>8740.0</v>
      </c>
      <c r="D437" s="8" t="s">
        <v>22</v>
      </c>
      <c r="E437" s="9" t="s">
        <v>13</v>
      </c>
      <c r="F437" s="17">
        <v>1.0</v>
      </c>
      <c r="G437" s="2">
        <v>1608.0</v>
      </c>
      <c r="H437" s="32"/>
      <c r="I437" s="2" t="s">
        <v>24</v>
      </c>
      <c r="L437" s="11"/>
      <c r="M437" s="2"/>
      <c r="N437" s="11"/>
    </row>
    <row r="438" ht="22.5" hidden="1" customHeight="1">
      <c r="A438" s="2" t="s">
        <v>319</v>
      </c>
      <c r="B438" s="2" t="s">
        <v>320</v>
      </c>
      <c r="C438" s="2" t="s">
        <v>321</v>
      </c>
      <c r="D438" s="8" t="s">
        <v>75</v>
      </c>
      <c r="E438" s="9" t="s">
        <v>18</v>
      </c>
      <c r="F438" s="28">
        <v>2.0</v>
      </c>
      <c r="G438" s="2">
        <v>1290.0</v>
      </c>
      <c r="H438" s="32"/>
      <c r="I438" s="2" t="s">
        <v>14</v>
      </c>
      <c r="J438" s="12" t="s">
        <v>322</v>
      </c>
      <c r="L438" s="11"/>
      <c r="M438" s="2"/>
      <c r="N438" s="11"/>
    </row>
    <row r="439" ht="22.5" hidden="1" customHeight="1">
      <c r="A439" s="2" t="s">
        <v>323</v>
      </c>
      <c r="B439" s="2" t="s">
        <v>268</v>
      </c>
      <c r="C439" s="2" t="s">
        <v>269</v>
      </c>
      <c r="D439" s="8">
        <v>37.0</v>
      </c>
      <c r="E439" s="9" t="s">
        <v>18</v>
      </c>
      <c r="F439" s="17">
        <v>1.0</v>
      </c>
      <c r="G439" s="2">
        <v>1990.0</v>
      </c>
      <c r="H439" s="5">
        <v>46104.0</v>
      </c>
      <c r="I439" s="2" t="s">
        <v>14</v>
      </c>
      <c r="L439" s="11"/>
      <c r="M439" s="2"/>
      <c r="N439" s="11"/>
    </row>
    <row r="440" ht="22.5" hidden="1" customHeight="1">
      <c r="A440" s="2" t="s">
        <v>324</v>
      </c>
      <c r="B440" s="2" t="s">
        <v>268</v>
      </c>
      <c r="C440" s="2" t="s">
        <v>269</v>
      </c>
      <c r="D440" s="8">
        <v>37.0</v>
      </c>
      <c r="E440" s="9" t="s">
        <v>18</v>
      </c>
      <c r="F440" s="17">
        <v>1.0</v>
      </c>
      <c r="G440" s="2">
        <v>1990.0</v>
      </c>
      <c r="H440" s="5">
        <v>46104.0</v>
      </c>
      <c r="I440" s="2" t="s">
        <v>14</v>
      </c>
      <c r="L440" s="11"/>
      <c r="M440" s="2"/>
      <c r="N440" s="11"/>
    </row>
    <row r="441" ht="22.5" hidden="1" customHeight="1">
      <c r="A441" s="2" t="s">
        <v>325</v>
      </c>
      <c r="B441" s="2" t="s">
        <v>268</v>
      </c>
      <c r="C441" s="2" t="s">
        <v>269</v>
      </c>
      <c r="D441" s="8">
        <v>38.0</v>
      </c>
      <c r="E441" s="9" t="s">
        <v>47</v>
      </c>
      <c r="F441" s="17">
        <v>1.0</v>
      </c>
      <c r="G441" s="2">
        <v>1990.0</v>
      </c>
      <c r="H441" s="5">
        <v>46104.0</v>
      </c>
      <c r="I441" s="2" t="s">
        <v>14</v>
      </c>
      <c r="L441" s="11"/>
      <c r="M441" s="2"/>
      <c r="N441" s="11"/>
    </row>
    <row r="442" ht="22.5" hidden="1" customHeight="1">
      <c r="A442" s="2" t="s">
        <v>326</v>
      </c>
      <c r="B442" s="2" t="s">
        <v>268</v>
      </c>
      <c r="C442" s="2" t="s">
        <v>269</v>
      </c>
      <c r="D442" s="8">
        <v>35.0</v>
      </c>
      <c r="E442" s="9" t="s">
        <v>18</v>
      </c>
      <c r="F442" s="17">
        <v>1.0</v>
      </c>
      <c r="G442" s="2">
        <v>1990.0</v>
      </c>
      <c r="H442" s="5">
        <v>46104.0</v>
      </c>
      <c r="I442" s="2" t="s">
        <v>14</v>
      </c>
      <c r="L442" s="11"/>
      <c r="M442" s="2"/>
      <c r="N442" s="11"/>
    </row>
    <row r="443" ht="22.5" hidden="1" customHeight="1">
      <c r="A443" s="2" t="s">
        <v>327</v>
      </c>
      <c r="B443" s="2" t="s">
        <v>268</v>
      </c>
      <c r="C443" s="2" t="s">
        <v>269</v>
      </c>
      <c r="D443" s="8">
        <v>39.0</v>
      </c>
      <c r="E443" s="9" t="s">
        <v>18</v>
      </c>
      <c r="F443" s="17">
        <v>1.0</v>
      </c>
      <c r="G443" s="2">
        <v>1990.0</v>
      </c>
      <c r="H443" s="5">
        <v>46104.0</v>
      </c>
      <c r="I443" s="2" t="s">
        <v>14</v>
      </c>
      <c r="L443" s="11"/>
      <c r="M443" s="2"/>
      <c r="N443" s="11"/>
    </row>
    <row r="444" ht="22.5" hidden="1" customHeight="1">
      <c r="A444" s="2" t="s">
        <v>328</v>
      </c>
      <c r="B444" s="2" t="s">
        <v>268</v>
      </c>
      <c r="C444" s="2" t="s">
        <v>269</v>
      </c>
      <c r="D444" s="8">
        <v>38.0</v>
      </c>
      <c r="E444" s="9" t="s">
        <v>18</v>
      </c>
      <c r="F444" s="17">
        <v>1.0</v>
      </c>
      <c r="G444" s="2">
        <v>1990.0</v>
      </c>
      <c r="H444" s="5">
        <v>46104.0</v>
      </c>
      <c r="I444" s="2" t="s">
        <v>14</v>
      </c>
      <c r="L444" s="11"/>
      <c r="M444" s="2"/>
      <c r="N444" s="11"/>
    </row>
    <row r="445" ht="22.5" hidden="1" customHeight="1">
      <c r="A445" s="2" t="s">
        <v>329</v>
      </c>
      <c r="B445" s="2" t="s">
        <v>268</v>
      </c>
      <c r="C445" s="2" t="s">
        <v>269</v>
      </c>
      <c r="D445" s="8">
        <v>36.0</v>
      </c>
      <c r="E445" s="9" t="s">
        <v>47</v>
      </c>
      <c r="F445" s="17">
        <v>1.0</v>
      </c>
      <c r="G445" s="2">
        <v>1990.0</v>
      </c>
      <c r="H445" s="5">
        <v>46104.0</v>
      </c>
      <c r="I445" s="2" t="s">
        <v>14</v>
      </c>
      <c r="J445" s="12" t="s">
        <v>330</v>
      </c>
      <c r="L445" s="11"/>
      <c r="M445" s="2"/>
      <c r="N445" s="11"/>
    </row>
    <row r="446" ht="22.5" hidden="1" customHeight="1">
      <c r="A446" s="2" t="s">
        <v>331</v>
      </c>
      <c r="B446" s="2" t="s">
        <v>268</v>
      </c>
      <c r="C446" s="2" t="s">
        <v>269</v>
      </c>
      <c r="D446" s="8">
        <v>38.0</v>
      </c>
      <c r="E446" s="9" t="s">
        <v>18</v>
      </c>
      <c r="F446" s="17">
        <v>1.0</v>
      </c>
      <c r="G446" s="2">
        <v>1990.0</v>
      </c>
      <c r="H446" s="5">
        <v>46104.0</v>
      </c>
      <c r="I446" s="2" t="s">
        <v>14</v>
      </c>
      <c r="L446" s="11"/>
      <c r="N446" s="11"/>
    </row>
    <row r="447" ht="22.5" hidden="1" customHeight="1">
      <c r="A447" s="2" t="s">
        <v>332</v>
      </c>
      <c r="B447" s="2" t="s">
        <v>268</v>
      </c>
      <c r="C447" s="2" t="s">
        <v>269</v>
      </c>
      <c r="D447" s="8">
        <v>38.0</v>
      </c>
      <c r="E447" s="9" t="s">
        <v>47</v>
      </c>
      <c r="F447" s="17">
        <v>1.0</v>
      </c>
      <c r="G447" s="2">
        <v>1990.0</v>
      </c>
      <c r="H447" s="5">
        <v>46104.0</v>
      </c>
      <c r="I447" s="2" t="s">
        <v>14</v>
      </c>
      <c r="L447" s="11"/>
      <c r="N447" s="11"/>
    </row>
    <row r="448" ht="22.5" hidden="1" customHeight="1">
      <c r="A448" s="2" t="s">
        <v>333</v>
      </c>
      <c r="B448" s="2" t="s">
        <v>268</v>
      </c>
      <c r="C448" s="2" t="s">
        <v>269</v>
      </c>
      <c r="D448" s="8">
        <v>37.0</v>
      </c>
      <c r="E448" s="9" t="s">
        <v>47</v>
      </c>
      <c r="F448" s="17">
        <v>1.0</v>
      </c>
      <c r="G448" s="2">
        <v>1990.0</v>
      </c>
      <c r="H448" s="5">
        <v>46104.0</v>
      </c>
      <c r="I448" s="2" t="s">
        <v>14</v>
      </c>
      <c r="L448" s="11"/>
      <c r="N448" s="11"/>
    </row>
    <row r="449" ht="22.5" hidden="1" customHeight="1">
      <c r="A449" s="2" t="s">
        <v>319</v>
      </c>
      <c r="B449" s="2" t="s">
        <v>268</v>
      </c>
      <c r="C449" s="2" t="s">
        <v>269</v>
      </c>
      <c r="D449" s="8">
        <v>38.0</v>
      </c>
      <c r="E449" s="9" t="s">
        <v>18</v>
      </c>
      <c r="F449" s="17">
        <v>1.0</v>
      </c>
      <c r="G449" s="2">
        <v>1990.0</v>
      </c>
      <c r="H449" s="5">
        <v>46104.0</v>
      </c>
      <c r="I449" s="2" t="s">
        <v>14</v>
      </c>
      <c r="J449" s="12" t="s">
        <v>334</v>
      </c>
      <c r="L449" s="11"/>
      <c r="N449" s="11"/>
    </row>
    <row r="450" ht="22.5" hidden="1" customHeight="1">
      <c r="A450" s="2" t="s">
        <v>335</v>
      </c>
      <c r="B450" s="2" t="s">
        <v>336</v>
      </c>
      <c r="C450" s="2">
        <v>81813.0</v>
      </c>
      <c r="D450" s="8" t="s">
        <v>46</v>
      </c>
      <c r="E450" s="9" t="s">
        <v>16</v>
      </c>
      <c r="F450" s="2">
        <v>1.0</v>
      </c>
      <c r="G450" s="2">
        <v>1100.0</v>
      </c>
      <c r="H450" s="5">
        <v>46104.0</v>
      </c>
      <c r="I450" s="2" t="s">
        <v>14</v>
      </c>
      <c r="L450" s="11"/>
      <c r="N450" s="11"/>
    </row>
    <row r="451" ht="22.5" hidden="1" customHeight="1">
      <c r="A451" s="2" t="s">
        <v>335</v>
      </c>
      <c r="B451" s="2" t="s">
        <v>336</v>
      </c>
      <c r="C451" s="2">
        <v>81813.0</v>
      </c>
      <c r="D451" s="8" t="s">
        <v>46</v>
      </c>
      <c r="E451" s="9" t="s">
        <v>23</v>
      </c>
      <c r="F451" s="2">
        <v>1.0</v>
      </c>
      <c r="G451" s="2">
        <v>1100.0</v>
      </c>
      <c r="H451" s="5">
        <v>46104.0</v>
      </c>
      <c r="I451" s="2" t="s">
        <v>14</v>
      </c>
      <c r="L451" s="11"/>
      <c r="N451" s="11"/>
    </row>
    <row r="452" ht="22.5" hidden="1" customHeight="1">
      <c r="A452" s="2" t="s">
        <v>337</v>
      </c>
      <c r="B452" s="2" t="s">
        <v>336</v>
      </c>
      <c r="C452" s="2">
        <v>81813.0</v>
      </c>
      <c r="D452" s="8" t="s">
        <v>46</v>
      </c>
      <c r="E452" s="9" t="s">
        <v>16</v>
      </c>
      <c r="F452" s="2">
        <v>1.0</v>
      </c>
      <c r="G452" s="2">
        <v>1100.0</v>
      </c>
      <c r="H452" s="5">
        <v>46104.0</v>
      </c>
      <c r="I452" s="2" t="s">
        <v>14</v>
      </c>
      <c r="L452" s="11"/>
      <c r="N452" s="11"/>
    </row>
    <row r="453" ht="22.5" hidden="1" customHeight="1">
      <c r="A453" s="2" t="s">
        <v>337</v>
      </c>
      <c r="B453" s="2" t="s">
        <v>336</v>
      </c>
      <c r="C453" s="2">
        <v>81813.0</v>
      </c>
      <c r="D453" s="8" t="s">
        <v>46</v>
      </c>
      <c r="E453" s="9" t="s">
        <v>338</v>
      </c>
      <c r="F453" s="2">
        <v>1.0</v>
      </c>
      <c r="G453" s="2">
        <v>1100.0</v>
      </c>
      <c r="H453" s="5">
        <v>46104.0</v>
      </c>
      <c r="I453" s="2" t="s">
        <v>14</v>
      </c>
      <c r="L453" s="11"/>
      <c r="N453" s="11"/>
    </row>
    <row r="454" ht="22.5" hidden="1" customHeight="1">
      <c r="A454" s="2" t="s">
        <v>112</v>
      </c>
      <c r="B454" s="2" t="s">
        <v>336</v>
      </c>
      <c r="C454" s="2">
        <v>81813.0</v>
      </c>
      <c r="D454" s="8" t="s">
        <v>46</v>
      </c>
      <c r="E454" s="9" t="s">
        <v>16</v>
      </c>
      <c r="F454" s="2">
        <v>1.0</v>
      </c>
      <c r="G454" s="2">
        <v>1100.0</v>
      </c>
      <c r="H454" s="5">
        <v>46104.0</v>
      </c>
      <c r="I454" s="2" t="s">
        <v>14</v>
      </c>
      <c r="L454" s="11"/>
      <c r="N454" s="11"/>
    </row>
    <row r="455" ht="22.5" hidden="1" customHeight="1">
      <c r="A455" s="2" t="s">
        <v>112</v>
      </c>
      <c r="B455" s="2" t="s">
        <v>336</v>
      </c>
      <c r="C455" s="2">
        <v>81813.0</v>
      </c>
      <c r="D455" s="8" t="s">
        <v>46</v>
      </c>
      <c r="E455" s="9" t="s">
        <v>13</v>
      </c>
      <c r="F455" s="2">
        <v>1.0</v>
      </c>
      <c r="G455" s="2">
        <v>1100.0</v>
      </c>
      <c r="H455" s="5">
        <v>46104.0</v>
      </c>
      <c r="I455" s="2" t="s">
        <v>14</v>
      </c>
      <c r="L455" s="11"/>
      <c r="N455" s="11"/>
    </row>
    <row r="456" ht="22.5" hidden="1" customHeight="1">
      <c r="A456" s="2" t="s">
        <v>339</v>
      </c>
      <c r="B456" s="2" t="s">
        <v>336</v>
      </c>
      <c r="C456" s="2">
        <v>81813.0</v>
      </c>
      <c r="D456" s="8" t="s">
        <v>46</v>
      </c>
      <c r="E456" s="9" t="s">
        <v>16</v>
      </c>
      <c r="F456" s="2">
        <v>1.0</v>
      </c>
      <c r="G456" s="2">
        <v>1100.0</v>
      </c>
      <c r="H456" s="5">
        <v>46104.0</v>
      </c>
      <c r="I456" s="2" t="s">
        <v>14</v>
      </c>
      <c r="L456" s="11"/>
      <c r="N456" s="11"/>
    </row>
    <row r="457" ht="22.5" hidden="1" customHeight="1">
      <c r="A457" s="2" t="s">
        <v>339</v>
      </c>
      <c r="B457" s="2" t="s">
        <v>336</v>
      </c>
      <c r="C457" s="2">
        <v>81813.0</v>
      </c>
      <c r="D457" s="8" t="s">
        <v>46</v>
      </c>
      <c r="E457" s="9" t="s">
        <v>340</v>
      </c>
      <c r="F457" s="2">
        <v>1.0</v>
      </c>
      <c r="G457" s="2">
        <v>1100.0</v>
      </c>
      <c r="H457" s="5">
        <v>46104.0</v>
      </c>
      <c r="I457" s="2" t="s">
        <v>14</v>
      </c>
      <c r="L457" s="11"/>
      <c r="N457" s="11"/>
    </row>
    <row r="458" ht="22.5" hidden="1" customHeight="1">
      <c r="A458" s="2" t="s">
        <v>71</v>
      </c>
      <c r="B458" s="2" t="s">
        <v>336</v>
      </c>
      <c r="C458" s="2">
        <v>81813.0</v>
      </c>
      <c r="D458" s="8" t="s">
        <v>46</v>
      </c>
      <c r="E458" s="9" t="s">
        <v>16</v>
      </c>
      <c r="F458" s="2">
        <v>1.0</v>
      </c>
      <c r="G458" s="2">
        <v>1100.0</v>
      </c>
      <c r="H458" s="5">
        <v>46104.0</v>
      </c>
      <c r="I458" s="2" t="s">
        <v>14</v>
      </c>
      <c r="L458" s="11"/>
      <c r="N458" s="11"/>
    </row>
    <row r="459" ht="22.5" hidden="1" customHeight="1">
      <c r="A459" s="2" t="s">
        <v>50</v>
      </c>
      <c r="B459" s="2" t="s">
        <v>336</v>
      </c>
      <c r="C459" s="2">
        <v>81813.0</v>
      </c>
      <c r="D459" s="8" t="s">
        <v>46</v>
      </c>
      <c r="E459" s="9" t="s">
        <v>16</v>
      </c>
      <c r="F459" s="2">
        <v>1.0</v>
      </c>
      <c r="G459" s="2">
        <v>1100.0</v>
      </c>
      <c r="H459" s="5">
        <v>46104.0</v>
      </c>
      <c r="I459" s="2" t="s">
        <v>14</v>
      </c>
      <c r="L459" s="11"/>
      <c r="N459" s="11"/>
    </row>
    <row r="460" ht="22.5" hidden="1" customHeight="1">
      <c r="A460" s="2" t="s">
        <v>50</v>
      </c>
      <c r="B460" s="2" t="s">
        <v>336</v>
      </c>
      <c r="C460" s="2">
        <v>81813.0</v>
      </c>
      <c r="D460" s="8" t="s">
        <v>46</v>
      </c>
      <c r="E460" s="9" t="s">
        <v>18</v>
      </c>
      <c r="F460" s="2">
        <v>1.0</v>
      </c>
      <c r="G460" s="2">
        <v>1100.0</v>
      </c>
      <c r="H460" s="5">
        <v>46104.0</v>
      </c>
      <c r="I460" s="2" t="s">
        <v>14</v>
      </c>
      <c r="L460" s="11"/>
      <c r="N460" s="11"/>
    </row>
    <row r="461" ht="22.5" hidden="1" customHeight="1">
      <c r="A461" s="2" t="s">
        <v>50</v>
      </c>
      <c r="B461" s="2" t="s">
        <v>336</v>
      </c>
      <c r="C461" s="2">
        <v>81813.0</v>
      </c>
      <c r="D461" s="8" t="s">
        <v>46</v>
      </c>
      <c r="E461" s="9" t="s">
        <v>13</v>
      </c>
      <c r="F461" s="2">
        <v>1.0</v>
      </c>
      <c r="G461" s="2">
        <v>1100.0</v>
      </c>
      <c r="H461" s="5">
        <v>46104.0</v>
      </c>
      <c r="I461" s="2" t="s">
        <v>14</v>
      </c>
      <c r="L461" s="11"/>
      <c r="N461" s="11"/>
    </row>
    <row r="462" ht="22.5" hidden="1" customHeight="1">
      <c r="A462" s="2" t="s">
        <v>252</v>
      </c>
      <c r="B462" s="2" t="s">
        <v>336</v>
      </c>
      <c r="C462" s="2">
        <v>81813.0</v>
      </c>
      <c r="D462" s="8" t="s">
        <v>46</v>
      </c>
      <c r="E462" s="9" t="s">
        <v>13</v>
      </c>
      <c r="F462" s="2">
        <v>1.0</v>
      </c>
      <c r="G462" s="2">
        <v>1100.0</v>
      </c>
      <c r="H462" s="5">
        <v>46104.0</v>
      </c>
      <c r="I462" s="2" t="s">
        <v>14</v>
      </c>
      <c r="L462" s="11"/>
      <c r="N462" s="11"/>
    </row>
    <row r="463" ht="22.5" hidden="1" customHeight="1">
      <c r="A463" s="2" t="s">
        <v>325</v>
      </c>
      <c r="B463" s="2" t="s">
        <v>336</v>
      </c>
      <c r="C463" s="2">
        <v>81813.0</v>
      </c>
      <c r="D463" s="8" t="s">
        <v>46</v>
      </c>
      <c r="E463" s="9" t="s">
        <v>18</v>
      </c>
      <c r="F463" s="2">
        <v>1.0</v>
      </c>
      <c r="G463" s="2">
        <v>1100.0</v>
      </c>
      <c r="H463" s="5">
        <v>46104.0</v>
      </c>
      <c r="I463" s="2" t="s">
        <v>14</v>
      </c>
      <c r="L463" s="11"/>
      <c r="N463" s="11"/>
    </row>
    <row r="464" ht="22.5" hidden="1" customHeight="1">
      <c r="A464" s="2" t="s">
        <v>325</v>
      </c>
      <c r="B464" s="2" t="s">
        <v>336</v>
      </c>
      <c r="C464" s="2">
        <v>81813.0</v>
      </c>
      <c r="D464" s="8" t="s">
        <v>46</v>
      </c>
      <c r="E464" s="9" t="s">
        <v>338</v>
      </c>
      <c r="F464" s="2">
        <v>1.0</v>
      </c>
      <c r="G464" s="2">
        <v>1100.0</v>
      </c>
      <c r="H464" s="5">
        <v>46104.0</v>
      </c>
      <c r="I464" s="2" t="s">
        <v>14</v>
      </c>
      <c r="L464" s="11"/>
      <c r="N464" s="11"/>
    </row>
    <row r="465" ht="22.5" hidden="1" customHeight="1">
      <c r="A465" s="2" t="s">
        <v>341</v>
      </c>
      <c r="B465" s="2" t="s">
        <v>336</v>
      </c>
      <c r="C465" s="2">
        <v>81813.0</v>
      </c>
      <c r="D465" s="8" t="s">
        <v>46</v>
      </c>
      <c r="E465" s="9" t="s">
        <v>16</v>
      </c>
      <c r="F465" s="2">
        <v>1.0</v>
      </c>
      <c r="G465" s="2">
        <v>1100.0</v>
      </c>
      <c r="H465" s="5">
        <v>46104.0</v>
      </c>
      <c r="I465" s="2" t="s">
        <v>14</v>
      </c>
      <c r="L465" s="11"/>
      <c r="N465" s="11"/>
    </row>
    <row r="466" ht="22.5" hidden="1" customHeight="1">
      <c r="A466" s="2" t="s">
        <v>341</v>
      </c>
      <c r="B466" s="2" t="s">
        <v>336</v>
      </c>
      <c r="C466" s="2">
        <v>81813.0</v>
      </c>
      <c r="D466" s="8" t="s">
        <v>46</v>
      </c>
      <c r="E466" s="9" t="s">
        <v>338</v>
      </c>
      <c r="F466" s="2">
        <v>1.0</v>
      </c>
      <c r="G466" s="2">
        <v>1100.0</v>
      </c>
      <c r="H466" s="5">
        <v>46104.0</v>
      </c>
      <c r="I466" s="2" t="s">
        <v>14</v>
      </c>
      <c r="L466" s="11"/>
      <c r="N466" s="11"/>
    </row>
    <row r="467" ht="22.5" hidden="1" customHeight="1">
      <c r="A467" s="2" t="s">
        <v>257</v>
      </c>
      <c r="B467" s="2" t="s">
        <v>336</v>
      </c>
      <c r="C467" s="2">
        <v>81813.0</v>
      </c>
      <c r="D467" s="8" t="s">
        <v>46</v>
      </c>
      <c r="E467" s="9" t="s">
        <v>16</v>
      </c>
      <c r="F467" s="2">
        <v>1.0</v>
      </c>
      <c r="G467" s="2">
        <v>1100.0</v>
      </c>
      <c r="H467" s="5">
        <v>46104.0</v>
      </c>
      <c r="I467" s="2" t="s">
        <v>14</v>
      </c>
      <c r="L467" s="11"/>
      <c r="N467" s="11"/>
    </row>
    <row r="468" ht="22.5" hidden="1" customHeight="1">
      <c r="A468" s="2" t="s">
        <v>88</v>
      </c>
      <c r="B468" s="2" t="s">
        <v>336</v>
      </c>
      <c r="C468" s="2">
        <v>81813.0</v>
      </c>
      <c r="D468" s="8" t="s">
        <v>46</v>
      </c>
      <c r="E468" s="9" t="s">
        <v>16</v>
      </c>
      <c r="F468" s="2">
        <v>1.0</v>
      </c>
      <c r="G468" s="2">
        <v>1100.0</v>
      </c>
      <c r="H468" s="5">
        <v>46104.0</v>
      </c>
      <c r="I468" s="2" t="s">
        <v>14</v>
      </c>
      <c r="L468" s="11"/>
      <c r="N468" s="11"/>
    </row>
    <row r="469" ht="22.5" hidden="1" customHeight="1">
      <c r="A469" s="2" t="s">
        <v>88</v>
      </c>
      <c r="B469" s="2" t="s">
        <v>336</v>
      </c>
      <c r="C469" s="2">
        <v>81813.0</v>
      </c>
      <c r="D469" s="8" t="s">
        <v>46</v>
      </c>
      <c r="E469" s="9" t="s">
        <v>23</v>
      </c>
      <c r="F469" s="2">
        <v>1.0</v>
      </c>
      <c r="G469" s="2">
        <v>1100.0</v>
      </c>
      <c r="H469" s="5">
        <v>46104.0</v>
      </c>
      <c r="I469" s="2" t="s">
        <v>14</v>
      </c>
      <c r="L469" s="11"/>
      <c r="N469" s="11"/>
    </row>
    <row r="470" ht="22.5" hidden="1" customHeight="1">
      <c r="A470" s="2" t="s">
        <v>159</v>
      </c>
      <c r="B470" s="2" t="s">
        <v>336</v>
      </c>
      <c r="C470" s="2">
        <v>81813.0</v>
      </c>
      <c r="D470" s="8" t="s">
        <v>46</v>
      </c>
      <c r="E470" s="9" t="s">
        <v>16</v>
      </c>
      <c r="F470" s="2">
        <v>1.0</v>
      </c>
      <c r="G470" s="2">
        <v>1100.0</v>
      </c>
      <c r="H470" s="5">
        <v>46104.0</v>
      </c>
      <c r="I470" s="2" t="s">
        <v>14</v>
      </c>
      <c r="L470" s="11"/>
      <c r="N470" s="11"/>
    </row>
    <row r="471" ht="22.5" hidden="1" customHeight="1">
      <c r="A471" s="2" t="s">
        <v>159</v>
      </c>
      <c r="B471" s="2" t="s">
        <v>336</v>
      </c>
      <c r="C471" s="2">
        <v>81813.0</v>
      </c>
      <c r="D471" s="8" t="s">
        <v>46</v>
      </c>
      <c r="E471" s="9" t="s">
        <v>13</v>
      </c>
      <c r="F471" s="2">
        <v>1.0</v>
      </c>
      <c r="G471" s="2">
        <v>1100.0</v>
      </c>
      <c r="H471" s="5">
        <v>46104.0</v>
      </c>
      <c r="I471" s="2" t="s">
        <v>14</v>
      </c>
      <c r="L471" s="11"/>
      <c r="N471" s="11"/>
    </row>
    <row r="472" ht="22.5" hidden="1" customHeight="1">
      <c r="A472" s="2" t="s">
        <v>342</v>
      </c>
      <c r="B472" s="2" t="s">
        <v>336</v>
      </c>
      <c r="C472" s="2">
        <v>81813.0</v>
      </c>
      <c r="D472" s="8" t="s">
        <v>46</v>
      </c>
      <c r="E472" s="9" t="s">
        <v>338</v>
      </c>
      <c r="F472" s="2">
        <v>1.0</v>
      </c>
      <c r="G472" s="2">
        <v>1100.0</v>
      </c>
      <c r="H472" s="5">
        <v>46104.0</v>
      </c>
      <c r="I472" s="2" t="s">
        <v>14</v>
      </c>
      <c r="L472" s="11"/>
      <c r="N472" s="11"/>
    </row>
    <row r="473" ht="22.5" hidden="1" customHeight="1">
      <c r="A473" s="2" t="s">
        <v>342</v>
      </c>
      <c r="B473" s="2" t="s">
        <v>336</v>
      </c>
      <c r="C473" s="2">
        <v>81813.0</v>
      </c>
      <c r="D473" s="8" t="s">
        <v>46</v>
      </c>
      <c r="E473" s="9" t="s">
        <v>18</v>
      </c>
      <c r="F473" s="2">
        <v>1.0</v>
      </c>
      <c r="G473" s="2">
        <v>1100.0</v>
      </c>
      <c r="H473" s="5">
        <v>46104.0</v>
      </c>
      <c r="I473" s="2" t="s">
        <v>14</v>
      </c>
      <c r="L473" s="11"/>
      <c r="N473" s="11"/>
    </row>
    <row r="474" ht="22.5" hidden="1" customHeight="1">
      <c r="A474" s="2" t="s">
        <v>343</v>
      </c>
      <c r="B474" s="2" t="s">
        <v>336</v>
      </c>
      <c r="C474" s="2">
        <v>81813.0</v>
      </c>
      <c r="D474" s="8" t="s">
        <v>46</v>
      </c>
      <c r="E474" s="9" t="s">
        <v>16</v>
      </c>
      <c r="F474" s="2">
        <v>1.0</v>
      </c>
      <c r="G474" s="2">
        <v>1100.0</v>
      </c>
      <c r="H474" s="5">
        <v>46104.0</v>
      </c>
      <c r="I474" s="2" t="s">
        <v>14</v>
      </c>
      <c r="L474" s="11"/>
      <c r="N474" s="11"/>
    </row>
    <row r="475" ht="22.5" hidden="1" customHeight="1">
      <c r="A475" s="2" t="s">
        <v>343</v>
      </c>
      <c r="B475" s="2" t="s">
        <v>336</v>
      </c>
      <c r="C475" s="2">
        <v>81813.0</v>
      </c>
      <c r="D475" s="8" t="s">
        <v>46</v>
      </c>
      <c r="E475" s="9" t="s">
        <v>13</v>
      </c>
      <c r="F475" s="2">
        <v>1.0</v>
      </c>
      <c r="G475" s="2">
        <v>1100.0</v>
      </c>
      <c r="H475" s="5">
        <v>46104.0</v>
      </c>
      <c r="I475" s="2" t="s">
        <v>14</v>
      </c>
      <c r="L475" s="11"/>
      <c r="N475" s="11"/>
    </row>
    <row r="476" ht="22.5" hidden="1" customHeight="1">
      <c r="A476" s="2" t="s">
        <v>106</v>
      </c>
      <c r="B476" s="2" t="s">
        <v>336</v>
      </c>
      <c r="C476" s="2">
        <v>81813.0</v>
      </c>
      <c r="D476" s="8" t="s">
        <v>46</v>
      </c>
      <c r="E476" s="9" t="s">
        <v>18</v>
      </c>
      <c r="F476" s="2">
        <v>1.0</v>
      </c>
      <c r="G476" s="2">
        <v>1100.0</v>
      </c>
      <c r="H476" s="5">
        <v>46104.0</v>
      </c>
      <c r="I476" s="2" t="s">
        <v>14</v>
      </c>
      <c r="L476" s="11"/>
      <c r="N476" s="11"/>
    </row>
    <row r="477" ht="22.5" hidden="1" customHeight="1">
      <c r="A477" s="2" t="s">
        <v>106</v>
      </c>
      <c r="B477" s="2" t="s">
        <v>336</v>
      </c>
      <c r="C477" s="2">
        <v>81813.0</v>
      </c>
      <c r="D477" s="8" t="s">
        <v>46</v>
      </c>
      <c r="E477" s="9" t="s">
        <v>16</v>
      </c>
      <c r="F477" s="2">
        <v>1.0</v>
      </c>
      <c r="G477" s="2">
        <v>1100.0</v>
      </c>
      <c r="H477" s="5">
        <v>46104.0</v>
      </c>
      <c r="I477" s="2" t="s">
        <v>14</v>
      </c>
      <c r="L477" s="11"/>
      <c r="N477" s="11"/>
    </row>
    <row r="478" ht="22.5" hidden="1" customHeight="1">
      <c r="A478" s="2" t="s">
        <v>106</v>
      </c>
      <c r="B478" s="2" t="s">
        <v>336</v>
      </c>
      <c r="C478" s="2">
        <v>81813.0</v>
      </c>
      <c r="D478" s="8" t="s">
        <v>46</v>
      </c>
      <c r="E478" s="9" t="s">
        <v>27</v>
      </c>
      <c r="F478" s="2">
        <v>1.0</v>
      </c>
      <c r="G478" s="2">
        <v>1100.0</v>
      </c>
      <c r="H478" s="5">
        <v>46104.0</v>
      </c>
      <c r="I478" s="2" t="s">
        <v>14</v>
      </c>
      <c r="L478" s="11"/>
      <c r="N478" s="11"/>
    </row>
    <row r="479" ht="22.5" hidden="1" customHeight="1">
      <c r="A479" s="2" t="s">
        <v>344</v>
      </c>
      <c r="B479" s="2" t="s">
        <v>336</v>
      </c>
      <c r="C479" s="2">
        <v>81813.0</v>
      </c>
      <c r="D479" s="8" t="s">
        <v>46</v>
      </c>
      <c r="E479" s="9" t="s">
        <v>16</v>
      </c>
      <c r="F479" s="2">
        <v>1.0</v>
      </c>
      <c r="G479" s="2">
        <v>1100.0</v>
      </c>
      <c r="H479" s="5">
        <v>46104.0</v>
      </c>
      <c r="I479" s="2" t="s">
        <v>14</v>
      </c>
      <c r="L479" s="11"/>
      <c r="N479" s="11"/>
    </row>
    <row r="480" ht="22.5" hidden="1" customHeight="1">
      <c r="A480" s="2" t="s">
        <v>228</v>
      </c>
      <c r="B480" s="2" t="s">
        <v>336</v>
      </c>
      <c r="C480" s="2">
        <v>81813.0</v>
      </c>
      <c r="D480" s="8" t="s">
        <v>46</v>
      </c>
      <c r="E480" s="9" t="s">
        <v>16</v>
      </c>
      <c r="F480" s="2">
        <v>1.0</v>
      </c>
      <c r="G480" s="2">
        <v>1100.0</v>
      </c>
      <c r="H480" s="5">
        <v>46104.0</v>
      </c>
      <c r="I480" s="2" t="s">
        <v>14</v>
      </c>
      <c r="L480" s="11"/>
      <c r="N480" s="11"/>
    </row>
    <row r="481" ht="22.5" hidden="1" customHeight="1">
      <c r="A481" s="2" t="s">
        <v>193</v>
      </c>
      <c r="B481" s="2" t="s">
        <v>336</v>
      </c>
      <c r="C481" s="2">
        <v>81813.0</v>
      </c>
      <c r="D481" s="8" t="s">
        <v>46</v>
      </c>
      <c r="E481" s="9" t="s">
        <v>13</v>
      </c>
      <c r="F481" s="2">
        <v>1.0</v>
      </c>
      <c r="G481" s="2">
        <v>1100.0</v>
      </c>
      <c r="H481" s="5">
        <v>46104.0</v>
      </c>
      <c r="I481" s="2" t="s">
        <v>14</v>
      </c>
      <c r="L481" s="11"/>
      <c r="N481" s="11"/>
    </row>
    <row r="482" ht="22.5" hidden="1" customHeight="1">
      <c r="A482" s="2" t="s">
        <v>193</v>
      </c>
      <c r="B482" s="2" t="s">
        <v>336</v>
      </c>
      <c r="C482" s="2">
        <v>81813.0</v>
      </c>
      <c r="D482" s="8" t="s">
        <v>46</v>
      </c>
      <c r="E482" s="9" t="s">
        <v>23</v>
      </c>
      <c r="F482" s="2">
        <v>1.0</v>
      </c>
      <c r="G482" s="2">
        <v>1100.0</v>
      </c>
      <c r="H482" s="5">
        <v>46104.0</v>
      </c>
      <c r="I482" s="2" t="s">
        <v>14</v>
      </c>
      <c r="L482" s="11"/>
      <c r="N482" s="11"/>
    </row>
    <row r="483" ht="22.5" hidden="1" customHeight="1">
      <c r="A483" s="2" t="s">
        <v>345</v>
      </c>
      <c r="B483" s="2" t="s">
        <v>346</v>
      </c>
      <c r="C483" s="2">
        <v>8436.0</v>
      </c>
      <c r="D483" s="8" t="s">
        <v>12</v>
      </c>
      <c r="E483" s="9" t="s">
        <v>13</v>
      </c>
      <c r="F483" s="2">
        <v>1.0</v>
      </c>
      <c r="G483" s="2">
        <v>2800.0</v>
      </c>
      <c r="H483" s="5">
        <v>46104.0</v>
      </c>
      <c r="I483" s="2" t="s">
        <v>14</v>
      </c>
      <c r="L483" s="11"/>
      <c r="N483" s="11"/>
    </row>
    <row r="484" ht="22.5" hidden="1" customHeight="1">
      <c r="A484" s="2" t="s">
        <v>347</v>
      </c>
      <c r="B484" s="2" t="s">
        <v>346</v>
      </c>
      <c r="C484" s="2">
        <v>8436.0</v>
      </c>
      <c r="D484" s="8" t="s">
        <v>22</v>
      </c>
      <c r="E484" s="9" t="s">
        <v>13</v>
      </c>
      <c r="F484" s="2">
        <v>1.0</v>
      </c>
      <c r="G484" s="2">
        <v>2800.0</v>
      </c>
      <c r="H484" s="5">
        <v>46104.0</v>
      </c>
      <c r="I484" s="2" t="s">
        <v>14</v>
      </c>
      <c r="L484" s="11"/>
      <c r="N484" s="11"/>
    </row>
    <row r="485" ht="22.5" hidden="1" customHeight="1">
      <c r="A485" s="2" t="s">
        <v>348</v>
      </c>
      <c r="B485" s="2" t="s">
        <v>346</v>
      </c>
      <c r="C485" s="2">
        <v>8436.0</v>
      </c>
      <c r="D485" s="8" t="s">
        <v>22</v>
      </c>
      <c r="E485" s="9" t="s">
        <v>13</v>
      </c>
      <c r="F485" s="2">
        <v>1.0</v>
      </c>
      <c r="G485" s="2">
        <v>2800.0</v>
      </c>
      <c r="H485" s="5">
        <v>46104.0</v>
      </c>
      <c r="I485" s="2" t="s">
        <v>14</v>
      </c>
      <c r="L485" s="11"/>
      <c r="N485" s="11"/>
    </row>
    <row r="486" ht="22.5" hidden="1" customHeight="1">
      <c r="A486" s="2" t="s">
        <v>139</v>
      </c>
      <c r="B486" s="2" t="s">
        <v>346</v>
      </c>
      <c r="C486" s="2">
        <v>8436.0</v>
      </c>
      <c r="D486" s="8" t="s">
        <v>12</v>
      </c>
      <c r="E486" s="9" t="s">
        <v>13</v>
      </c>
      <c r="F486" s="2">
        <v>1.0</v>
      </c>
      <c r="G486" s="2">
        <v>2800.0</v>
      </c>
      <c r="H486" s="5">
        <v>46104.0</v>
      </c>
      <c r="I486" s="2" t="s">
        <v>14</v>
      </c>
      <c r="L486" s="11"/>
      <c r="N486" s="11"/>
    </row>
    <row r="487" ht="22.5" hidden="1" customHeight="1">
      <c r="A487" s="2" t="s">
        <v>349</v>
      </c>
      <c r="B487" s="2" t="s">
        <v>346</v>
      </c>
      <c r="C487" s="2">
        <v>8436.0</v>
      </c>
      <c r="D487" s="8" t="s">
        <v>12</v>
      </c>
      <c r="E487" s="9" t="s">
        <v>13</v>
      </c>
      <c r="F487" s="2">
        <v>1.0</v>
      </c>
      <c r="G487" s="2">
        <v>2800.0</v>
      </c>
      <c r="H487" s="5">
        <v>46104.0</v>
      </c>
      <c r="I487" s="2" t="s">
        <v>14</v>
      </c>
      <c r="L487" s="11"/>
      <c r="N487" s="11"/>
    </row>
    <row r="488" ht="22.5" hidden="1" customHeight="1">
      <c r="A488" s="2" t="s">
        <v>350</v>
      </c>
      <c r="B488" s="2" t="s">
        <v>346</v>
      </c>
      <c r="C488" s="2">
        <v>8436.0</v>
      </c>
      <c r="D488" s="8" t="s">
        <v>22</v>
      </c>
      <c r="E488" s="9" t="s">
        <v>13</v>
      </c>
      <c r="F488" s="2">
        <v>1.0</v>
      </c>
      <c r="G488" s="2">
        <v>2800.0</v>
      </c>
      <c r="H488" s="5">
        <v>46104.0</v>
      </c>
      <c r="I488" s="2" t="s">
        <v>14</v>
      </c>
      <c r="L488" s="11"/>
      <c r="N488" s="11"/>
    </row>
    <row r="489" ht="22.5" hidden="1" customHeight="1">
      <c r="A489" s="2" t="s">
        <v>291</v>
      </c>
      <c r="B489" s="2" t="s">
        <v>346</v>
      </c>
      <c r="C489" s="2">
        <v>8436.0</v>
      </c>
      <c r="D489" s="8" t="s">
        <v>12</v>
      </c>
      <c r="E489" s="9" t="s">
        <v>13</v>
      </c>
      <c r="F489" s="2">
        <v>1.0</v>
      </c>
      <c r="G489" s="2">
        <v>2800.0</v>
      </c>
      <c r="H489" s="5">
        <v>46104.0</v>
      </c>
      <c r="I489" s="2" t="s">
        <v>14</v>
      </c>
      <c r="L489" s="11"/>
      <c r="N489" s="11"/>
    </row>
    <row r="490" ht="22.5" hidden="1" customHeight="1">
      <c r="A490" s="2" t="s">
        <v>351</v>
      </c>
      <c r="B490" s="2" t="s">
        <v>346</v>
      </c>
      <c r="C490" s="2">
        <v>8436.0</v>
      </c>
      <c r="D490" s="8" t="s">
        <v>22</v>
      </c>
      <c r="E490" s="9" t="s">
        <v>13</v>
      </c>
      <c r="F490" s="2">
        <v>1.0</v>
      </c>
      <c r="G490" s="2">
        <v>2800.0</v>
      </c>
      <c r="H490" s="5">
        <v>46104.0</v>
      </c>
      <c r="I490" s="2" t="s">
        <v>14</v>
      </c>
      <c r="L490" s="11"/>
      <c r="N490" s="11"/>
    </row>
    <row r="491" ht="22.5" hidden="1" customHeight="1">
      <c r="A491" s="2" t="s">
        <v>325</v>
      </c>
      <c r="B491" s="2" t="s">
        <v>346</v>
      </c>
      <c r="C491" s="2">
        <v>8436.0</v>
      </c>
      <c r="D491" s="8" t="s">
        <v>22</v>
      </c>
      <c r="E491" s="9" t="s">
        <v>13</v>
      </c>
      <c r="F491" s="2">
        <v>1.0</v>
      </c>
      <c r="G491" s="2">
        <v>2800.0</v>
      </c>
      <c r="H491" s="5">
        <v>46104.0</v>
      </c>
      <c r="I491" s="2" t="s">
        <v>14</v>
      </c>
      <c r="L491" s="11"/>
      <c r="N491" s="11"/>
    </row>
    <row r="492" ht="22.5" hidden="1" customHeight="1">
      <c r="A492" s="2" t="s">
        <v>222</v>
      </c>
      <c r="B492" s="2" t="s">
        <v>346</v>
      </c>
      <c r="C492" s="2">
        <v>8436.0</v>
      </c>
      <c r="D492" s="8" t="s">
        <v>12</v>
      </c>
      <c r="E492" s="9" t="s">
        <v>13</v>
      </c>
      <c r="F492" s="2">
        <v>1.0</v>
      </c>
      <c r="G492" s="2">
        <v>2800.0</v>
      </c>
      <c r="H492" s="5">
        <v>46104.0</v>
      </c>
      <c r="I492" s="2" t="s">
        <v>14</v>
      </c>
      <c r="L492" s="11"/>
      <c r="N492" s="11"/>
    </row>
    <row r="493" ht="22.5" hidden="1" customHeight="1">
      <c r="A493" s="2" t="s">
        <v>329</v>
      </c>
      <c r="B493" s="2" t="s">
        <v>352</v>
      </c>
      <c r="C493" s="2">
        <v>5709.0</v>
      </c>
      <c r="D493" s="8" t="s">
        <v>12</v>
      </c>
      <c r="E493" s="9" t="s">
        <v>340</v>
      </c>
      <c r="F493" s="2">
        <v>1.0</v>
      </c>
      <c r="G493" s="2">
        <v>2350.0</v>
      </c>
      <c r="H493" s="5">
        <v>46104.0</v>
      </c>
      <c r="I493" s="2" t="s">
        <v>14</v>
      </c>
      <c r="L493" s="11"/>
      <c r="N493" s="11"/>
    </row>
    <row r="494" ht="22.5" hidden="1" customHeight="1">
      <c r="A494" s="2" t="s">
        <v>353</v>
      </c>
      <c r="B494" s="2" t="s">
        <v>352</v>
      </c>
      <c r="C494" s="2">
        <v>5709.0</v>
      </c>
      <c r="D494" s="8" t="s">
        <v>22</v>
      </c>
      <c r="E494" s="9" t="s">
        <v>340</v>
      </c>
      <c r="F494" s="2">
        <v>1.0</v>
      </c>
      <c r="G494" s="2">
        <v>2350.0</v>
      </c>
      <c r="H494" s="5">
        <v>46104.0</v>
      </c>
      <c r="I494" s="2" t="s">
        <v>14</v>
      </c>
      <c r="L494" s="11"/>
      <c r="N494" s="11"/>
    </row>
    <row r="495" ht="22.5" hidden="1" customHeight="1">
      <c r="A495" s="2" t="s">
        <v>354</v>
      </c>
      <c r="B495" s="2" t="s">
        <v>352</v>
      </c>
      <c r="C495" s="2">
        <v>5709.0</v>
      </c>
      <c r="D495" s="8" t="s">
        <v>12</v>
      </c>
      <c r="E495" s="9" t="s">
        <v>340</v>
      </c>
      <c r="F495" s="2">
        <v>1.0</v>
      </c>
      <c r="G495" s="2">
        <v>2350.0</v>
      </c>
      <c r="H495" s="5">
        <v>46104.0</v>
      </c>
      <c r="I495" s="2" t="s">
        <v>14</v>
      </c>
      <c r="L495" s="11"/>
      <c r="N495" s="11"/>
    </row>
    <row r="496" ht="22.5" hidden="1" customHeight="1">
      <c r="A496" s="2" t="s">
        <v>355</v>
      </c>
      <c r="B496" s="2" t="s">
        <v>352</v>
      </c>
      <c r="C496" s="2">
        <v>5709.0</v>
      </c>
      <c r="D496" s="8" t="s">
        <v>22</v>
      </c>
      <c r="E496" s="9" t="s">
        <v>340</v>
      </c>
      <c r="F496" s="2">
        <v>1.0</v>
      </c>
      <c r="G496" s="2">
        <v>2350.0</v>
      </c>
      <c r="H496" s="5">
        <v>46104.0</v>
      </c>
      <c r="I496" s="2" t="s">
        <v>14</v>
      </c>
      <c r="L496" s="11"/>
      <c r="N496" s="11"/>
    </row>
    <row r="497" ht="22.5" hidden="1" customHeight="1">
      <c r="A497" s="2" t="s">
        <v>188</v>
      </c>
      <c r="B497" s="2" t="s">
        <v>352</v>
      </c>
      <c r="C497" s="2">
        <v>5709.0</v>
      </c>
      <c r="D497" s="8" t="s">
        <v>12</v>
      </c>
      <c r="E497" s="9" t="s">
        <v>340</v>
      </c>
      <c r="F497" s="2">
        <v>1.0</v>
      </c>
      <c r="G497" s="2">
        <v>2350.0</v>
      </c>
      <c r="H497" s="5">
        <v>46104.0</v>
      </c>
      <c r="I497" s="2" t="s">
        <v>14</v>
      </c>
      <c r="L497" s="11"/>
      <c r="N497" s="11"/>
    </row>
    <row r="498" ht="22.5" hidden="1" customHeight="1">
      <c r="A498" s="2" t="s">
        <v>356</v>
      </c>
      <c r="B498" s="2" t="s">
        <v>352</v>
      </c>
      <c r="C498" s="2">
        <v>5709.0</v>
      </c>
      <c r="D498" s="8" t="s">
        <v>22</v>
      </c>
      <c r="E498" s="9" t="s">
        <v>340</v>
      </c>
      <c r="F498" s="2">
        <v>1.0</v>
      </c>
      <c r="G498" s="2">
        <v>2350.0</v>
      </c>
      <c r="H498" s="5">
        <v>46104.0</v>
      </c>
      <c r="I498" s="2" t="s">
        <v>14</v>
      </c>
      <c r="L498" s="11"/>
      <c r="N498" s="11"/>
    </row>
    <row r="499" ht="22.5" hidden="1" customHeight="1">
      <c r="A499" s="2" t="s">
        <v>87</v>
      </c>
      <c r="B499" s="2" t="s">
        <v>352</v>
      </c>
      <c r="C499" s="2">
        <v>5709.0</v>
      </c>
      <c r="D499" s="8" t="s">
        <v>22</v>
      </c>
      <c r="E499" s="9" t="s">
        <v>340</v>
      </c>
      <c r="F499" s="2">
        <v>1.0</v>
      </c>
      <c r="G499" s="2">
        <v>2350.0</v>
      </c>
      <c r="H499" s="5">
        <v>46104.0</v>
      </c>
      <c r="I499" s="2" t="s">
        <v>14</v>
      </c>
      <c r="L499" s="11"/>
      <c r="N499" s="11"/>
    </row>
    <row r="500" ht="22.5" hidden="1" customHeight="1">
      <c r="A500" s="2" t="s">
        <v>122</v>
      </c>
      <c r="B500" s="2" t="s">
        <v>352</v>
      </c>
      <c r="C500" s="2">
        <v>5709.0</v>
      </c>
      <c r="D500" s="8" t="s">
        <v>12</v>
      </c>
      <c r="E500" s="9" t="s">
        <v>340</v>
      </c>
      <c r="F500" s="2">
        <v>1.0</v>
      </c>
      <c r="G500" s="2">
        <v>2350.0</v>
      </c>
      <c r="H500" s="5">
        <v>46104.0</v>
      </c>
      <c r="I500" s="2" t="s">
        <v>14</v>
      </c>
      <c r="L500" s="11"/>
      <c r="N500" s="11"/>
    </row>
    <row r="501" ht="22.5" hidden="1" customHeight="1">
      <c r="A501" s="2" t="s">
        <v>357</v>
      </c>
      <c r="B501" s="2" t="s">
        <v>352</v>
      </c>
      <c r="C501" s="2">
        <v>5709.0</v>
      </c>
      <c r="D501" s="8" t="s">
        <v>22</v>
      </c>
      <c r="E501" s="9" t="s">
        <v>340</v>
      </c>
      <c r="F501" s="2">
        <v>1.0</v>
      </c>
      <c r="G501" s="2">
        <v>2350.0</v>
      </c>
      <c r="H501" s="5">
        <v>46104.0</v>
      </c>
      <c r="I501" s="2" t="s">
        <v>14</v>
      </c>
      <c r="L501" s="11"/>
      <c r="N501" s="11"/>
    </row>
    <row r="502" ht="22.5" hidden="1" customHeight="1">
      <c r="A502" s="2" t="s">
        <v>71</v>
      </c>
      <c r="B502" s="2" t="s">
        <v>352</v>
      </c>
      <c r="C502" s="2">
        <v>5709.0</v>
      </c>
      <c r="D502" s="8" t="s">
        <v>75</v>
      </c>
      <c r="E502" s="9" t="s">
        <v>340</v>
      </c>
      <c r="F502" s="2">
        <v>1.0</v>
      </c>
      <c r="G502" s="2">
        <v>2350.0</v>
      </c>
      <c r="H502" s="5">
        <v>46104.0</v>
      </c>
      <c r="I502" s="2" t="s">
        <v>14</v>
      </c>
      <c r="L502" s="11"/>
      <c r="N502" s="11"/>
    </row>
    <row r="503" ht="22.5" hidden="1" customHeight="1">
      <c r="A503" s="2" t="s">
        <v>270</v>
      </c>
      <c r="B503" s="2" t="s">
        <v>352</v>
      </c>
      <c r="C503" s="2">
        <v>5709.0</v>
      </c>
      <c r="D503" s="8" t="s">
        <v>75</v>
      </c>
      <c r="E503" s="9" t="s">
        <v>340</v>
      </c>
      <c r="F503" s="2">
        <v>1.0</v>
      </c>
      <c r="G503" s="2">
        <v>2350.0</v>
      </c>
      <c r="H503" s="5">
        <v>46104.0</v>
      </c>
      <c r="I503" s="2" t="s">
        <v>14</v>
      </c>
      <c r="L503" s="11"/>
      <c r="N503" s="11"/>
    </row>
    <row r="504" ht="22.5" hidden="1" customHeight="1">
      <c r="A504" s="2" t="s">
        <v>358</v>
      </c>
      <c r="B504" s="2" t="s">
        <v>352</v>
      </c>
      <c r="C504" s="2">
        <v>5709.0</v>
      </c>
      <c r="D504" s="8" t="s">
        <v>12</v>
      </c>
      <c r="E504" s="9" t="s">
        <v>340</v>
      </c>
      <c r="F504" s="2">
        <v>1.0</v>
      </c>
      <c r="G504" s="2">
        <v>2350.0</v>
      </c>
      <c r="H504" s="5"/>
      <c r="I504" s="2" t="s">
        <v>14</v>
      </c>
      <c r="L504" s="11"/>
      <c r="N504" s="11"/>
    </row>
    <row r="505" ht="22.5" hidden="1" customHeight="1">
      <c r="A505" s="2" t="s">
        <v>359</v>
      </c>
      <c r="B505" s="2" t="s">
        <v>360</v>
      </c>
      <c r="C505" s="2" t="s">
        <v>361</v>
      </c>
      <c r="D505" s="8" t="s">
        <v>46</v>
      </c>
      <c r="E505" s="9" t="s">
        <v>340</v>
      </c>
      <c r="F505" s="2">
        <v>1.0</v>
      </c>
      <c r="G505" s="2">
        <v>1890.0</v>
      </c>
      <c r="H505" s="5">
        <v>46105.0</v>
      </c>
      <c r="I505" s="2" t="s">
        <v>14</v>
      </c>
      <c r="L505" s="11"/>
      <c r="N505" s="11"/>
    </row>
    <row r="506" ht="22.5" hidden="1" customHeight="1">
      <c r="A506" s="2" t="s">
        <v>362</v>
      </c>
      <c r="B506" s="2" t="s">
        <v>360</v>
      </c>
      <c r="C506" s="2" t="s">
        <v>361</v>
      </c>
      <c r="D506" s="8" t="s">
        <v>46</v>
      </c>
      <c r="E506" s="9" t="s">
        <v>340</v>
      </c>
      <c r="F506" s="2">
        <v>1.0</v>
      </c>
      <c r="G506" s="2">
        <v>1890.0</v>
      </c>
      <c r="H506" s="5">
        <v>46105.0</v>
      </c>
      <c r="I506" s="2" t="s">
        <v>14</v>
      </c>
      <c r="L506" s="11"/>
      <c r="N506" s="11"/>
    </row>
    <row r="507" ht="22.5" hidden="1" customHeight="1">
      <c r="A507" s="2" t="s">
        <v>363</v>
      </c>
      <c r="B507" s="2" t="s">
        <v>360</v>
      </c>
      <c r="C507" s="2" t="s">
        <v>361</v>
      </c>
      <c r="D507" s="8" t="s">
        <v>46</v>
      </c>
      <c r="E507" s="9" t="s">
        <v>340</v>
      </c>
      <c r="F507" s="2">
        <v>1.0</v>
      </c>
      <c r="G507" s="2">
        <v>1890.0</v>
      </c>
      <c r="H507" s="5">
        <v>46105.0</v>
      </c>
      <c r="I507" s="2" t="s">
        <v>14</v>
      </c>
      <c r="L507" s="11"/>
      <c r="N507" s="11"/>
    </row>
    <row r="508" ht="22.5" hidden="1" customHeight="1">
      <c r="A508" s="2" t="s">
        <v>363</v>
      </c>
      <c r="B508" s="2" t="s">
        <v>360</v>
      </c>
      <c r="C508" s="2" t="s">
        <v>361</v>
      </c>
      <c r="D508" s="8" t="s">
        <v>46</v>
      </c>
      <c r="E508" s="9" t="s">
        <v>16</v>
      </c>
      <c r="F508" s="2">
        <v>1.0</v>
      </c>
      <c r="G508" s="2">
        <v>1890.0</v>
      </c>
      <c r="H508" s="5">
        <v>46105.0</v>
      </c>
      <c r="I508" s="2" t="s">
        <v>14</v>
      </c>
      <c r="L508" s="11"/>
      <c r="N508" s="11"/>
    </row>
    <row r="509" ht="22.5" hidden="1" customHeight="1">
      <c r="A509" s="2" t="s">
        <v>71</v>
      </c>
      <c r="B509" s="2" t="s">
        <v>360</v>
      </c>
      <c r="C509" s="2" t="s">
        <v>361</v>
      </c>
      <c r="D509" s="8" t="s">
        <v>46</v>
      </c>
      <c r="E509" s="9" t="s">
        <v>16</v>
      </c>
      <c r="F509" s="2">
        <v>1.0</v>
      </c>
      <c r="G509" s="2">
        <v>1890.0</v>
      </c>
      <c r="H509" s="5">
        <v>46105.0</v>
      </c>
      <c r="I509" s="2" t="s">
        <v>14</v>
      </c>
      <c r="L509" s="11"/>
      <c r="N509" s="11"/>
    </row>
    <row r="510" ht="22.5" hidden="1" customHeight="1">
      <c r="A510" s="2" t="s">
        <v>71</v>
      </c>
      <c r="B510" s="2" t="s">
        <v>360</v>
      </c>
      <c r="C510" s="2" t="s">
        <v>361</v>
      </c>
      <c r="D510" s="8" t="s">
        <v>46</v>
      </c>
      <c r="E510" s="9" t="s">
        <v>340</v>
      </c>
      <c r="F510" s="2">
        <v>1.0</v>
      </c>
      <c r="G510" s="2">
        <v>1890.0</v>
      </c>
      <c r="H510" s="5">
        <v>46105.0</v>
      </c>
      <c r="I510" s="2" t="s">
        <v>14</v>
      </c>
      <c r="L510" s="11"/>
      <c r="N510" s="11"/>
    </row>
    <row r="511" ht="22.5" hidden="1" customHeight="1">
      <c r="A511" s="2" t="s">
        <v>364</v>
      </c>
      <c r="B511" s="2" t="s">
        <v>360</v>
      </c>
      <c r="C511" s="2" t="s">
        <v>361</v>
      </c>
      <c r="D511" s="8" t="s">
        <v>46</v>
      </c>
      <c r="E511" s="9" t="s">
        <v>16</v>
      </c>
      <c r="F511" s="2">
        <v>1.0</v>
      </c>
      <c r="G511" s="2">
        <v>1890.0</v>
      </c>
      <c r="H511" s="5">
        <v>46105.0</v>
      </c>
      <c r="I511" s="2" t="s">
        <v>14</v>
      </c>
      <c r="L511" s="11"/>
      <c r="N511" s="11"/>
    </row>
    <row r="512" ht="22.5" hidden="1" customHeight="1">
      <c r="A512" s="2" t="s">
        <v>364</v>
      </c>
      <c r="B512" s="2" t="s">
        <v>360</v>
      </c>
      <c r="C512" s="2" t="s">
        <v>361</v>
      </c>
      <c r="D512" s="8" t="s">
        <v>46</v>
      </c>
      <c r="E512" s="9" t="s">
        <v>338</v>
      </c>
      <c r="F512" s="2">
        <v>1.0</v>
      </c>
      <c r="G512" s="2">
        <v>1890.0</v>
      </c>
      <c r="H512" s="5">
        <v>46105.0</v>
      </c>
      <c r="I512" s="2" t="s">
        <v>14</v>
      </c>
      <c r="L512" s="11"/>
      <c r="N512" s="11"/>
    </row>
    <row r="513" ht="22.5" hidden="1" customHeight="1">
      <c r="A513" s="2" t="s">
        <v>37</v>
      </c>
      <c r="B513" s="2" t="s">
        <v>360</v>
      </c>
      <c r="C513" s="2" t="s">
        <v>361</v>
      </c>
      <c r="D513" s="8" t="s">
        <v>46</v>
      </c>
      <c r="E513" s="9" t="s">
        <v>340</v>
      </c>
      <c r="F513" s="2">
        <v>2.0</v>
      </c>
      <c r="G513" s="2">
        <v>1890.0</v>
      </c>
      <c r="H513" s="5">
        <v>46105.0</v>
      </c>
      <c r="I513" s="2" t="s">
        <v>14</v>
      </c>
      <c r="L513" s="11"/>
      <c r="N513" s="11"/>
    </row>
    <row r="514" ht="22.5" hidden="1" customHeight="1">
      <c r="A514" s="2" t="s">
        <v>37</v>
      </c>
      <c r="B514" s="2" t="s">
        <v>360</v>
      </c>
      <c r="C514" s="2" t="s">
        <v>361</v>
      </c>
      <c r="D514" s="8" t="s">
        <v>46</v>
      </c>
      <c r="E514" s="9" t="s">
        <v>16</v>
      </c>
      <c r="F514" s="2">
        <v>2.0</v>
      </c>
      <c r="G514" s="2">
        <v>1890.0</v>
      </c>
      <c r="H514" s="5">
        <v>46105.0</v>
      </c>
      <c r="I514" s="2" t="s">
        <v>14</v>
      </c>
      <c r="L514" s="11"/>
      <c r="N514" s="11"/>
    </row>
    <row r="515" ht="22.5" hidden="1" customHeight="1">
      <c r="A515" s="2" t="s">
        <v>332</v>
      </c>
      <c r="B515" s="2" t="s">
        <v>365</v>
      </c>
      <c r="C515" s="2">
        <v>9094.0</v>
      </c>
      <c r="D515" s="8" t="s">
        <v>22</v>
      </c>
      <c r="E515" s="9" t="s">
        <v>23</v>
      </c>
      <c r="F515" s="2">
        <v>1.0</v>
      </c>
      <c r="G515" s="2">
        <v>2400.0</v>
      </c>
      <c r="H515" s="5">
        <v>46105.0</v>
      </c>
      <c r="I515" s="2" t="s">
        <v>14</v>
      </c>
      <c r="L515" s="11"/>
      <c r="N515" s="11"/>
    </row>
    <row r="516" ht="22.5" hidden="1" customHeight="1">
      <c r="A516" s="2" t="s">
        <v>324</v>
      </c>
      <c r="B516" s="2" t="s">
        <v>365</v>
      </c>
      <c r="C516" s="2">
        <v>9094.0</v>
      </c>
      <c r="D516" s="8" t="s">
        <v>12</v>
      </c>
      <c r="E516" s="9" t="s">
        <v>23</v>
      </c>
      <c r="F516" s="2">
        <v>1.0</v>
      </c>
      <c r="G516" s="2">
        <v>2400.0</v>
      </c>
      <c r="H516" s="5">
        <v>46105.0</v>
      </c>
      <c r="I516" s="2" t="s">
        <v>14</v>
      </c>
      <c r="L516" s="11"/>
      <c r="N516" s="11"/>
    </row>
    <row r="517" ht="22.5" hidden="1" customHeight="1">
      <c r="A517" s="2" t="s">
        <v>42</v>
      </c>
      <c r="B517" s="2" t="s">
        <v>365</v>
      </c>
      <c r="C517" s="2">
        <v>9094.0</v>
      </c>
      <c r="D517" s="8" t="s">
        <v>22</v>
      </c>
      <c r="E517" s="9" t="s">
        <v>23</v>
      </c>
      <c r="F517" s="2">
        <v>1.0</v>
      </c>
      <c r="G517" s="2">
        <v>2400.0</v>
      </c>
      <c r="H517" s="5">
        <v>46105.0</v>
      </c>
      <c r="I517" s="2" t="s">
        <v>14</v>
      </c>
      <c r="L517" s="11"/>
      <c r="N517" s="11"/>
    </row>
    <row r="518" ht="22.5" hidden="1" customHeight="1">
      <c r="A518" s="2" t="s">
        <v>366</v>
      </c>
      <c r="B518" s="2" t="s">
        <v>365</v>
      </c>
      <c r="C518" s="2">
        <v>9094.0</v>
      </c>
      <c r="D518" s="8" t="s">
        <v>12</v>
      </c>
      <c r="E518" s="9" t="s">
        <v>16</v>
      </c>
      <c r="F518" s="2">
        <v>1.0</v>
      </c>
      <c r="G518" s="2">
        <v>2400.0</v>
      </c>
      <c r="H518" s="5">
        <v>46105.0</v>
      </c>
      <c r="I518" s="2" t="s">
        <v>14</v>
      </c>
      <c r="L518" s="11"/>
      <c r="N518" s="11"/>
    </row>
    <row r="519" ht="22.5" hidden="1" customHeight="1">
      <c r="A519" s="2" t="s">
        <v>366</v>
      </c>
      <c r="B519" s="2" t="s">
        <v>365</v>
      </c>
      <c r="C519" s="2">
        <v>9094.0</v>
      </c>
      <c r="D519" s="8" t="s">
        <v>12</v>
      </c>
      <c r="E519" s="9" t="s">
        <v>58</v>
      </c>
      <c r="F519" s="2">
        <v>1.0</v>
      </c>
      <c r="G519" s="2">
        <v>2400.0</v>
      </c>
      <c r="H519" s="5">
        <v>46105.0</v>
      </c>
      <c r="I519" s="2" t="s">
        <v>14</v>
      </c>
      <c r="L519" s="11"/>
      <c r="N519" s="11"/>
    </row>
    <row r="520" ht="22.5" hidden="1" customHeight="1">
      <c r="A520" s="2" t="s">
        <v>367</v>
      </c>
      <c r="B520" s="2" t="s">
        <v>365</v>
      </c>
      <c r="C520" s="2">
        <v>9094.0</v>
      </c>
      <c r="D520" s="8" t="s">
        <v>12</v>
      </c>
      <c r="E520" s="9" t="s">
        <v>23</v>
      </c>
      <c r="F520" s="2">
        <v>1.0</v>
      </c>
      <c r="G520" s="2">
        <v>2400.0</v>
      </c>
      <c r="H520" s="5">
        <v>46105.0</v>
      </c>
      <c r="I520" s="2" t="s">
        <v>14</v>
      </c>
      <c r="L520" s="11"/>
      <c r="N520" s="11"/>
    </row>
    <row r="521" ht="22.5" hidden="1" customHeight="1">
      <c r="A521" s="2" t="s">
        <v>367</v>
      </c>
      <c r="B521" s="2" t="s">
        <v>365</v>
      </c>
      <c r="C521" s="2">
        <v>9094.0</v>
      </c>
      <c r="D521" s="8" t="s">
        <v>12</v>
      </c>
      <c r="E521" s="9" t="s">
        <v>58</v>
      </c>
      <c r="F521" s="2">
        <v>1.0</v>
      </c>
      <c r="G521" s="2">
        <v>2400.0</v>
      </c>
      <c r="H521" s="5">
        <v>46105.0</v>
      </c>
      <c r="I521" s="2" t="s">
        <v>14</v>
      </c>
      <c r="L521" s="11"/>
      <c r="N521" s="11"/>
    </row>
    <row r="522" ht="22.5" hidden="1" customHeight="1">
      <c r="A522" s="2" t="s">
        <v>355</v>
      </c>
      <c r="B522" s="2" t="s">
        <v>365</v>
      </c>
      <c r="C522" s="2">
        <v>9094.0</v>
      </c>
      <c r="D522" s="8" t="s">
        <v>12</v>
      </c>
      <c r="E522" s="9" t="s">
        <v>58</v>
      </c>
      <c r="F522" s="2">
        <v>1.0</v>
      </c>
      <c r="G522" s="2">
        <v>2400.0</v>
      </c>
      <c r="H522" s="5">
        <v>46105.0</v>
      </c>
      <c r="I522" s="2" t="s">
        <v>14</v>
      </c>
      <c r="L522" s="11"/>
      <c r="N522" s="11"/>
    </row>
    <row r="523" ht="22.5" hidden="1" customHeight="1">
      <c r="A523" s="2" t="s">
        <v>368</v>
      </c>
      <c r="B523" s="2" t="s">
        <v>365</v>
      </c>
      <c r="C523" s="2">
        <v>9094.0</v>
      </c>
      <c r="D523" s="8" t="s">
        <v>22</v>
      </c>
      <c r="E523" s="9" t="s">
        <v>58</v>
      </c>
      <c r="F523" s="2">
        <v>1.0</v>
      </c>
      <c r="G523" s="2">
        <v>2400.0</v>
      </c>
      <c r="H523" s="5">
        <v>46105.0</v>
      </c>
      <c r="I523" s="2" t="s">
        <v>14</v>
      </c>
      <c r="L523" s="11"/>
      <c r="N523" s="11"/>
    </row>
    <row r="524" ht="22.5" hidden="1" customHeight="1">
      <c r="A524" s="2" t="s">
        <v>369</v>
      </c>
      <c r="B524" s="2" t="s">
        <v>365</v>
      </c>
      <c r="C524" s="2">
        <v>9094.0</v>
      </c>
      <c r="D524" s="8" t="s">
        <v>12</v>
      </c>
      <c r="E524" s="9" t="s">
        <v>23</v>
      </c>
      <c r="F524" s="2">
        <v>1.0</v>
      </c>
      <c r="G524" s="2">
        <v>2400.0</v>
      </c>
      <c r="H524" s="5">
        <v>46105.0</v>
      </c>
      <c r="I524" s="2" t="s">
        <v>14</v>
      </c>
      <c r="L524" s="11"/>
      <c r="N524" s="11"/>
    </row>
    <row r="525" ht="22.5" hidden="1" customHeight="1">
      <c r="A525" s="2" t="s">
        <v>218</v>
      </c>
      <c r="B525" s="2" t="s">
        <v>365</v>
      </c>
      <c r="C525" s="2">
        <v>9094.0</v>
      </c>
      <c r="D525" s="8" t="s">
        <v>12</v>
      </c>
      <c r="E525" s="9" t="s">
        <v>23</v>
      </c>
      <c r="F525" s="2">
        <v>1.0</v>
      </c>
      <c r="G525" s="2">
        <v>2400.0</v>
      </c>
      <c r="H525" s="5">
        <v>46105.0</v>
      </c>
      <c r="I525" s="2" t="s">
        <v>14</v>
      </c>
      <c r="L525" s="11"/>
      <c r="N525" s="11"/>
    </row>
    <row r="526" ht="22.5" hidden="1" customHeight="1">
      <c r="A526" s="2" t="s">
        <v>51</v>
      </c>
      <c r="B526" s="2" t="s">
        <v>365</v>
      </c>
      <c r="C526" s="2">
        <v>9094.0</v>
      </c>
      <c r="D526" s="8" t="s">
        <v>12</v>
      </c>
      <c r="E526" s="9" t="s">
        <v>23</v>
      </c>
      <c r="F526" s="2">
        <v>1.0</v>
      </c>
      <c r="G526" s="2">
        <v>2400.0</v>
      </c>
      <c r="H526" s="5">
        <v>46105.0</v>
      </c>
      <c r="I526" s="2" t="s">
        <v>14</v>
      </c>
      <c r="L526" s="11"/>
      <c r="N526" s="11"/>
    </row>
    <row r="527" ht="22.5" hidden="1" customHeight="1">
      <c r="A527" s="2" t="s">
        <v>370</v>
      </c>
      <c r="B527" s="2" t="s">
        <v>371</v>
      </c>
      <c r="C527" s="2">
        <v>9140.0</v>
      </c>
      <c r="D527" s="8" t="s">
        <v>12</v>
      </c>
      <c r="E527" s="9" t="s">
        <v>27</v>
      </c>
      <c r="F527" s="2">
        <v>1.0</v>
      </c>
      <c r="G527" s="2">
        <v>1390.0</v>
      </c>
      <c r="H527" s="5">
        <v>46105.0</v>
      </c>
      <c r="I527" s="2" t="s">
        <v>14</v>
      </c>
      <c r="L527" s="11"/>
      <c r="N527" s="11"/>
    </row>
    <row r="528" ht="22.5" hidden="1" customHeight="1">
      <c r="A528" s="2" t="s">
        <v>370</v>
      </c>
      <c r="B528" s="2" t="s">
        <v>371</v>
      </c>
      <c r="C528" s="2">
        <v>9140.0</v>
      </c>
      <c r="D528" s="8" t="s">
        <v>22</v>
      </c>
      <c r="E528" s="9" t="s">
        <v>18</v>
      </c>
      <c r="F528" s="2">
        <v>1.0</v>
      </c>
      <c r="G528" s="2">
        <v>1390.0</v>
      </c>
      <c r="H528" s="5">
        <v>46105.0</v>
      </c>
      <c r="I528" s="2" t="s">
        <v>14</v>
      </c>
      <c r="L528" s="11"/>
      <c r="N528" s="11"/>
    </row>
    <row r="529" ht="22.5" hidden="1" customHeight="1">
      <c r="A529" s="2" t="s">
        <v>288</v>
      </c>
      <c r="B529" s="2" t="s">
        <v>371</v>
      </c>
      <c r="C529" s="2">
        <v>9140.0</v>
      </c>
      <c r="D529" s="8" t="s">
        <v>22</v>
      </c>
      <c r="E529" s="9" t="s">
        <v>18</v>
      </c>
      <c r="F529" s="2">
        <v>1.0</v>
      </c>
      <c r="G529" s="2">
        <v>1390.0</v>
      </c>
      <c r="H529" s="5">
        <v>46105.0</v>
      </c>
      <c r="I529" s="2" t="s">
        <v>14</v>
      </c>
      <c r="L529" s="11"/>
      <c r="N529" s="11"/>
    </row>
    <row r="530" ht="22.5" hidden="1" customHeight="1">
      <c r="A530" s="2" t="s">
        <v>372</v>
      </c>
      <c r="B530" s="2" t="s">
        <v>371</v>
      </c>
      <c r="C530" s="2">
        <v>9140.0</v>
      </c>
      <c r="D530" s="8" t="s">
        <v>22</v>
      </c>
      <c r="E530" s="9" t="s">
        <v>27</v>
      </c>
      <c r="F530" s="2">
        <v>1.0</v>
      </c>
      <c r="G530" s="2">
        <v>1390.0</v>
      </c>
      <c r="H530" s="5">
        <v>46105.0</v>
      </c>
      <c r="I530" s="2" t="s">
        <v>14</v>
      </c>
      <c r="J530" s="12" t="s">
        <v>373</v>
      </c>
      <c r="L530" s="11"/>
      <c r="N530" s="11"/>
    </row>
    <row r="531" ht="22.5" hidden="1" customHeight="1">
      <c r="A531" s="2" t="s">
        <v>374</v>
      </c>
      <c r="B531" s="2" t="s">
        <v>371</v>
      </c>
      <c r="C531" s="2">
        <v>9140.0</v>
      </c>
      <c r="D531" s="8" t="s">
        <v>12</v>
      </c>
      <c r="E531" s="9" t="s">
        <v>27</v>
      </c>
      <c r="F531" s="2">
        <v>1.0</v>
      </c>
      <c r="G531" s="2">
        <v>1390.0</v>
      </c>
      <c r="H531" s="5">
        <v>46105.0</v>
      </c>
      <c r="I531" s="2" t="s">
        <v>14</v>
      </c>
      <c r="L531" s="11"/>
      <c r="N531" s="11"/>
    </row>
    <row r="532" ht="22.5" hidden="1" customHeight="1">
      <c r="A532" s="2" t="s">
        <v>317</v>
      </c>
      <c r="B532" s="2" t="s">
        <v>371</v>
      </c>
      <c r="C532" s="2">
        <v>9140.0</v>
      </c>
      <c r="D532" s="8" t="s">
        <v>22</v>
      </c>
      <c r="E532" s="9" t="s">
        <v>18</v>
      </c>
      <c r="F532" s="2">
        <v>1.0</v>
      </c>
      <c r="G532" s="2">
        <v>1390.0</v>
      </c>
      <c r="H532" s="5">
        <v>46105.0</v>
      </c>
      <c r="I532" s="2" t="s">
        <v>14</v>
      </c>
      <c r="L532" s="11"/>
      <c r="N532" s="11"/>
    </row>
    <row r="533" ht="22.5" hidden="1" customHeight="1">
      <c r="A533" s="2" t="s">
        <v>312</v>
      </c>
      <c r="B533" s="2" t="s">
        <v>375</v>
      </c>
      <c r="C533" s="2" t="s">
        <v>376</v>
      </c>
      <c r="D533" s="8">
        <v>37.0</v>
      </c>
      <c r="E533" s="9" t="s">
        <v>26</v>
      </c>
      <c r="F533" s="2">
        <v>1.0</v>
      </c>
      <c r="G533" s="2">
        <v>2350.0</v>
      </c>
      <c r="H533" s="5">
        <v>46105.0</v>
      </c>
      <c r="I533" s="2" t="s">
        <v>14</v>
      </c>
      <c r="L533" s="11"/>
      <c r="N533" s="11"/>
    </row>
    <row r="534" ht="22.5" hidden="1" customHeight="1">
      <c r="A534" s="2" t="s">
        <v>369</v>
      </c>
      <c r="B534" s="2" t="s">
        <v>375</v>
      </c>
      <c r="C534" s="2" t="s">
        <v>376</v>
      </c>
      <c r="D534" s="8">
        <v>35.0</v>
      </c>
      <c r="E534" s="9" t="s">
        <v>26</v>
      </c>
      <c r="F534" s="2">
        <v>1.0</v>
      </c>
      <c r="G534" s="2">
        <v>750.0</v>
      </c>
      <c r="H534" s="5">
        <v>46105.0</v>
      </c>
      <c r="I534" s="2" t="s">
        <v>14</v>
      </c>
      <c r="L534" s="11"/>
      <c r="N534" s="11"/>
    </row>
    <row r="535" ht="22.5" hidden="1" customHeight="1">
      <c r="A535" s="2" t="s">
        <v>331</v>
      </c>
      <c r="B535" s="2" t="s">
        <v>375</v>
      </c>
      <c r="C535" s="2" t="s">
        <v>376</v>
      </c>
      <c r="D535" s="8">
        <v>38.0</v>
      </c>
      <c r="E535" s="9" t="s">
        <v>26</v>
      </c>
      <c r="F535" s="2">
        <v>1.0</v>
      </c>
      <c r="G535" s="2">
        <v>750.0</v>
      </c>
      <c r="H535" s="5">
        <v>46105.0</v>
      </c>
      <c r="I535" s="2" t="s">
        <v>14</v>
      </c>
      <c r="L535" s="11"/>
      <c r="N535" s="11"/>
    </row>
    <row r="536" ht="22.5" hidden="1" customHeight="1">
      <c r="A536" s="2" t="s">
        <v>354</v>
      </c>
      <c r="B536" s="2" t="s">
        <v>375</v>
      </c>
      <c r="C536" s="2" t="s">
        <v>376</v>
      </c>
      <c r="D536" s="8">
        <v>35.0</v>
      </c>
      <c r="E536" s="9" t="s">
        <v>26</v>
      </c>
      <c r="F536" s="2">
        <v>1.0</v>
      </c>
      <c r="G536" s="2">
        <v>750.0</v>
      </c>
      <c r="H536" s="5">
        <v>46105.0</v>
      </c>
      <c r="I536" s="2" t="s">
        <v>14</v>
      </c>
      <c r="L536" s="11"/>
      <c r="N536" s="11"/>
    </row>
    <row r="537" ht="22.5" hidden="1" customHeight="1">
      <c r="A537" s="2" t="s">
        <v>37</v>
      </c>
      <c r="B537" s="2" t="s">
        <v>375</v>
      </c>
      <c r="C537" s="2" t="s">
        <v>376</v>
      </c>
      <c r="D537" s="8">
        <v>36.0</v>
      </c>
      <c r="E537" s="9" t="s">
        <v>26</v>
      </c>
      <c r="F537" s="2">
        <v>1.0</v>
      </c>
      <c r="G537" s="2">
        <v>750.0</v>
      </c>
      <c r="H537" s="5">
        <v>46105.0</v>
      </c>
      <c r="I537" s="2" t="s">
        <v>14</v>
      </c>
      <c r="L537" s="11"/>
      <c r="N537" s="11"/>
    </row>
    <row r="538" ht="22.5" hidden="1" customHeight="1">
      <c r="A538" s="2" t="s">
        <v>358</v>
      </c>
      <c r="B538" s="2" t="s">
        <v>375</v>
      </c>
      <c r="C538" s="2" t="s">
        <v>376</v>
      </c>
      <c r="D538" s="8">
        <v>37.0</v>
      </c>
      <c r="E538" s="9" t="s">
        <v>47</v>
      </c>
      <c r="F538" s="2">
        <v>1.0</v>
      </c>
      <c r="G538" s="2">
        <v>750.0</v>
      </c>
      <c r="H538" s="5">
        <v>46105.0</v>
      </c>
      <c r="I538" s="2" t="s">
        <v>14</v>
      </c>
      <c r="L538" s="11"/>
      <c r="N538" s="11"/>
    </row>
    <row r="539" ht="22.5" hidden="1" customHeight="1">
      <c r="A539" s="2" t="s">
        <v>358</v>
      </c>
      <c r="B539" s="2" t="s">
        <v>377</v>
      </c>
      <c r="C539" s="2" t="s">
        <v>378</v>
      </c>
      <c r="D539" s="8" t="s">
        <v>46</v>
      </c>
      <c r="E539" s="9" t="s">
        <v>18</v>
      </c>
      <c r="F539" s="2">
        <v>1.0</v>
      </c>
      <c r="G539" s="2">
        <v>750.0</v>
      </c>
      <c r="H539" s="5">
        <v>46105.0</v>
      </c>
      <c r="I539" s="2" t="s">
        <v>14</v>
      </c>
      <c r="L539" s="11"/>
      <c r="N539" s="11"/>
    </row>
    <row r="540" ht="22.5" hidden="1" customHeight="1">
      <c r="A540" s="2" t="s">
        <v>358</v>
      </c>
      <c r="B540" s="2" t="s">
        <v>377</v>
      </c>
      <c r="C540" s="2" t="s">
        <v>378</v>
      </c>
      <c r="D540" s="8" t="s">
        <v>46</v>
      </c>
      <c r="E540" s="9" t="s">
        <v>13</v>
      </c>
      <c r="F540" s="2">
        <v>1.0</v>
      </c>
      <c r="G540" s="2">
        <v>750.0</v>
      </c>
      <c r="H540" s="5">
        <v>46105.0</v>
      </c>
      <c r="I540" s="2" t="s">
        <v>14</v>
      </c>
      <c r="L540" s="11"/>
      <c r="N540" s="11"/>
    </row>
    <row r="541" ht="22.5" hidden="1" customHeight="1">
      <c r="A541" s="2" t="s">
        <v>379</v>
      </c>
      <c r="B541" s="2" t="s">
        <v>377</v>
      </c>
      <c r="C541" s="2" t="s">
        <v>378</v>
      </c>
      <c r="D541" s="8" t="s">
        <v>46</v>
      </c>
      <c r="E541" s="9" t="s">
        <v>18</v>
      </c>
      <c r="F541" s="2">
        <v>1.0</v>
      </c>
      <c r="G541" s="2">
        <v>750.0</v>
      </c>
      <c r="H541" s="5">
        <v>46105.0</v>
      </c>
      <c r="I541" s="2" t="s">
        <v>24</v>
      </c>
      <c r="L541" s="11"/>
      <c r="N541" s="11"/>
    </row>
    <row r="542" ht="22.5" hidden="1" customHeight="1">
      <c r="A542" s="2" t="s">
        <v>379</v>
      </c>
      <c r="B542" s="2" t="s">
        <v>377</v>
      </c>
      <c r="C542" s="2" t="s">
        <v>378</v>
      </c>
      <c r="D542" s="8" t="s">
        <v>46</v>
      </c>
      <c r="E542" s="9" t="s">
        <v>13</v>
      </c>
      <c r="F542" s="2">
        <v>1.0</v>
      </c>
      <c r="G542" s="2">
        <v>750.0</v>
      </c>
      <c r="H542" s="5">
        <v>46105.0</v>
      </c>
      <c r="I542" s="2" t="s">
        <v>24</v>
      </c>
      <c r="L542" s="11"/>
      <c r="N542" s="11"/>
    </row>
    <row r="543" ht="22.5" hidden="1" customHeight="1">
      <c r="A543" s="2" t="s">
        <v>380</v>
      </c>
      <c r="B543" s="2" t="s">
        <v>377</v>
      </c>
      <c r="C543" s="2" t="s">
        <v>378</v>
      </c>
      <c r="D543" s="8" t="s">
        <v>46</v>
      </c>
      <c r="E543" s="9" t="s">
        <v>47</v>
      </c>
      <c r="F543" s="2">
        <v>2.0</v>
      </c>
      <c r="G543" s="2">
        <v>750.0</v>
      </c>
      <c r="H543" s="5">
        <v>46105.0</v>
      </c>
      <c r="I543" s="2" t="s">
        <v>14</v>
      </c>
      <c r="L543" s="11"/>
      <c r="N543" s="11"/>
    </row>
    <row r="544" ht="22.5" hidden="1" customHeight="1">
      <c r="A544" s="2" t="s">
        <v>381</v>
      </c>
      <c r="B544" s="2" t="s">
        <v>377</v>
      </c>
      <c r="C544" s="2" t="s">
        <v>378</v>
      </c>
      <c r="D544" s="8" t="s">
        <v>46</v>
      </c>
      <c r="E544" s="9" t="s">
        <v>47</v>
      </c>
      <c r="F544" s="2">
        <v>1.0</v>
      </c>
      <c r="G544" s="2">
        <v>750.0</v>
      </c>
      <c r="H544" s="5">
        <v>46105.0</v>
      </c>
      <c r="I544" s="2" t="s">
        <v>14</v>
      </c>
      <c r="L544" s="11"/>
      <c r="N544" s="11"/>
    </row>
    <row r="545" ht="22.5" hidden="1" customHeight="1">
      <c r="A545" s="2" t="s">
        <v>381</v>
      </c>
      <c r="B545" s="2" t="s">
        <v>377</v>
      </c>
      <c r="C545" s="2" t="s">
        <v>378</v>
      </c>
      <c r="D545" s="8" t="s">
        <v>46</v>
      </c>
      <c r="E545" s="9" t="s">
        <v>18</v>
      </c>
      <c r="F545" s="2">
        <v>1.0</v>
      </c>
      <c r="G545" s="2">
        <v>750.0</v>
      </c>
      <c r="H545" s="5">
        <v>46105.0</v>
      </c>
      <c r="I545" s="2" t="s">
        <v>14</v>
      </c>
      <c r="L545" s="11"/>
      <c r="N545" s="11"/>
    </row>
    <row r="546" ht="22.5" hidden="1" customHeight="1">
      <c r="A546" s="2" t="s">
        <v>382</v>
      </c>
      <c r="B546" s="2" t="s">
        <v>377</v>
      </c>
      <c r="C546" s="2" t="s">
        <v>378</v>
      </c>
      <c r="D546" s="8" t="s">
        <v>46</v>
      </c>
      <c r="E546" s="9" t="s">
        <v>13</v>
      </c>
      <c r="F546" s="2">
        <v>1.0</v>
      </c>
      <c r="G546" s="2">
        <v>750.0</v>
      </c>
      <c r="H546" s="5">
        <v>46105.0</v>
      </c>
      <c r="I546" s="2" t="s">
        <v>14</v>
      </c>
      <c r="L546" s="11"/>
      <c r="N546" s="11"/>
    </row>
    <row r="547" ht="22.5" hidden="1" customHeight="1">
      <c r="A547" s="2" t="s">
        <v>382</v>
      </c>
      <c r="B547" s="2" t="s">
        <v>377</v>
      </c>
      <c r="C547" s="2" t="s">
        <v>378</v>
      </c>
      <c r="D547" s="8" t="s">
        <v>46</v>
      </c>
      <c r="E547" s="9" t="s">
        <v>18</v>
      </c>
      <c r="F547" s="2">
        <v>1.0</v>
      </c>
      <c r="G547" s="2">
        <v>750.0</v>
      </c>
      <c r="H547" s="5">
        <v>46105.0</v>
      </c>
      <c r="I547" s="2" t="s">
        <v>14</v>
      </c>
      <c r="L547" s="11"/>
      <c r="N547" s="11"/>
    </row>
    <row r="548" ht="22.5" hidden="1" customHeight="1">
      <c r="A548" s="2" t="s">
        <v>383</v>
      </c>
      <c r="B548" s="2" t="s">
        <v>377</v>
      </c>
      <c r="C548" s="2" t="s">
        <v>378</v>
      </c>
      <c r="D548" s="8" t="s">
        <v>46</v>
      </c>
      <c r="E548" s="9" t="s">
        <v>13</v>
      </c>
      <c r="F548" s="2">
        <v>1.0</v>
      </c>
      <c r="G548" s="2">
        <v>750.0</v>
      </c>
      <c r="H548" s="5">
        <v>46105.0</v>
      </c>
      <c r="I548" s="2" t="s">
        <v>14</v>
      </c>
      <c r="L548" s="11"/>
      <c r="N548" s="11"/>
    </row>
    <row r="549" ht="22.5" hidden="1" customHeight="1">
      <c r="A549" s="2" t="s">
        <v>383</v>
      </c>
      <c r="B549" s="2" t="s">
        <v>377</v>
      </c>
      <c r="C549" s="2" t="s">
        <v>378</v>
      </c>
      <c r="D549" s="8" t="s">
        <v>46</v>
      </c>
      <c r="E549" s="9" t="s">
        <v>23</v>
      </c>
      <c r="F549" s="2">
        <v>1.0</v>
      </c>
      <c r="G549" s="2">
        <v>750.0</v>
      </c>
      <c r="H549" s="5">
        <v>46105.0</v>
      </c>
      <c r="I549" s="2" t="s">
        <v>14</v>
      </c>
      <c r="L549" s="11"/>
      <c r="N549" s="11"/>
    </row>
    <row r="550" ht="22.5" hidden="1" customHeight="1">
      <c r="A550" s="2" t="s">
        <v>384</v>
      </c>
      <c r="B550" s="2" t="s">
        <v>377</v>
      </c>
      <c r="C550" s="2" t="s">
        <v>378</v>
      </c>
      <c r="D550" s="8" t="s">
        <v>46</v>
      </c>
      <c r="E550" s="9" t="s">
        <v>13</v>
      </c>
      <c r="F550" s="2">
        <v>1.0</v>
      </c>
      <c r="G550" s="2">
        <v>750.0</v>
      </c>
      <c r="H550" s="5">
        <v>46105.0</v>
      </c>
      <c r="I550" s="2" t="s">
        <v>14</v>
      </c>
      <c r="L550" s="11"/>
      <c r="N550" s="11"/>
    </row>
    <row r="551" ht="22.5" hidden="1" customHeight="1">
      <c r="A551" s="2" t="s">
        <v>384</v>
      </c>
      <c r="B551" s="2" t="s">
        <v>377</v>
      </c>
      <c r="C551" s="2" t="s">
        <v>378</v>
      </c>
      <c r="D551" s="8" t="s">
        <v>46</v>
      </c>
      <c r="E551" s="9" t="s">
        <v>47</v>
      </c>
      <c r="F551" s="2">
        <v>1.0</v>
      </c>
      <c r="G551" s="2">
        <v>750.0</v>
      </c>
      <c r="H551" s="5">
        <v>46105.0</v>
      </c>
      <c r="I551" s="2" t="s">
        <v>14</v>
      </c>
      <c r="L551" s="11"/>
      <c r="N551" s="11"/>
    </row>
    <row r="552" ht="22.5" hidden="1" customHeight="1">
      <c r="A552" s="2" t="s">
        <v>189</v>
      </c>
      <c r="B552" s="2" t="s">
        <v>377</v>
      </c>
      <c r="C552" s="2" t="s">
        <v>378</v>
      </c>
      <c r="D552" s="8" t="s">
        <v>46</v>
      </c>
      <c r="E552" s="9" t="s">
        <v>18</v>
      </c>
      <c r="F552" s="2">
        <v>1.0</v>
      </c>
      <c r="G552" s="2">
        <v>750.0</v>
      </c>
      <c r="H552" s="5">
        <v>46105.0</v>
      </c>
      <c r="I552" s="2" t="s">
        <v>14</v>
      </c>
      <c r="L552" s="11"/>
      <c r="N552" s="11"/>
    </row>
    <row r="553" ht="22.5" hidden="1" customHeight="1">
      <c r="A553" s="2" t="s">
        <v>189</v>
      </c>
      <c r="B553" s="2" t="s">
        <v>377</v>
      </c>
      <c r="C553" s="2" t="s">
        <v>378</v>
      </c>
      <c r="D553" s="8" t="s">
        <v>46</v>
      </c>
      <c r="E553" s="9" t="s">
        <v>13</v>
      </c>
      <c r="F553" s="2">
        <v>1.0</v>
      </c>
      <c r="G553" s="2">
        <v>750.0</v>
      </c>
      <c r="H553" s="5">
        <v>46105.0</v>
      </c>
      <c r="I553" s="2" t="s">
        <v>14</v>
      </c>
      <c r="L553" s="11"/>
      <c r="N553" s="11"/>
    </row>
    <row r="554" ht="22.5" hidden="1" customHeight="1">
      <c r="A554" s="2" t="s">
        <v>385</v>
      </c>
      <c r="B554" s="2" t="s">
        <v>377</v>
      </c>
      <c r="C554" s="2" t="s">
        <v>378</v>
      </c>
      <c r="D554" s="8" t="s">
        <v>46</v>
      </c>
      <c r="E554" s="9" t="s">
        <v>47</v>
      </c>
      <c r="F554" s="2">
        <v>2.0</v>
      </c>
      <c r="G554" s="2">
        <v>750.0</v>
      </c>
      <c r="H554" s="5">
        <v>46105.0</v>
      </c>
      <c r="I554" s="2" t="s">
        <v>14</v>
      </c>
      <c r="L554" s="11"/>
      <c r="N554" s="11"/>
    </row>
    <row r="555" ht="22.5" hidden="1" customHeight="1">
      <c r="A555" s="2" t="s">
        <v>385</v>
      </c>
      <c r="B555" s="2" t="s">
        <v>377</v>
      </c>
      <c r="C555" s="2" t="s">
        <v>378</v>
      </c>
      <c r="D555" s="8" t="s">
        <v>46</v>
      </c>
      <c r="E555" s="9" t="s">
        <v>13</v>
      </c>
      <c r="F555" s="2">
        <v>2.0</v>
      </c>
      <c r="G555" s="2">
        <v>750.0</v>
      </c>
      <c r="H555" s="5">
        <v>46105.0</v>
      </c>
      <c r="I555" s="2" t="s">
        <v>14</v>
      </c>
      <c r="L555" s="11"/>
      <c r="N555" s="11"/>
    </row>
    <row r="556" ht="22.5" hidden="1" customHeight="1">
      <c r="A556" s="2" t="s">
        <v>385</v>
      </c>
      <c r="B556" s="2" t="s">
        <v>377</v>
      </c>
      <c r="C556" s="2" t="s">
        <v>378</v>
      </c>
      <c r="D556" s="8" t="s">
        <v>46</v>
      </c>
      <c r="E556" s="9" t="s">
        <v>23</v>
      </c>
      <c r="F556" s="2">
        <v>1.0</v>
      </c>
      <c r="G556" s="2">
        <v>750.0</v>
      </c>
      <c r="H556" s="5">
        <v>46105.0</v>
      </c>
      <c r="I556" s="2" t="s">
        <v>14</v>
      </c>
      <c r="L556" s="11"/>
      <c r="N556" s="11"/>
    </row>
    <row r="557" ht="22.5" hidden="1" customHeight="1">
      <c r="A557" s="2" t="s">
        <v>385</v>
      </c>
      <c r="B557" s="2" t="s">
        <v>377</v>
      </c>
      <c r="C557" s="2" t="s">
        <v>378</v>
      </c>
      <c r="D557" s="8" t="s">
        <v>46</v>
      </c>
      <c r="E557" s="9" t="s">
        <v>18</v>
      </c>
      <c r="F557" s="2">
        <v>1.0</v>
      </c>
      <c r="G557" s="2">
        <v>750.0</v>
      </c>
      <c r="H557" s="5">
        <v>46105.0</v>
      </c>
      <c r="I557" s="2" t="s">
        <v>14</v>
      </c>
      <c r="L557" s="11"/>
      <c r="N557" s="11"/>
    </row>
    <row r="558" ht="22.5" hidden="1" customHeight="1">
      <c r="A558" s="2" t="s">
        <v>386</v>
      </c>
      <c r="B558" s="2" t="s">
        <v>377</v>
      </c>
      <c r="C558" s="2" t="s">
        <v>378</v>
      </c>
      <c r="D558" s="8" t="s">
        <v>46</v>
      </c>
      <c r="E558" s="9" t="s">
        <v>23</v>
      </c>
      <c r="F558" s="2">
        <v>1.0</v>
      </c>
      <c r="G558" s="2">
        <v>750.0</v>
      </c>
      <c r="H558" s="5">
        <v>46105.0</v>
      </c>
      <c r="I558" s="2" t="s">
        <v>14</v>
      </c>
      <c r="L558" s="11"/>
      <c r="N558" s="11"/>
    </row>
    <row r="559" ht="22.5" hidden="1" customHeight="1">
      <c r="A559" s="2" t="s">
        <v>386</v>
      </c>
      <c r="B559" s="2" t="s">
        <v>377</v>
      </c>
      <c r="C559" s="2" t="s">
        <v>378</v>
      </c>
      <c r="D559" s="8" t="s">
        <v>46</v>
      </c>
      <c r="E559" s="9" t="s">
        <v>13</v>
      </c>
      <c r="F559" s="2">
        <v>1.0</v>
      </c>
      <c r="G559" s="2">
        <v>750.0</v>
      </c>
      <c r="H559" s="5">
        <v>46105.0</v>
      </c>
      <c r="I559" s="2" t="s">
        <v>14</v>
      </c>
      <c r="L559" s="11"/>
      <c r="N559" s="11"/>
    </row>
    <row r="560" ht="22.5" hidden="1" customHeight="1">
      <c r="A560" s="2" t="s">
        <v>387</v>
      </c>
      <c r="B560" s="2" t="s">
        <v>377</v>
      </c>
      <c r="C560" s="2" t="s">
        <v>378</v>
      </c>
      <c r="D560" s="8" t="s">
        <v>46</v>
      </c>
      <c r="E560" s="9" t="s">
        <v>18</v>
      </c>
      <c r="F560" s="2">
        <v>1.0</v>
      </c>
      <c r="G560" s="2">
        <v>750.0</v>
      </c>
      <c r="H560" s="5">
        <v>46105.0</v>
      </c>
      <c r="I560" s="2" t="s">
        <v>14</v>
      </c>
      <c r="L560" s="11"/>
      <c r="N560" s="11"/>
    </row>
    <row r="561" ht="22.5" hidden="1" customHeight="1">
      <c r="A561" s="2" t="s">
        <v>387</v>
      </c>
      <c r="B561" s="2" t="s">
        <v>377</v>
      </c>
      <c r="C561" s="2" t="s">
        <v>378</v>
      </c>
      <c r="D561" s="8" t="s">
        <v>46</v>
      </c>
      <c r="E561" s="9" t="s">
        <v>13</v>
      </c>
      <c r="F561" s="2">
        <v>1.0</v>
      </c>
      <c r="G561" s="2">
        <v>750.0</v>
      </c>
      <c r="H561" s="5">
        <v>46105.0</v>
      </c>
      <c r="I561" s="2" t="s">
        <v>14</v>
      </c>
      <c r="L561" s="11"/>
      <c r="N561" s="11"/>
    </row>
    <row r="562" ht="22.5" hidden="1" customHeight="1">
      <c r="A562" s="2" t="s">
        <v>388</v>
      </c>
      <c r="B562" s="2" t="s">
        <v>377</v>
      </c>
      <c r="C562" s="2" t="s">
        <v>378</v>
      </c>
      <c r="D562" s="8" t="s">
        <v>46</v>
      </c>
      <c r="E562" s="9" t="s">
        <v>18</v>
      </c>
      <c r="F562" s="2">
        <v>1.0</v>
      </c>
      <c r="G562" s="2">
        <v>750.0</v>
      </c>
      <c r="H562" s="5">
        <v>46105.0</v>
      </c>
      <c r="I562" s="2" t="s">
        <v>14</v>
      </c>
      <c r="L562" s="11"/>
      <c r="N562" s="11"/>
    </row>
    <row r="563" ht="22.5" hidden="1" customHeight="1">
      <c r="A563" s="2" t="s">
        <v>388</v>
      </c>
      <c r="B563" s="2" t="s">
        <v>377</v>
      </c>
      <c r="C563" s="2" t="s">
        <v>378</v>
      </c>
      <c r="D563" s="8" t="s">
        <v>46</v>
      </c>
      <c r="E563" s="9" t="s">
        <v>13</v>
      </c>
      <c r="F563" s="2">
        <v>1.0</v>
      </c>
      <c r="G563" s="2">
        <v>750.0</v>
      </c>
      <c r="H563" s="5">
        <v>46105.0</v>
      </c>
      <c r="I563" s="2" t="s">
        <v>14</v>
      </c>
      <c r="L563" s="11"/>
      <c r="N563" s="11"/>
    </row>
    <row r="564" ht="22.5" hidden="1" customHeight="1">
      <c r="A564" s="2" t="s">
        <v>188</v>
      </c>
      <c r="B564" s="2" t="s">
        <v>377</v>
      </c>
      <c r="C564" s="2" t="s">
        <v>378</v>
      </c>
      <c r="D564" s="8" t="s">
        <v>46</v>
      </c>
      <c r="E564" s="9" t="s">
        <v>18</v>
      </c>
      <c r="F564" s="2">
        <v>1.0</v>
      </c>
      <c r="G564" s="2">
        <v>750.0</v>
      </c>
      <c r="H564" s="5">
        <v>46105.0</v>
      </c>
      <c r="I564" s="2" t="s">
        <v>14</v>
      </c>
      <c r="L564" s="11"/>
      <c r="N564" s="11"/>
    </row>
    <row r="565" ht="22.5" hidden="1" customHeight="1">
      <c r="A565" s="2" t="s">
        <v>188</v>
      </c>
      <c r="B565" s="2" t="s">
        <v>377</v>
      </c>
      <c r="C565" s="2" t="s">
        <v>378</v>
      </c>
      <c r="D565" s="8" t="s">
        <v>46</v>
      </c>
      <c r="E565" s="9" t="s">
        <v>13</v>
      </c>
      <c r="F565" s="2">
        <v>1.0</v>
      </c>
      <c r="G565" s="2">
        <v>750.0</v>
      </c>
      <c r="H565" s="5">
        <v>46105.0</v>
      </c>
      <c r="I565" s="2" t="s">
        <v>14</v>
      </c>
      <c r="L565" s="11"/>
      <c r="N565" s="11"/>
    </row>
    <row r="566" ht="22.5" hidden="1" customHeight="1">
      <c r="A566" s="2" t="s">
        <v>116</v>
      </c>
      <c r="B566" s="2" t="s">
        <v>377</v>
      </c>
      <c r="C566" s="2" t="s">
        <v>378</v>
      </c>
      <c r="D566" s="8" t="s">
        <v>46</v>
      </c>
      <c r="E566" s="9" t="s">
        <v>23</v>
      </c>
      <c r="F566" s="2">
        <v>1.0</v>
      </c>
      <c r="G566" s="2">
        <v>750.0</v>
      </c>
      <c r="H566" s="5">
        <v>46105.0</v>
      </c>
      <c r="I566" s="2" t="s">
        <v>24</v>
      </c>
      <c r="L566" s="11"/>
      <c r="N566" s="11"/>
    </row>
    <row r="567" ht="22.5" hidden="1" customHeight="1">
      <c r="A567" s="2" t="s">
        <v>116</v>
      </c>
      <c r="B567" s="2" t="s">
        <v>377</v>
      </c>
      <c r="C567" s="2" t="s">
        <v>378</v>
      </c>
      <c r="D567" s="8" t="s">
        <v>46</v>
      </c>
      <c r="E567" s="9" t="s">
        <v>18</v>
      </c>
      <c r="F567" s="2">
        <v>1.0</v>
      </c>
      <c r="G567" s="2">
        <v>750.0</v>
      </c>
      <c r="H567" s="5">
        <v>46105.0</v>
      </c>
      <c r="I567" s="2" t="s">
        <v>24</v>
      </c>
      <c r="L567" s="11"/>
      <c r="N567" s="11"/>
    </row>
    <row r="568" ht="22.5" hidden="1" customHeight="1">
      <c r="A568" s="2" t="s">
        <v>328</v>
      </c>
      <c r="B568" s="2" t="s">
        <v>377</v>
      </c>
      <c r="C568" s="2" t="s">
        <v>378</v>
      </c>
      <c r="D568" s="8" t="s">
        <v>46</v>
      </c>
      <c r="E568" s="9" t="s">
        <v>18</v>
      </c>
      <c r="F568" s="2">
        <v>1.0</v>
      </c>
      <c r="G568" s="2">
        <v>750.0</v>
      </c>
      <c r="H568" s="5">
        <v>46105.0</v>
      </c>
      <c r="I568" s="2" t="s">
        <v>14</v>
      </c>
      <c r="L568" s="11"/>
      <c r="N568" s="11"/>
    </row>
    <row r="569" ht="22.5" hidden="1" customHeight="1">
      <c r="A569" s="2" t="s">
        <v>328</v>
      </c>
      <c r="B569" s="2" t="s">
        <v>377</v>
      </c>
      <c r="C569" s="2" t="s">
        <v>378</v>
      </c>
      <c r="D569" s="8" t="s">
        <v>46</v>
      </c>
      <c r="E569" s="9" t="s">
        <v>13</v>
      </c>
      <c r="F569" s="2">
        <v>1.0</v>
      </c>
      <c r="G569" s="2">
        <v>750.0</v>
      </c>
      <c r="H569" s="5">
        <v>46105.0</v>
      </c>
      <c r="I569" s="2" t="s">
        <v>14</v>
      </c>
      <c r="L569" s="11"/>
      <c r="N569" s="11"/>
    </row>
    <row r="570" ht="22.5" hidden="1" customHeight="1">
      <c r="A570" s="2" t="s">
        <v>325</v>
      </c>
      <c r="B570" s="2" t="s">
        <v>377</v>
      </c>
      <c r="C570" s="2" t="s">
        <v>378</v>
      </c>
      <c r="D570" s="8" t="s">
        <v>46</v>
      </c>
      <c r="E570" s="9" t="s">
        <v>47</v>
      </c>
      <c r="F570" s="2">
        <v>1.0</v>
      </c>
      <c r="G570" s="2">
        <v>750.0</v>
      </c>
      <c r="H570" s="5">
        <v>46105.0</v>
      </c>
      <c r="I570" s="2" t="s">
        <v>14</v>
      </c>
      <c r="L570" s="11"/>
      <c r="N570" s="11"/>
    </row>
    <row r="571" ht="22.5" hidden="1" customHeight="1">
      <c r="A571" s="2" t="s">
        <v>325</v>
      </c>
      <c r="B571" s="2" t="s">
        <v>377</v>
      </c>
      <c r="C571" s="2" t="s">
        <v>378</v>
      </c>
      <c r="D571" s="8" t="s">
        <v>46</v>
      </c>
      <c r="E571" s="9" t="s">
        <v>18</v>
      </c>
      <c r="F571" s="2">
        <v>1.0</v>
      </c>
      <c r="G571" s="2">
        <v>750.0</v>
      </c>
      <c r="H571" s="5">
        <v>46105.0</v>
      </c>
      <c r="I571" s="2" t="s">
        <v>14</v>
      </c>
      <c r="L571" s="11"/>
      <c r="N571" s="11"/>
    </row>
    <row r="572" ht="22.5" hidden="1" customHeight="1">
      <c r="A572" s="2" t="s">
        <v>389</v>
      </c>
      <c r="B572" s="2" t="s">
        <v>377</v>
      </c>
      <c r="C572" s="2" t="s">
        <v>378</v>
      </c>
      <c r="D572" s="8" t="s">
        <v>46</v>
      </c>
      <c r="E572" s="9" t="s">
        <v>18</v>
      </c>
      <c r="F572" s="2">
        <v>1.0</v>
      </c>
      <c r="G572" s="2">
        <v>750.0</v>
      </c>
      <c r="H572" s="5">
        <v>46105.0</v>
      </c>
      <c r="I572" s="2" t="s">
        <v>24</v>
      </c>
      <c r="L572" s="11"/>
      <c r="N572" s="11"/>
    </row>
    <row r="573" ht="22.5" hidden="1" customHeight="1">
      <c r="A573" s="2" t="s">
        <v>389</v>
      </c>
      <c r="B573" s="2" t="s">
        <v>377</v>
      </c>
      <c r="C573" s="2" t="s">
        <v>378</v>
      </c>
      <c r="D573" s="8" t="s">
        <v>46</v>
      </c>
      <c r="E573" s="9" t="s">
        <v>13</v>
      </c>
      <c r="F573" s="2">
        <v>1.0</v>
      </c>
      <c r="G573" s="2">
        <v>750.0</v>
      </c>
      <c r="H573" s="5">
        <v>46105.0</v>
      </c>
      <c r="I573" s="2" t="s">
        <v>24</v>
      </c>
      <c r="L573" s="11"/>
      <c r="N573" s="11"/>
    </row>
    <row r="574" ht="22.5" hidden="1" customHeight="1">
      <c r="A574" s="2" t="s">
        <v>390</v>
      </c>
      <c r="B574" s="2" t="s">
        <v>377</v>
      </c>
      <c r="C574" s="2" t="s">
        <v>378</v>
      </c>
      <c r="D574" s="8" t="s">
        <v>46</v>
      </c>
      <c r="E574" s="9" t="s">
        <v>18</v>
      </c>
      <c r="F574" s="2">
        <v>1.0</v>
      </c>
      <c r="G574" s="2">
        <v>750.0</v>
      </c>
      <c r="H574" s="5">
        <v>46105.0</v>
      </c>
      <c r="I574" s="2" t="s">
        <v>14</v>
      </c>
      <c r="L574" s="11"/>
      <c r="N574" s="11"/>
    </row>
    <row r="575" ht="22.5" hidden="1" customHeight="1">
      <c r="A575" s="2" t="s">
        <v>390</v>
      </c>
      <c r="B575" s="2" t="s">
        <v>377</v>
      </c>
      <c r="C575" s="2" t="s">
        <v>378</v>
      </c>
      <c r="D575" s="8" t="s">
        <v>46</v>
      </c>
      <c r="E575" s="9" t="s">
        <v>13</v>
      </c>
      <c r="F575" s="2">
        <v>1.0</v>
      </c>
      <c r="G575" s="2">
        <v>750.0</v>
      </c>
      <c r="H575" s="5">
        <v>46105.0</v>
      </c>
      <c r="I575" s="2" t="s">
        <v>14</v>
      </c>
      <c r="L575" s="11"/>
      <c r="N575" s="11"/>
    </row>
    <row r="576" ht="22.5" hidden="1" customHeight="1">
      <c r="A576" s="2" t="s">
        <v>391</v>
      </c>
      <c r="B576" s="2" t="s">
        <v>377</v>
      </c>
      <c r="C576" s="2" t="s">
        <v>378</v>
      </c>
      <c r="D576" s="8" t="s">
        <v>46</v>
      </c>
      <c r="E576" s="9" t="s">
        <v>18</v>
      </c>
      <c r="F576" s="2">
        <v>1.0</v>
      </c>
      <c r="G576" s="2">
        <v>750.0</v>
      </c>
      <c r="H576" s="5">
        <v>46105.0</v>
      </c>
      <c r="I576" s="2" t="s">
        <v>14</v>
      </c>
      <c r="L576" s="11"/>
      <c r="N576" s="11"/>
    </row>
    <row r="577" ht="22.5" hidden="1" customHeight="1">
      <c r="A577" s="2" t="s">
        <v>391</v>
      </c>
      <c r="B577" s="2" t="s">
        <v>377</v>
      </c>
      <c r="C577" s="2" t="s">
        <v>378</v>
      </c>
      <c r="D577" s="8" t="s">
        <v>46</v>
      </c>
      <c r="E577" s="9" t="s">
        <v>13</v>
      </c>
      <c r="F577" s="2">
        <v>1.0</v>
      </c>
      <c r="G577" s="2">
        <v>750.0</v>
      </c>
      <c r="H577" s="5">
        <v>46105.0</v>
      </c>
      <c r="I577" s="2" t="s">
        <v>14</v>
      </c>
      <c r="L577" s="11"/>
      <c r="N577" s="11"/>
    </row>
    <row r="578" ht="22.5" hidden="1" customHeight="1">
      <c r="A578" s="2" t="s">
        <v>391</v>
      </c>
      <c r="B578" s="2" t="s">
        <v>377</v>
      </c>
      <c r="C578" s="2" t="s">
        <v>378</v>
      </c>
      <c r="D578" s="8" t="s">
        <v>46</v>
      </c>
      <c r="E578" s="9" t="s">
        <v>23</v>
      </c>
      <c r="F578" s="2">
        <v>1.0</v>
      </c>
      <c r="G578" s="2">
        <v>750.0</v>
      </c>
      <c r="H578" s="5">
        <v>46105.0</v>
      </c>
      <c r="I578" s="2" t="s">
        <v>14</v>
      </c>
      <c r="L578" s="11"/>
      <c r="N578" s="11"/>
    </row>
    <row r="579" ht="22.5" hidden="1" customHeight="1">
      <c r="A579" s="2" t="s">
        <v>391</v>
      </c>
      <c r="B579" s="2" t="s">
        <v>377</v>
      </c>
      <c r="C579" s="2" t="s">
        <v>378</v>
      </c>
      <c r="D579" s="8" t="s">
        <v>46</v>
      </c>
      <c r="E579" s="9" t="s">
        <v>47</v>
      </c>
      <c r="F579" s="2">
        <v>1.0</v>
      </c>
      <c r="G579" s="2">
        <v>750.0</v>
      </c>
      <c r="H579" s="5">
        <v>46105.0</v>
      </c>
      <c r="I579" s="2" t="s">
        <v>14</v>
      </c>
      <c r="L579" s="11"/>
      <c r="N579" s="11"/>
    </row>
    <row r="580" ht="22.5" hidden="1" customHeight="1">
      <c r="A580" s="2" t="s">
        <v>392</v>
      </c>
      <c r="B580" s="2" t="s">
        <v>377</v>
      </c>
      <c r="C580" s="2" t="s">
        <v>378</v>
      </c>
      <c r="D580" s="8" t="s">
        <v>46</v>
      </c>
      <c r="E580" s="9" t="s">
        <v>13</v>
      </c>
      <c r="F580" s="2">
        <v>1.0</v>
      </c>
      <c r="G580" s="2">
        <v>750.0</v>
      </c>
      <c r="H580" s="5">
        <v>46105.0</v>
      </c>
      <c r="I580" s="2" t="s">
        <v>14</v>
      </c>
      <c r="L580" s="11"/>
      <c r="N580" s="11"/>
    </row>
    <row r="581" ht="22.5" hidden="1" customHeight="1">
      <c r="A581" s="2" t="s">
        <v>392</v>
      </c>
      <c r="B581" s="2" t="s">
        <v>377</v>
      </c>
      <c r="C581" s="2" t="s">
        <v>378</v>
      </c>
      <c r="D581" s="8" t="s">
        <v>46</v>
      </c>
      <c r="E581" s="9" t="s">
        <v>18</v>
      </c>
      <c r="F581" s="2">
        <v>1.0</v>
      </c>
      <c r="G581" s="2">
        <v>750.0</v>
      </c>
      <c r="H581" s="5">
        <v>46105.0</v>
      </c>
      <c r="I581" s="2" t="s">
        <v>14</v>
      </c>
      <c r="L581" s="11"/>
      <c r="N581" s="11"/>
    </row>
    <row r="582" ht="22.5" hidden="1" customHeight="1">
      <c r="A582" s="2" t="s">
        <v>393</v>
      </c>
      <c r="B582" s="2" t="s">
        <v>377</v>
      </c>
      <c r="C582" s="2" t="s">
        <v>378</v>
      </c>
      <c r="D582" s="8" t="s">
        <v>46</v>
      </c>
      <c r="E582" s="9" t="s">
        <v>18</v>
      </c>
      <c r="F582" s="2">
        <v>1.0</v>
      </c>
      <c r="G582" s="2">
        <v>750.0</v>
      </c>
      <c r="H582" s="5">
        <v>46105.0</v>
      </c>
      <c r="I582" s="2" t="s">
        <v>14</v>
      </c>
      <c r="L582" s="11"/>
      <c r="N582" s="11"/>
    </row>
    <row r="583" ht="22.5" hidden="1" customHeight="1">
      <c r="A583" s="2" t="s">
        <v>393</v>
      </c>
      <c r="B583" s="2" t="s">
        <v>377</v>
      </c>
      <c r="C583" s="2" t="s">
        <v>378</v>
      </c>
      <c r="D583" s="8" t="s">
        <v>46</v>
      </c>
      <c r="E583" s="9" t="s">
        <v>13</v>
      </c>
      <c r="F583" s="2">
        <v>1.0</v>
      </c>
      <c r="G583" s="2">
        <v>750.0</v>
      </c>
      <c r="H583" s="5">
        <v>46105.0</v>
      </c>
      <c r="I583" s="2" t="s">
        <v>14</v>
      </c>
      <c r="L583" s="11"/>
      <c r="N583" s="11"/>
    </row>
    <row r="584" ht="22.5" hidden="1" customHeight="1">
      <c r="A584" s="2" t="s">
        <v>393</v>
      </c>
      <c r="B584" s="2" t="s">
        <v>377</v>
      </c>
      <c r="C584" s="2" t="s">
        <v>378</v>
      </c>
      <c r="D584" s="8" t="s">
        <v>46</v>
      </c>
      <c r="E584" s="9" t="s">
        <v>23</v>
      </c>
      <c r="F584" s="2">
        <v>1.0</v>
      </c>
      <c r="G584" s="2">
        <v>750.0</v>
      </c>
      <c r="H584" s="5">
        <v>46105.0</v>
      </c>
      <c r="I584" s="2" t="s">
        <v>14</v>
      </c>
      <c r="L584" s="11"/>
      <c r="N584" s="11"/>
    </row>
    <row r="585" ht="22.5" hidden="1" customHeight="1">
      <c r="A585" s="2" t="s">
        <v>393</v>
      </c>
      <c r="B585" s="2" t="s">
        <v>377</v>
      </c>
      <c r="C585" s="2" t="s">
        <v>378</v>
      </c>
      <c r="D585" s="8" t="s">
        <v>46</v>
      </c>
      <c r="E585" s="9" t="s">
        <v>47</v>
      </c>
      <c r="F585" s="2">
        <v>1.0</v>
      </c>
      <c r="G585" s="2">
        <v>750.0</v>
      </c>
      <c r="H585" s="5">
        <v>46105.0</v>
      </c>
      <c r="I585" s="2" t="s">
        <v>14</v>
      </c>
      <c r="L585" s="11"/>
      <c r="N585" s="11"/>
    </row>
    <row r="586" ht="22.5" hidden="1" customHeight="1">
      <c r="A586" s="2" t="s">
        <v>323</v>
      </c>
      <c r="B586" s="2" t="s">
        <v>377</v>
      </c>
      <c r="C586" s="2" t="s">
        <v>378</v>
      </c>
      <c r="D586" s="8" t="s">
        <v>46</v>
      </c>
      <c r="E586" s="9" t="s">
        <v>18</v>
      </c>
      <c r="F586" s="2">
        <v>1.0</v>
      </c>
      <c r="G586" s="2">
        <v>750.0</v>
      </c>
      <c r="H586" s="5">
        <v>46105.0</v>
      </c>
      <c r="I586" s="2" t="s">
        <v>14</v>
      </c>
      <c r="L586" s="11"/>
      <c r="N586" s="11"/>
    </row>
    <row r="587" ht="22.5" hidden="1" customHeight="1">
      <c r="A587" s="2" t="s">
        <v>323</v>
      </c>
      <c r="B587" s="2" t="s">
        <v>377</v>
      </c>
      <c r="C587" s="2" t="s">
        <v>378</v>
      </c>
      <c r="D587" s="8" t="s">
        <v>46</v>
      </c>
      <c r="E587" s="9" t="s">
        <v>23</v>
      </c>
      <c r="F587" s="2">
        <v>1.0</v>
      </c>
      <c r="G587" s="2">
        <v>750.0</v>
      </c>
      <c r="H587" s="5">
        <v>46105.0</v>
      </c>
      <c r="I587" s="2" t="s">
        <v>14</v>
      </c>
      <c r="L587" s="11"/>
      <c r="N587" s="11"/>
    </row>
    <row r="588" ht="22.5" hidden="1" customHeight="1">
      <c r="A588" s="2" t="s">
        <v>394</v>
      </c>
      <c r="B588" s="2" t="s">
        <v>377</v>
      </c>
      <c r="C588" s="2" t="s">
        <v>378</v>
      </c>
      <c r="D588" s="8" t="s">
        <v>46</v>
      </c>
      <c r="E588" s="9" t="s">
        <v>13</v>
      </c>
      <c r="F588" s="2">
        <v>1.0</v>
      </c>
      <c r="G588" s="2">
        <v>750.0</v>
      </c>
      <c r="H588" s="5">
        <v>46105.0</v>
      </c>
      <c r="I588" s="2" t="s">
        <v>24</v>
      </c>
      <c r="L588" s="11"/>
      <c r="N588" s="11"/>
    </row>
    <row r="589" ht="22.5" hidden="1" customHeight="1">
      <c r="A589" s="2" t="s">
        <v>394</v>
      </c>
      <c r="B589" s="2" t="s">
        <v>377</v>
      </c>
      <c r="C589" s="2" t="s">
        <v>378</v>
      </c>
      <c r="D589" s="8" t="s">
        <v>46</v>
      </c>
      <c r="E589" s="9" t="s">
        <v>18</v>
      </c>
      <c r="F589" s="2">
        <v>1.0</v>
      </c>
      <c r="G589" s="2">
        <v>750.0</v>
      </c>
      <c r="H589" s="5">
        <v>46105.0</v>
      </c>
      <c r="I589" s="2" t="s">
        <v>14</v>
      </c>
      <c r="L589" s="11"/>
      <c r="N589" s="11"/>
    </row>
    <row r="590" ht="22.5" hidden="1" customHeight="1">
      <c r="A590" s="2" t="s">
        <v>394</v>
      </c>
      <c r="B590" s="2" t="s">
        <v>377</v>
      </c>
      <c r="C590" s="2" t="s">
        <v>378</v>
      </c>
      <c r="D590" s="8" t="s">
        <v>46</v>
      </c>
      <c r="E590" s="9" t="s">
        <v>23</v>
      </c>
      <c r="F590" s="2">
        <v>1.0</v>
      </c>
      <c r="G590" s="2">
        <v>750.0</v>
      </c>
      <c r="H590" s="5">
        <v>46105.0</v>
      </c>
      <c r="I590" s="2" t="s">
        <v>14</v>
      </c>
      <c r="L590" s="11"/>
      <c r="N590" s="11"/>
    </row>
    <row r="591" ht="22.5" hidden="1" customHeight="1">
      <c r="A591" s="2" t="s">
        <v>395</v>
      </c>
      <c r="B591" s="2" t="s">
        <v>377</v>
      </c>
      <c r="C591" s="2" t="s">
        <v>378</v>
      </c>
      <c r="D591" s="8" t="s">
        <v>46</v>
      </c>
      <c r="E591" s="9" t="s">
        <v>18</v>
      </c>
      <c r="F591" s="2">
        <v>1.0</v>
      </c>
      <c r="G591" s="2">
        <v>750.0</v>
      </c>
      <c r="H591" s="5">
        <v>46105.0</v>
      </c>
      <c r="I591" s="2" t="s">
        <v>14</v>
      </c>
      <c r="L591" s="11"/>
      <c r="N591" s="11"/>
    </row>
    <row r="592" ht="22.5" hidden="1" customHeight="1">
      <c r="A592" s="2" t="s">
        <v>395</v>
      </c>
      <c r="B592" s="2" t="s">
        <v>377</v>
      </c>
      <c r="C592" s="2" t="s">
        <v>378</v>
      </c>
      <c r="D592" s="8" t="s">
        <v>46</v>
      </c>
      <c r="E592" s="9" t="s">
        <v>13</v>
      </c>
      <c r="F592" s="2">
        <v>1.0</v>
      </c>
      <c r="G592" s="2">
        <v>750.0</v>
      </c>
      <c r="H592" s="5">
        <v>46105.0</v>
      </c>
      <c r="I592" s="2" t="s">
        <v>14</v>
      </c>
      <c r="L592" s="11"/>
      <c r="N592" s="11"/>
    </row>
    <row r="593" ht="22.5" hidden="1" customHeight="1">
      <c r="A593" s="2" t="s">
        <v>396</v>
      </c>
      <c r="B593" s="2" t="s">
        <v>377</v>
      </c>
      <c r="C593" s="2" t="s">
        <v>378</v>
      </c>
      <c r="D593" s="8" t="s">
        <v>46</v>
      </c>
      <c r="E593" s="9" t="s">
        <v>18</v>
      </c>
      <c r="F593" s="2">
        <v>1.0</v>
      </c>
      <c r="G593" s="2">
        <v>750.0</v>
      </c>
      <c r="H593" s="5">
        <v>46105.0</v>
      </c>
      <c r="I593" s="2" t="s">
        <v>14</v>
      </c>
      <c r="L593" s="11"/>
      <c r="N593" s="11"/>
    </row>
    <row r="594" ht="22.5" hidden="1" customHeight="1">
      <c r="A594" s="2" t="s">
        <v>396</v>
      </c>
      <c r="B594" s="2" t="s">
        <v>377</v>
      </c>
      <c r="C594" s="2" t="s">
        <v>378</v>
      </c>
      <c r="D594" s="8" t="s">
        <v>46</v>
      </c>
      <c r="E594" s="9" t="s">
        <v>13</v>
      </c>
      <c r="F594" s="2">
        <v>1.0</v>
      </c>
      <c r="G594" s="2">
        <v>750.0</v>
      </c>
      <c r="H594" s="5">
        <v>46105.0</v>
      </c>
      <c r="I594" s="2" t="s">
        <v>14</v>
      </c>
      <c r="L594" s="11"/>
      <c r="N594" s="11"/>
    </row>
    <row r="595" ht="22.5" hidden="1" customHeight="1">
      <c r="A595" s="2" t="s">
        <v>396</v>
      </c>
      <c r="B595" s="2" t="s">
        <v>377</v>
      </c>
      <c r="C595" s="2" t="s">
        <v>378</v>
      </c>
      <c r="D595" s="8" t="s">
        <v>46</v>
      </c>
      <c r="E595" s="9" t="s">
        <v>23</v>
      </c>
      <c r="F595" s="2">
        <v>1.0</v>
      </c>
      <c r="G595" s="2">
        <v>750.0</v>
      </c>
      <c r="H595" s="5">
        <v>46105.0</v>
      </c>
      <c r="I595" s="2" t="s">
        <v>14</v>
      </c>
      <c r="L595" s="11"/>
      <c r="N595" s="11"/>
    </row>
    <row r="596" ht="22.5" hidden="1" customHeight="1">
      <c r="A596" s="2" t="s">
        <v>396</v>
      </c>
      <c r="B596" s="2" t="s">
        <v>377</v>
      </c>
      <c r="C596" s="2" t="s">
        <v>378</v>
      </c>
      <c r="D596" s="8" t="s">
        <v>46</v>
      </c>
      <c r="E596" s="9" t="s">
        <v>47</v>
      </c>
      <c r="F596" s="2">
        <v>1.0</v>
      </c>
      <c r="G596" s="2">
        <v>750.0</v>
      </c>
      <c r="H596" s="5">
        <v>46105.0</v>
      </c>
      <c r="I596" s="2" t="s">
        <v>14</v>
      </c>
      <c r="L596" s="11"/>
      <c r="N596" s="11"/>
    </row>
    <row r="597" ht="22.5" hidden="1" customHeight="1">
      <c r="A597" s="2" t="s">
        <v>147</v>
      </c>
      <c r="B597" s="2" t="s">
        <v>377</v>
      </c>
      <c r="C597" s="2" t="s">
        <v>378</v>
      </c>
      <c r="D597" s="8" t="s">
        <v>46</v>
      </c>
      <c r="E597" s="9" t="s">
        <v>18</v>
      </c>
      <c r="F597" s="2">
        <v>1.0</v>
      </c>
      <c r="G597" s="2">
        <v>750.0</v>
      </c>
      <c r="H597" s="5">
        <v>46105.0</v>
      </c>
      <c r="I597" s="2" t="s">
        <v>14</v>
      </c>
      <c r="L597" s="11"/>
      <c r="N597" s="11"/>
    </row>
    <row r="598" ht="22.5" hidden="1" customHeight="1">
      <c r="A598" s="2" t="s">
        <v>147</v>
      </c>
      <c r="B598" s="2" t="s">
        <v>377</v>
      </c>
      <c r="C598" s="2" t="s">
        <v>378</v>
      </c>
      <c r="D598" s="8" t="s">
        <v>46</v>
      </c>
      <c r="E598" s="9" t="s">
        <v>13</v>
      </c>
      <c r="F598" s="2">
        <v>1.0</v>
      </c>
      <c r="G598" s="2">
        <v>750.0</v>
      </c>
      <c r="H598" s="5">
        <v>46105.0</v>
      </c>
      <c r="I598" s="2" t="s">
        <v>14</v>
      </c>
      <c r="L598" s="11"/>
      <c r="N598" s="11"/>
    </row>
    <row r="599" ht="22.5" hidden="1" customHeight="1">
      <c r="A599" s="2" t="s">
        <v>325</v>
      </c>
      <c r="B599" s="2" t="s">
        <v>377</v>
      </c>
      <c r="C599" s="2" t="s">
        <v>378</v>
      </c>
      <c r="D599" s="8" t="s">
        <v>46</v>
      </c>
      <c r="E599" s="9" t="s">
        <v>18</v>
      </c>
      <c r="F599" s="2">
        <v>1.0</v>
      </c>
      <c r="G599" s="2">
        <v>750.0</v>
      </c>
      <c r="H599" s="5">
        <v>46105.0</v>
      </c>
      <c r="I599" s="2" t="s">
        <v>14</v>
      </c>
      <c r="L599" s="11"/>
      <c r="N599" s="11"/>
    </row>
    <row r="600" ht="22.5" hidden="1" customHeight="1">
      <c r="A600" s="2" t="s">
        <v>325</v>
      </c>
      <c r="B600" s="2" t="s">
        <v>377</v>
      </c>
      <c r="C600" s="2" t="s">
        <v>378</v>
      </c>
      <c r="D600" s="8" t="s">
        <v>46</v>
      </c>
      <c r="E600" s="9" t="s">
        <v>13</v>
      </c>
      <c r="F600" s="2">
        <v>1.0</v>
      </c>
      <c r="G600" s="2">
        <v>750.0</v>
      </c>
      <c r="H600" s="5">
        <v>46105.0</v>
      </c>
      <c r="I600" s="2" t="s">
        <v>14</v>
      </c>
      <c r="L600" s="11"/>
      <c r="N600" s="11"/>
    </row>
    <row r="601" ht="22.5" hidden="1" customHeight="1">
      <c r="A601" s="2" t="s">
        <v>325</v>
      </c>
      <c r="B601" s="2" t="s">
        <v>377</v>
      </c>
      <c r="C601" s="2" t="s">
        <v>378</v>
      </c>
      <c r="D601" s="8" t="s">
        <v>46</v>
      </c>
      <c r="E601" s="9" t="s">
        <v>23</v>
      </c>
      <c r="F601" s="2">
        <v>1.0</v>
      </c>
      <c r="G601" s="2">
        <v>750.0</v>
      </c>
      <c r="H601" s="5">
        <v>46105.0</v>
      </c>
      <c r="I601" s="2" t="s">
        <v>14</v>
      </c>
      <c r="L601" s="11"/>
      <c r="N601" s="11"/>
    </row>
    <row r="602" ht="22.5" hidden="1" customHeight="1">
      <c r="A602" s="2" t="s">
        <v>325</v>
      </c>
      <c r="B602" s="2" t="s">
        <v>377</v>
      </c>
      <c r="C602" s="2" t="s">
        <v>378</v>
      </c>
      <c r="D602" s="8" t="s">
        <v>46</v>
      </c>
      <c r="E602" s="9" t="s">
        <v>47</v>
      </c>
      <c r="F602" s="2">
        <v>1.0</v>
      </c>
      <c r="G602" s="2">
        <v>750.0</v>
      </c>
      <c r="H602" s="5">
        <v>46105.0</v>
      </c>
      <c r="I602" s="2" t="s">
        <v>14</v>
      </c>
      <c r="L602" s="11"/>
      <c r="N602" s="11"/>
    </row>
    <row r="603" ht="22.5" hidden="1" customHeight="1">
      <c r="A603" s="2" t="s">
        <v>230</v>
      </c>
      <c r="B603" s="2" t="s">
        <v>377</v>
      </c>
      <c r="C603" s="2" t="s">
        <v>378</v>
      </c>
      <c r="D603" s="8" t="s">
        <v>46</v>
      </c>
      <c r="E603" s="9" t="s">
        <v>18</v>
      </c>
      <c r="F603" s="2">
        <v>1.0</v>
      </c>
      <c r="G603" s="2">
        <v>750.0</v>
      </c>
      <c r="H603" s="5">
        <v>46105.0</v>
      </c>
      <c r="I603" s="2" t="s">
        <v>14</v>
      </c>
      <c r="L603" s="11"/>
      <c r="N603" s="11"/>
    </row>
    <row r="604" ht="22.5" hidden="1" customHeight="1">
      <c r="A604" s="2" t="s">
        <v>230</v>
      </c>
      <c r="B604" s="2" t="s">
        <v>377</v>
      </c>
      <c r="C604" s="2" t="s">
        <v>378</v>
      </c>
      <c r="D604" s="8" t="s">
        <v>46</v>
      </c>
      <c r="E604" s="9" t="s">
        <v>13</v>
      </c>
      <c r="F604" s="2">
        <v>1.0</v>
      </c>
      <c r="G604" s="2">
        <v>750.0</v>
      </c>
      <c r="H604" s="5">
        <v>46105.0</v>
      </c>
      <c r="I604" s="2" t="s">
        <v>14</v>
      </c>
      <c r="L604" s="11"/>
      <c r="N604" s="11"/>
    </row>
    <row r="605" ht="22.5" hidden="1" customHeight="1">
      <c r="A605" s="2" t="s">
        <v>230</v>
      </c>
      <c r="B605" s="2" t="s">
        <v>377</v>
      </c>
      <c r="C605" s="2" t="s">
        <v>378</v>
      </c>
      <c r="D605" s="8" t="s">
        <v>46</v>
      </c>
      <c r="E605" s="9" t="s">
        <v>23</v>
      </c>
      <c r="F605" s="2">
        <v>1.0</v>
      </c>
      <c r="G605" s="2">
        <v>750.0</v>
      </c>
      <c r="H605" s="5">
        <v>46105.0</v>
      </c>
      <c r="I605" s="2" t="s">
        <v>14</v>
      </c>
      <c r="L605" s="11"/>
      <c r="N605" s="11"/>
    </row>
    <row r="606" ht="22.5" hidden="1" customHeight="1">
      <c r="A606" s="2" t="s">
        <v>230</v>
      </c>
      <c r="B606" s="2" t="s">
        <v>377</v>
      </c>
      <c r="C606" s="2" t="s">
        <v>378</v>
      </c>
      <c r="D606" s="8" t="s">
        <v>46</v>
      </c>
      <c r="E606" s="9" t="s">
        <v>47</v>
      </c>
      <c r="F606" s="2">
        <v>1.0</v>
      </c>
      <c r="G606" s="2">
        <v>750.0</v>
      </c>
      <c r="H606" s="5">
        <v>46105.0</v>
      </c>
      <c r="I606" s="2" t="s">
        <v>14</v>
      </c>
      <c r="L606" s="11"/>
      <c r="N606" s="11"/>
    </row>
    <row r="607" ht="22.5" hidden="1" customHeight="1">
      <c r="A607" s="2" t="s">
        <v>397</v>
      </c>
      <c r="B607" s="2" t="s">
        <v>377</v>
      </c>
      <c r="C607" s="2" t="s">
        <v>378</v>
      </c>
      <c r="D607" s="8" t="s">
        <v>46</v>
      </c>
      <c r="E607" s="9" t="s">
        <v>18</v>
      </c>
      <c r="F607" s="2">
        <v>1.0</v>
      </c>
      <c r="G607" s="2">
        <v>750.0</v>
      </c>
      <c r="H607" s="5">
        <v>46105.0</v>
      </c>
      <c r="I607" s="2" t="s">
        <v>14</v>
      </c>
      <c r="L607" s="11"/>
      <c r="N607" s="11"/>
    </row>
    <row r="608" ht="22.5" hidden="1" customHeight="1">
      <c r="A608" s="2" t="s">
        <v>397</v>
      </c>
      <c r="B608" s="2" t="s">
        <v>377</v>
      </c>
      <c r="C608" s="2" t="s">
        <v>378</v>
      </c>
      <c r="D608" s="8" t="s">
        <v>46</v>
      </c>
      <c r="E608" s="9" t="s">
        <v>13</v>
      </c>
      <c r="F608" s="2">
        <v>1.0</v>
      </c>
      <c r="G608" s="2">
        <v>750.0</v>
      </c>
      <c r="H608" s="5">
        <v>46105.0</v>
      </c>
      <c r="I608" s="2" t="s">
        <v>14</v>
      </c>
      <c r="L608" s="11"/>
      <c r="N608" s="11"/>
    </row>
    <row r="609" ht="22.5" hidden="1" customHeight="1">
      <c r="A609" s="2" t="s">
        <v>398</v>
      </c>
      <c r="B609" s="2" t="s">
        <v>377</v>
      </c>
      <c r="C609" s="2" t="s">
        <v>378</v>
      </c>
      <c r="D609" s="8" t="s">
        <v>46</v>
      </c>
      <c r="E609" s="9" t="s">
        <v>18</v>
      </c>
      <c r="F609" s="2">
        <v>1.0</v>
      </c>
      <c r="G609" s="2">
        <v>750.0</v>
      </c>
      <c r="H609" s="5">
        <v>46105.0</v>
      </c>
      <c r="I609" s="2" t="s">
        <v>14</v>
      </c>
      <c r="L609" s="11"/>
      <c r="N609" s="11"/>
    </row>
    <row r="610" ht="22.5" hidden="1" customHeight="1">
      <c r="A610" s="2" t="s">
        <v>398</v>
      </c>
      <c r="B610" s="2" t="s">
        <v>377</v>
      </c>
      <c r="C610" s="2" t="s">
        <v>378</v>
      </c>
      <c r="D610" s="8" t="s">
        <v>46</v>
      </c>
      <c r="E610" s="9" t="s">
        <v>13</v>
      </c>
      <c r="F610" s="2">
        <v>1.0</v>
      </c>
      <c r="G610" s="2">
        <v>750.0</v>
      </c>
      <c r="H610" s="5">
        <v>46105.0</v>
      </c>
      <c r="I610" s="2" t="s">
        <v>14</v>
      </c>
      <c r="L610" s="11"/>
      <c r="N610" s="11"/>
    </row>
    <row r="611" ht="22.5" hidden="1" customHeight="1">
      <c r="A611" s="2" t="s">
        <v>54</v>
      </c>
      <c r="B611" s="2" t="s">
        <v>377</v>
      </c>
      <c r="C611" s="2" t="s">
        <v>378</v>
      </c>
      <c r="D611" s="8" t="s">
        <v>46</v>
      </c>
      <c r="E611" s="9" t="s">
        <v>13</v>
      </c>
      <c r="F611" s="2">
        <v>1.0</v>
      </c>
      <c r="G611" s="2">
        <v>750.0</v>
      </c>
      <c r="H611" s="5">
        <v>46105.0</v>
      </c>
      <c r="I611" s="2" t="s">
        <v>14</v>
      </c>
      <c r="L611" s="11"/>
      <c r="N611" s="11"/>
    </row>
    <row r="612" ht="22.5" hidden="1" customHeight="1">
      <c r="A612" s="2" t="s">
        <v>54</v>
      </c>
      <c r="B612" s="2" t="s">
        <v>377</v>
      </c>
      <c r="C612" s="2" t="s">
        <v>378</v>
      </c>
      <c r="D612" s="8" t="s">
        <v>46</v>
      </c>
      <c r="E612" s="9" t="s">
        <v>18</v>
      </c>
      <c r="F612" s="2">
        <v>1.0</v>
      </c>
      <c r="G612" s="2">
        <v>750.0</v>
      </c>
      <c r="H612" s="5">
        <v>46105.0</v>
      </c>
      <c r="I612" s="2" t="s">
        <v>14</v>
      </c>
      <c r="L612" s="11"/>
      <c r="N612" s="11"/>
    </row>
    <row r="613" ht="22.5" hidden="1" customHeight="1">
      <c r="A613" s="2" t="s">
        <v>399</v>
      </c>
      <c r="B613" s="2" t="s">
        <v>377</v>
      </c>
      <c r="C613" s="2" t="s">
        <v>378</v>
      </c>
      <c r="D613" s="8" t="s">
        <v>46</v>
      </c>
      <c r="E613" s="9" t="s">
        <v>18</v>
      </c>
      <c r="F613" s="2">
        <v>1.0</v>
      </c>
      <c r="G613" s="2">
        <v>750.0</v>
      </c>
      <c r="H613" s="5">
        <v>46105.0</v>
      </c>
      <c r="I613" s="2" t="s">
        <v>14</v>
      </c>
      <c r="L613" s="11"/>
      <c r="N613" s="11"/>
    </row>
    <row r="614" ht="22.5" hidden="1" customHeight="1">
      <c r="A614" s="2" t="s">
        <v>399</v>
      </c>
      <c r="B614" s="2" t="s">
        <v>377</v>
      </c>
      <c r="C614" s="2" t="s">
        <v>378</v>
      </c>
      <c r="D614" s="8" t="s">
        <v>46</v>
      </c>
      <c r="E614" s="9" t="s">
        <v>13</v>
      </c>
      <c r="F614" s="2">
        <v>1.0</v>
      </c>
      <c r="G614" s="2">
        <v>750.0</v>
      </c>
      <c r="H614" s="5">
        <v>46105.0</v>
      </c>
      <c r="I614" s="2" t="s">
        <v>14</v>
      </c>
      <c r="L614" s="11"/>
      <c r="N614" s="11"/>
    </row>
    <row r="615" ht="22.5" hidden="1" customHeight="1">
      <c r="A615" s="2" t="s">
        <v>155</v>
      </c>
      <c r="B615" s="2" t="s">
        <v>377</v>
      </c>
      <c r="C615" s="2" t="s">
        <v>378</v>
      </c>
      <c r="D615" s="8" t="s">
        <v>46</v>
      </c>
      <c r="E615" s="9" t="s">
        <v>23</v>
      </c>
      <c r="F615" s="2">
        <v>2.0</v>
      </c>
      <c r="G615" s="2">
        <v>750.0</v>
      </c>
      <c r="H615" s="5">
        <v>46105.0</v>
      </c>
      <c r="I615" s="2" t="s">
        <v>14</v>
      </c>
      <c r="L615" s="11"/>
      <c r="N615" s="11"/>
    </row>
    <row r="616" ht="22.5" hidden="1" customHeight="1">
      <c r="A616" s="2" t="s">
        <v>155</v>
      </c>
      <c r="B616" s="2" t="s">
        <v>377</v>
      </c>
      <c r="C616" s="2" t="s">
        <v>378</v>
      </c>
      <c r="D616" s="8" t="s">
        <v>46</v>
      </c>
      <c r="E616" s="9" t="s">
        <v>13</v>
      </c>
      <c r="F616" s="2">
        <v>3.0</v>
      </c>
      <c r="G616" s="2">
        <v>750.0</v>
      </c>
      <c r="H616" s="5">
        <v>46105.0</v>
      </c>
      <c r="I616" s="2" t="s">
        <v>14</v>
      </c>
      <c r="L616" s="11"/>
      <c r="N616" s="11"/>
    </row>
    <row r="617" ht="22.5" hidden="1" customHeight="1">
      <c r="A617" s="2" t="s">
        <v>291</v>
      </c>
      <c r="B617" s="2" t="s">
        <v>377</v>
      </c>
      <c r="C617" s="2" t="s">
        <v>378</v>
      </c>
      <c r="D617" s="8" t="s">
        <v>46</v>
      </c>
      <c r="E617" s="9" t="s">
        <v>47</v>
      </c>
      <c r="F617" s="2">
        <v>1.0</v>
      </c>
      <c r="G617" s="2">
        <v>750.0</v>
      </c>
      <c r="H617" s="5">
        <v>46105.0</v>
      </c>
      <c r="I617" s="2" t="s">
        <v>14</v>
      </c>
      <c r="L617" s="11"/>
      <c r="N617" s="11"/>
    </row>
    <row r="618" ht="22.5" hidden="1" customHeight="1">
      <c r="A618" s="2" t="s">
        <v>291</v>
      </c>
      <c r="B618" s="2" t="s">
        <v>377</v>
      </c>
      <c r="C618" s="2" t="s">
        <v>378</v>
      </c>
      <c r="D618" s="8" t="s">
        <v>46</v>
      </c>
      <c r="E618" s="9" t="s">
        <v>18</v>
      </c>
      <c r="F618" s="2">
        <v>1.0</v>
      </c>
      <c r="G618" s="2">
        <v>750.0</v>
      </c>
      <c r="H618" s="5">
        <v>46105.0</v>
      </c>
      <c r="I618" s="2" t="s">
        <v>14</v>
      </c>
      <c r="L618" s="11"/>
      <c r="N618" s="11"/>
    </row>
    <row r="619" ht="22.5" hidden="1" customHeight="1">
      <c r="A619" s="2" t="s">
        <v>400</v>
      </c>
      <c r="B619" s="2" t="s">
        <v>377</v>
      </c>
      <c r="C619" s="2" t="s">
        <v>378</v>
      </c>
      <c r="D619" s="8" t="s">
        <v>46</v>
      </c>
      <c r="E619" s="9" t="s">
        <v>18</v>
      </c>
      <c r="F619" s="2">
        <v>1.0</v>
      </c>
      <c r="G619" s="2">
        <v>750.0</v>
      </c>
      <c r="H619" s="5">
        <v>46105.0</v>
      </c>
      <c r="I619" s="2" t="s">
        <v>14</v>
      </c>
      <c r="L619" s="11"/>
      <c r="N619" s="11"/>
    </row>
    <row r="620" ht="22.5" hidden="1" customHeight="1">
      <c r="A620" s="2" t="s">
        <v>400</v>
      </c>
      <c r="B620" s="2" t="s">
        <v>377</v>
      </c>
      <c r="C620" s="2" t="s">
        <v>378</v>
      </c>
      <c r="D620" s="8" t="s">
        <v>46</v>
      </c>
      <c r="E620" s="9" t="s">
        <v>23</v>
      </c>
      <c r="F620" s="2">
        <v>1.0</v>
      </c>
      <c r="G620" s="2">
        <v>750.0</v>
      </c>
      <c r="H620" s="5">
        <v>46105.0</v>
      </c>
      <c r="I620" s="2" t="s">
        <v>14</v>
      </c>
      <c r="L620" s="11"/>
      <c r="N620" s="11"/>
    </row>
    <row r="621" ht="22.5" hidden="1" customHeight="1">
      <c r="A621" s="2" t="s">
        <v>401</v>
      </c>
      <c r="B621" s="2" t="s">
        <v>377</v>
      </c>
      <c r="C621" s="2" t="s">
        <v>378</v>
      </c>
      <c r="D621" s="8" t="s">
        <v>46</v>
      </c>
      <c r="E621" s="9" t="s">
        <v>18</v>
      </c>
      <c r="F621" s="2">
        <v>1.0</v>
      </c>
      <c r="G621" s="2">
        <v>750.0</v>
      </c>
      <c r="H621" s="5">
        <v>46105.0</v>
      </c>
      <c r="I621" s="2" t="s">
        <v>14</v>
      </c>
      <c r="L621" s="11"/>
      <c r="N621" s="11"/>
    </row>
    <row r="622" ht="22.5" hidden="1" customHeight="1">
      <c r="A622" s="2" t="s">
        <v>401</v>
      </c>
      <c r="B622" s="2" t="s">
        <v>377</v>
      </c>
      <c r="C622" s="2" t="s">
        <v>378</v>
      </c>
      <c r="D622" s="8" t="s">
        <v>46</v>
      </c>
      <c r="E622" s="9" t="s">
        <v>13</v>
      </c>
      <c r="F622" s="2">
        <v>1.0</v>
      </c>
      <c r="G622" s="2">
        <v>750.0</v>
      </c>
      <c r="H622" s="5">
        <v>46105.0</v>
      </c>
      <c r="I622" s="2" t="s">
        <v>14</v>
      </c>
      <c r="L622" s="11"/>
      <c r="N622" s="11"/>
    </row>
    <row r="623" ht="22.5" hidden="1" customHeight="1">
      <c r="A623" s="2" t="s">
        <v>401</v>
      </c>
      <c r="B623" s="2" t="s">
        <v>377</v>
      </c>
      <c r="C623" s="2" t="s">
        <v>378</v>
      </c>
      <c r="D623" s="8" t="s">
        <v>46</v>
      </c>
      <c r="E623" s="9" t="s">
        <v>23</v>
      </c>
      <c r="F623" s="2">
        <v>1.0</v>
      </c>
      <c r="G623" s="2">
        <v>750.0</v>
      </c>
      <c r="H623" s="5">
        <v>46105.0</v>
      </c>
      <c r="I623" s="2" t="s">
        <v>14</v>
      </c>
      <c r="L623" s="11"/>
      <c r="N623" s="11"/>
    </row>
    <row r="624" ht="22.5" hidden="1" customHeight="1">
      <c r="A624" s="2" t="s">
        <v>401</v>
      </c>
      <c r="B624" s="2" t="s">
        <v>377</v>
      </c>
      <c r="C624" s="2" t="s">
        <v>378</v>
      </c>
      <c r="D624" s="8" t="s">
        <v>46</v>
      </c>
      <c r="E624" s="9" t="s">
        <v>47</v>
      </c>
      <c r="F624" s="2">
        <v>1.0</v>
      </c>
      <c r="G624" s="2">
        <v>750.0</v>
      </c>
      <c r="H624" s="5">
        <v>46105.0</v>
      </c>
      <c r="I624" s="2" t="s">
        <v>14</v>
      </c>
      <c r="L624" s="11"/>
      <c r="N624" s="11"/>
    </row>
    <row r="625" ht="22.5" hidden="1" customHeight="1">
      <c r="A625" s="2" t="s">
        <v>288</v>
      </c>
      <c r="B625" s="2" t="s">
        <v>377</v>
      </c>
      <c r="C625" s="2" t="s">
        <v>378</v>
      </c>
      <c r="D625" s="8" t="s">
        <v>46</v>
      </c>
      <c r="E625" s="9" t="s">
        <v>23</v>
      </c>
      <c r="F625" s="2">
        <v>1.0</v>
      </c>
      <c r="G625" s="2">
        <v>750.0</v>
      </c>
      <c r="H625" s="5">
        <v>46105.0</v>
      </c>
      <c r="I625" s="2" t="s">
        <v>14</v>
      </c>
      <c r="L625" s="11"/>
      <c r="N625" s="11"/>
    </row>
    <row r="626" ht="22.5" hidden="1" customHeight="1">
      <c r="A626" s="2" t="s">
        <v>288</v>
      </c>
      <c r="B626" s="2" t="s">
        <v>377</v>
      </c>
      <c r="C626" s="2" t="s">
        <v>378</v>
      </c>
      <c r="D626" s="8" t="s">
        <v>46</v>
      </c>
      <c r="E626" s="9" t="s">
        <v>47</v>
      </c>
      <c r="F626" s="2">
        <v>1.0</v>
      </c>
      <c r="G626" s="2">
        <v>750.0</v>
      </c>
      <c r="H626" s="5">
        <v>46105.0</v>
      </c>
      <c r="I626" s="2" t="s">
        <v>14</v>
      </c>
      <c r="L626" s="11"/>
      <c r="N626" s="11"/>
    </row>
    <row r="627" ht="22.5" hidden="1" customHeight="1">
      <c r="A627" s="2" t="s">
        <v>73</v>
      </c>
      <c r="B627" s="2" t="s">
        <v>377</v>
      </c>
      <c r="C627" s="2" t="s">
        <v>378</v>
      </c>
      <c r="D627" s="8" t="s">
        <v>46</v>
      </c>
      <c r="E627" s="9" t="s">
        <v>18</v>
      </c>
      <c r="F627" s="2">
        <v>1.0</v>
      </c>
      <c r="G627" s="2">
        <v>750.0</v>
      </c>
      <c r="H627" s="5">
        <v>46105.0</v>
      </c>
      <c r="I627" s="2" t="s">
        <v>14</v>
      </c>
      <c r="L627" s="11"/>
      <c r="N627" s="11"/>
    </row>
    <row r="628" ht="22.5" hidden="1" customHeight="1">
      <c r="A628" s="2" t="s">
        <v>73</v>
      </c>
      <c r="B628" s="2" t="s">
        <v>377</v>
      </c>
      <c r="C628" s="2" t="s">
        <v>378</v>
      </c>
      <c r="D628" s="8" t="s">
        <v>46</v>
      </c>
      <c r="E628" s="9" t="s">
        <v>13</v>
      </c>
      <c r="F628" s="2">
        <v>1.0</v>
      </c>
      <c r="G628" s="2">
        <v>750.0</v>
      </c>
      <c r="H628" s="5">
        <v>46105.0</v>
      </c>
      <c r="I628" s="2" t="s">
        <v>14</v>
      </c>
      <c r="L628" s="11"/>
      <c r="N628" s="11"/>
    </row>
    <row r="629" ht="22.5" hidden="1" customHeight="1">
      <c r="A629" s="2" t="s">
        <v>402</v>
      </c>
      <c r="B629" s="2" t="s">
        <v>377</v>
      </c>
      <c r="C629" s="2" t="s">
        <v>378</v>
      </c>
      <c r="D629" s="8" t="s">
        <v>46</v>
      </c>
      <c r="E629" s="9" t="s">
        <v>13</v>
      </c>
      <c r="F629" s="2">
        <v>1.0</v>
      </c>
      <c r="G629" s="2">
        <v>750.0</v>
      </c>
      <c r="H629" s="5">
        <v>46105.0</v>
      </c>
      <c r="I629" s="2" t="s">
        <v>14</v>
      </c>
      <c r="L629" s="11"/>
      <c r="N629" s="11"/>
    </row>
    <row r="630" ht="22.5" hidden="1" customHeight="1">
      <c r="A630" s="2" t="s">
        <v>402</v>
      </c>
      <c r="B630" s="2" t="s">
        <v>377</v>
      </c>
      <c r="C630" s="2" t="s">
        <v>378</v>
      </c>
      <c r="D630" s="8" t="s">
        <v>46</v>
      </c>
      <c r="E630" s="9" t="s">
        <v>18</v>
      </c>
      <c r="F630" s="2">
        <v>1.0</v>
      </c>
      <c r="G630" s="2">
        <v>750.0</v>
      </c>
      <c r="H630" s="5">
        <v>46105.0</v>
      </c>
      <c r="I630" s="2" t="s">
        <v>14</v>
      </c>
      <c r="L630" s="11"/>
      <c r="N630" s="11"/>
    </row>
    <row r="631" ht="22.5" hidden="1" customHeight="1">
      <c r="A631" s="2" t="s">
        <v>155</v>
      </c>
      <c r="B631" s="2" t="s">
        <v>377</v>
      </c>
      <c r="C631" s="2" t="s">
        <v>378</v>
      </c>
      <c r="D631" s="8" t="s">
        <v>46</v>
      </c>
      <c r="E631" s="9" t="s">
        <v>18</v>
      </c>
      <c r="F631" s="2">
        <v>1.0</v>
      </c>
      <c r="G631" s="2">
        <v>750.0</v>
      </c>
      <c r="H631" s="5">
        <v>46105.0</v>
      </c>
      <c r="I631" s="2" t="s">
        <v>14</v>
      </c>
      <c r="L631" s="11"/>
      <c r="N631" s="11"/>
    </row>
    <row r="632" ht="22.5" hidden="1" customHeight="1">
      <c r="A632" s="2" t="s">
        <v>125</v>
      </c>
      <c r="B632" s="2" t="s">
        <v>377</v>
      </c>
      <c r="C632" s="2" t="s">
        <v>378</v>
      </c>
      <c r="D632" s="8" t="s">
        <v>46</v>
      </c>
      <c r="E632" s="9" t="s">
        <v>18</v>
      </c>
      <c r="F632" s="2">
        <v>1.0</v>
      </c>
      <c r="G632" s="2">
        <v>750.0</v>
      </c>
      <c r="H632" s="5">
        <v>46105.0</v>
      </c>
      <c r="I632" s="2" t="s">
        <v>14</v>
      </c>
      <c r="L632" s="11"/>
      <c r="N632" s="11"/>
    </row>
    <row r="633" ht="22.5" hidden="1" customHeight="1">
      <c r="A633" s="2" t="s">
        <v>125</v>
      </c>
      <c r="B633" s="2" t="s">
        <v>377</v>
      </c>
      <c r="C633" s="2" t="s">
        <v>378</v>
      </c>
      <c r="D633" s="8" t="s">
        <v>46</v>
      </c>
      <c r="E633" s="9" t="s">
        <v>13</v>
      </c>
      <c r="F633" s="2">
        <v>1.0</v>
      </c>
      <c r="G633" s="2">
        <v>750.0</v>
      </c>
      <c r="H633" s="5">
        <v>46105.0</v>
      </c>
      <c r="I633" s="2" t="s">
        <v>14</v>
      </c>
      <c r="L633" s="11"/>
      <c r="N633" s="11"/>
    </row>
    <row r="634" ht="22.5" hidden="1" customHeight="1">
      <c r="A634" s="2" t="s">
        <v>99</v>
      </c>
      <c r="B634" s="2" t="s">
        <v>377</v>
      </c>
      <c r="C634" s="2" t="s">
        <v>378</v>
      </c>
      <c r="D634" s="8" t="s">
        <v>46</v>
      </c>
      <c r="E634" s="9" t="s">
        <v>13</v>
      </c>
      <c r="F634" s="2">
        <v>1.0</v>
      </c>
      <c r="G634" s="2">
        <v>750.0</v>
      </c>
      <c r="H634" s="5">
        <v>46105.0</v>
      </c>
      <c r="I634" s="2" t="s">
        <v>14</v>
      </c>
      <c r="L634" s="11"/>
      <c r="N634" s="11"/>
    </row>
    <row r="635" ht="22.5" hidden="1" customHeight="1">
      <c r="A635" s="2" t="s">
        <v>99</v>
      </c>
      <c r="B635" s="2" t="s">
        <v>377</v>
      </c>
      <c r="C635" s="2" t="s">
        <v>378</v>
      </c>
      <c r="D635" s="8" t="s">
        <v>46</v>
      </c>
      <c r="E635" s="9" t="s">
        <v>18</v>
      </c>
      <c r="F635" s="2">
        <v>1.0</v>
      </c>
      <c r="G635" s="2">
        <v>750.0</v>
      </c>
      <c r="H635" s="5">
        <v>46105.0</v>
      </c>
      <c r="I635" s="2" t="s">
        <v>14</v>
      </c>
      <c r="L635" s="11"/>
      <c r="N635" s="11"/>
    </row>
    <row r="636" ht="22.5" hidden="1" customHeight="1">
      <c r="A636" s="2" t="s">
        <v>403</v>
      </c>
      <c r="B636" s="2" t="s">
        <v>377</v>
      </c>
      <c r="C636" s="2" t="s">
        <v>378</v>
      </c>
      <c r="D636" s="8" t="s">
        <v>46</v>
      </c>
      <c r="E636" s="9" t="s">
        <v>13</v>
      </c>
      <c r="F636" s="2">
        <v>1.0</v>
      </c>
      <c r="G636" s="2">
        <v>750.0</v>
      </c>
      <c r="H636" s="5">
        <v>46105.0</v>
      </c>
      <c r="I636" s="2" t="s">
        <v>14</v>
      </c>
      <c r="L636" s="11"/>
      <c r="N636" s="11"/>
    </row>
    <row r="637" ht="22.5" hidden="1" customHeight="1">
      <c r="A637" s="2" t="s">
        <v>403</v>
      </c>
      <c r="B637" s="2" t="s">
        <v>377</v>
      </c>
      <c r="C637" s="2" t="s">
        <v>378</v>
      </c>
      <c r="D637" s="8" t="s">
        <v>46</v>
      </c>
      <c r="E637" s="9" t="s">
        <v>47</v>
      </c>
      <c r="F637" s="2">
        <v>1.0</v>
      </c>
      <c r="G637" s="2">
        <v>750.0</v>
      </c>
      <c r="H637" s="5">
        <v>46105.0</v>
      </c>
      <c r="I637" s="2" t="s">
        <v>14</v>
      </c>
      <c r="J637" s="2"/>
      <c r="L637" s="11"/>
      <c r="N637" s="11"/>
    </row>
    <row r="638" ht="22.5" hidden="1" customHeight="1">
      <c r="A638" s="2" t="s">
        <v>404</v>
      </c>
      <c r="B638" s="2" t="s">
        <v>377</v>
      </c>
      <c r="C638" s="2" t="s">
        <v>378</v>
      </c>
      <c r="D638" s="8" t="s">
        <v>46</v>
      </c>
      <c r="E638" s="9" t="s">
        <v>18</v>
      </c>
      <c r="F638" s="2">
        <v>1.0</v>
      </c>
      <c r="G638" s="2">
        <v>750.0</v>
      </c>
      <c r="H638" s="5">
        <v>46105.0</v>
      </c>
      <c r="I638" s="2" t="s">
        <v>14</v>
      </c>
      <c r="J638" s="12" t="s">
        <v>405</v>
      </c>
      <c r="L638" s="11"/>
      <c r="N638" s="11"/>
    </row>
    <row r="639" ht="22.5" hidden="1" customHeight="1">
      <c r="A639" s="2" t="s">
        <v>404</v>
      </c>
      <c r="B639" s="2" t="s">
        <v>377</v>
      </c>
      <c r="C639" s="2" t="s">
        <v>378</v>
      </c>
      <c r="D639" s="8" t="s">
        <v>46</v>
      </c>
      <c r="E639" s="9" t="s">
        <v>13</v>
      </c>
      <c r="F639" s="2">
        <v>1.0</v>
      </c>
      <c r="G639" s="2">
        <v>750.0</v>
      </c>
      <c r="H639" s="5">
        <v>46105.0</v>
      </c>
      <c r="I639" s="2" t="s">
        <v>14</v>
      </c>
      <c r="L639" s="11"/>
      <c r="N639" s="11"/>
    </row>
    <row r="640" ht="22.5" hidden="1" customHeight="1">
      <c r="A640" s="2" t="s">
        <v>404</v>
      </c>
      <c r="B640" s="2" t="s">
        <v>377</v>
      </c>
      <c r="C640" s="2" t="s">
        <v>378</v>
      </c>
      <c r="D640" s="8" t="s">
        <v>46</v>
      </c>
      <c r="E640" s="9" t="s">
        <v>23</v>
      </c>
      <c r="F640" s="2">
        <v>1.0</v>
      </c>
      <c r="G640" s="2">
        <v>750.0</v>
      </c>
      <c r="H640" s="5">
        <v>46105.0</v>
      </c>
      <c r="I640" s="2" t="s">
        <v>14</v>
      </c>
      <c r="L640" s="11"/>
      <c r="N640" s="11"/>
    </row>
    <row r="641" ht="22.5" hidden="1" customHeight="1">
      <c r="A641" s="2" t="s">
        <v>404</v>
      </c>
      <c r="B641" s="2" t="s">
        <v>377</v>
      </c>
      <c r="C641" s="2" t="s">
        <v>378</v>
      </c>
      <c r="D641" s="8" t="s">
        <v>46</v>
      </c>
      <c r="E641" s="9" t="s">
        <v>47</v>
      </c>
      <c r="F641" s="2">
        <v>1.0</v>
      </c>
      <c r="G641" s="2">
        <v>750.0</v>
      </c>
      <c r="H641" s="5">
        <v>46105.0</v>
      </c>
      <c r="I641" s="2" t="s">
        <v>14</v>
      </c>
      <c r="L641" s="11"/>
      <c r="N641" s="11"/>
    </row>
    <row r="642" ht="22.5" hidden="1" customHeight="1">
      <c r="A642" s="2" t="s">
        <v>63</v>
      </c>
      <c r="B642" s="2" t="s">
        <v>377</v>
      </c>
      <c r="C642" s="2" t="s">
        <v>378</v>
      </c>
      <c r="D642" s="8" t="s">
        <v>46</v>
      </c>
      <c r="E642" s="9" t="s">
        <v>13</v>
      </c>
      <c r="F642" s="2">
        <v>1.0</v>
      </c>
      <c r="G642" s="2">
        <v>750.0</v>
      </c>
      <c r="H642" s="5">
        <v>46105.0</v>
      </c>
      <c r="I642" s="2" t="s">
        <v>14</v>
      </c>
      <c r="L642" s="11"/>
      <c r="N642" s="11"/>
    </row>
    <row r="643" ht="22.5" hidden="1" customHeight="1">
      <c r="A643" s="2" t="s">
        <v>63</v>
      </c>
      <c r="B643" s="2" t="s">
        <v>377</v>
      </c>
      <c r="C643" s="2" t="s">
        <v>378</v>
      </c>
      <c r="D643" s="8" t="s">
        <v>46</v>
      </c>
      <c r="E643" s="9" t="s">
        <v>18</v>
      </c>
      <c r="F643" s="2">
        <v>1.0</v>
      </c>
      <c r="G643" s="2">
        <v>750.0</v>
      </c>
      <c r="H643" s="5">
        <v>46105.0</v>
      </c>
      <c r="I643" s="2" t="s">
        <v>14</v>
      </c>
      <c r="L643" s="11"/>
      <c r="N643" s="11"/>
    </row>
    <row r="644" ht="22.5" hidden="1" customHeight="1">
      <c r="A644" s="2" t="s">
        <v>406</v>
      </c>
      <c r="B644" s="2" t="s">
        <v>377</v>
      </c>
      <c r="C644" s="2" t="s">
        <v>378</v>
      </c>
      <c r="D644" s="8" t="s">
        <v>46</v>
      </c>
      <c r="E644" s="9" t="s">
        <v>13</v>
      </c>
      <c r="F644" s="2">
        <v>1.0</v>
      </c>
      <c r="G644" s="2">
        <v>750.0</v>
      </c>
      <c r="H644" s="5">
        <v>46105.0</v>
      </c>
      <c r="I644" s="2" t="s">
        <v>14</v>
      </c>
      <c r="L644" s="11"/>
      <c r="N644" s="11"/>
    </row>
    <row r="645" ht="22.5" hidden="1" customHeight="1">
      <c r="A645" s="2" t="s">
        <v>406</v>
      </c>
      <c r="B645" s="2" t="s">
        <v>377</v>
      </c>
      <c r="C645" s="2" t="s">
        <v>378</v>
      </c>
      <c r="D645" s="8" t="s">
        <v>46</v>
      </c>
      <c r="E645" s="9" t="s">
        <v>18</v>
      </c>
      <c r="F645" s="2">
        <v>1.0</v>
      </c>
      <c r="G645" s="2">
        <v>750.0</v>
      </c>
      <c r="H645" s="5">
        <v>46105.0</v>
      </c>
      <c r="I645" s="2" t="s">
        <v>14</v>
      </c>
      <c r="L645" s="11"/>
      <c r="N645" s="11"/>
    </row>
    <row r="646" ht="22.5" hidden="1" customHeight="1">
      <c r="A646" s="2" t="s">
        <v>248</v>
      </c>
      <c r="B646" s="2" t="s">
        <v>377</v>
      </c>
      <c r="C646" s="2" t="s">
        <v>378</v>
      </c>
      <c r="D646" s="8" t="s">
        <v>46</v>
      </c>
      <c r="E646" s="9" t="s">
        <v>23</v>
      </c>
      <c r="F646" s="2">
        <v>1.0</v>
      </c>
      <c r="G646" s="2">
        <v>750.0</v>
      </c>
      <c r="H646" s="5">
        <v>46105.0</v>
      </c>
      <c r="I646" s="2" t="s">
        <v>14</v>
      </c>
      <c r="L646" s="11"/>
      <c r="N646" s="11"/>
    </row>
    <row r="647" ht="22.5" hidden="1" customHeight="1">
      <c r="A647" s="2" t="s">
        <v>248</v>
      </c>
      <c r="B647" s="2" t="s">
        <v>377</v>
      </c>
      <c r="C647" s="2" t="s">
        <v>378</v>
      </c>
      <c r="D647" s="8" t="s">
        <v>46</v>
      </c>
      <c r="E647" s="9" t="s">
        <v>47</v>
      </c>
      <c r="F647" s="2">
        <v>1.0</v>
      </c>
      <c r="G647" s="2">
        <v>750.0</v>
      </c>
      <c r="H647" s="5">
        <v>46105.0</v>
      </c>
      <c r="I647" s="2" t="s">
        <v>14</v>
      </c>
      <c r="L647" s="11"/>
      <c r="N647" s="11"/>
    </row>
    <row r="648" ht="22.5" hidden="1" customHeight="1">
      <c r="A648" s="2" t="s">
        <v>50</v>
      </c>
      <c r="B648" s="2" t="s">
        <v>377</v>
      </c>
      <c r="C648" s="2" t="s">
        <v>378</v>
      </c>
      <c r="D648" s="8" t="s">
        <v>46</v>
      </c>
      <c r="E648" s="9" t="s">
        <v>13</v>
      </c>
      <c r="F648" s="2">
        <v>1.0</v>
      </c>
      <c r="G648" s="2">
        <v>750.0</v>
      </c>
      <c r="H648" s="5">
        <v>46105.0</v>
      </c>
      <c r="I648" s="2" t="s">
        <v>14</v>
      </c>
      <c r="L648" s="11"/>
      <c r="N648" s="11"/>
    </row>
    <row r="649" ht="22.5" hidden="1" customHeight="1">
      <c r="A649" s="2" t="s">
        <v>50</v>
      </c>
      <c r="B649" s="2" t="s">
        <v>377</v>
      </c>
      <c r="C649" s="2" t="s">
        <v>378</v>
      </c>
      <c r="D649" s="8" t="s">
        <v>46</v>
      </c>
      <c r="E649" s="9" t="s">
        <v>18</v>
      </c>
      <c r="F649" s="2">
        <v>1.0</v>
      </c>
      <c r="G649" s="2">
        <v>750.0</v>
      </c>
      <c r="H649" s="5">
        <v>46105.0</v>
      </c>
      <c r="I649" s="2" t="s">
        <v>14</v>
      </c>
      <c r="L649" s="11"/>
      <c r="N649" s="11"/>
    </row>
    <row r="650" ht="22.5" hidden="1" customHeight="1">
      <c r="A650" s="2" t="s">
        <v>80</v>
      </c>
      <c r="B650" s="2" t="s">
        <v>377</v>
      </c>
      <c r="C650" s="2" t="s">
        <v>378</v>
      </c>
      <c r="D650" s="8" t="s">
        <v>46</v>
      </c>
      <c r="E650" s="9" t="s">
        <v>18</v>
      </c>
      <c r="F650" s="2">
        <v>1.0</v>
      </c>
      <c r="G650" s="2">
        <v>750.0</v>
      </c>
      <c r="H650" s="5">
        <v>46105.0</v>
      </c>
      <c r="I650" s="2" t="s">
        <v>14</v>
      </c>
      <c r="L650" s="11"/>
      <c r="N650" s="11"/>
    </row>
    <row r="651" ht="22.5" hidden="1" customHeight="1">
      <c r="A651" s="2" t="s">
        <v>80</v>
      </c>
      <c r="B651" s="2" t="s">
        <v>377</v>
      </c>
      <c r="C651" s="2" t="s">
        <v>378</v>
      </c>
      <c r="D651" s="8" t="s">
        <v>46</v>
      </c>
      <c r="E651" s="9" t="s">
        <v>13</v>
      </c>
      <c r="F651" s="2">
        <v>1.0</v>
      </c>
      <c r="G651" s="2">
        <v>750.0</v>
      </c>
      <c r="H651" s="5">
        <v>46105.0</v>
      </c>
      <c r="I651" s="2" t="s">
        <v>14</v>
      </c>
      <c r="L651" s="11"/>
      <c r="N651" s="11"/>
    </row>
    <row r="652" ht="22.5" hidden="1" customHeight="1">
      <c r="A652" s="2" t="s">
        <v>407</v>
      </c>
      <c r="B652" s="2" t="s">
        <v>377</v>
      </c>
      <c r="C652" s="2" t="s">
        <v>378</v>
      </c>
      <c r="D652" s="8" t="s">
        <v>46</v>
      </c>
      <c r="E652" s="9" t="s">
        <v>13</v>
      </c>
      <c r="F652" s="2">
        <v>1.0</v>
      </c>
      <c r="G652" s="2">
        <v>750.0</v>
      </c>
      <c r="H652" s="5">
        <v>46105.0</v>
      </c>
      <c r="I652" s="2" t="s">
        <v>14</v>
      </c>
      <c r="L652" s="11"/>
      <c r="N652" s="11"/>
    </row>
    <row r="653" ht="22.5" hidden="1" customHeight="1">
      <c r="A653" s="2" t="s">
        <v>407</v>
      </c>
      <c r="B653" s="2" t="s">
        <v>377</v>
      </c>
      <c r="C653" s="2" t="s">
        <v>378</v>
      </c>
      <c r="D653" s="8" t="s">
        <v>46</v>
      </c>
      <c r="E653" s="9" t="s">
        <v>23</v>
      </c>
      <c r="F653" s="2">
        <v>1.0</v>
      </c>
      <c r="G653" s="2">
        <v>750.0</v>
      </c>
      <c r="H653" s="5">
        <v>46105.0</v>
      </c>
      <c r="I653" s="2" t="s">
        <v>14</v>
      </c>
      <c r="L653" s="11"/>
      <c r="N653" s="11"/>
    </row>
    <row r="654" ht="22.5" hidden="1" customHeight="1">
      <c r="A654" s="2" t="s">
        <v>408</v>
      </c>
      <c r="B654" s="2" t="s">
        <v>377</v>
      </c>
      <c r="C654" s="2" t="s">
        <v>378</v>
      </c>
      <c r="D654" s="8" t="s">
        <v>46</v>
      </c>
      <c r="E654" s="9" t="s">
        <v>13</v>
      </c>
      <c r="F654" s="2">
        <v>1.0</v>
      </c>
      <c r="G654" s="2">
        <v>750.0</v>
      </c>
      <c r="H654" s="5">
        <v>46105.0</v>
      </c>
      <c r="I654" s="2" t="s">
        <v>14</v>
      </c>
      <c r="L654" s="11"/>
      <c r="N654" s="11"/>
    </row>
    <row r="655" ht="22.5" hidden="1" customHeight="1">
      <c r="A655" s="2" t="s">
        <v>408</v>
      </c>
      <c r="B655" s="2" t="s">
        <v>377</v>
      </c>
      <c r="C655" s="2" t="s">
        <v>378</v>
      </c>
      <c r="D655" s="8" t="s">
        <v>46</v>
      </c>
      <c r="E655" s="9" t="s">
        <v>23</v>
      </c>
      <c r="F655" s="2">
        <v>1.0</v>
      </c>
      <c r="G655" s="2">
        <v>750.0</v>
      </c>
      <c r="H655" s="5">
        <v>46105.0</v>
      </c>
      <c r="I655" s="2" t="s">
        <v>14</v>
      </c>
      <c r="L655" s="11"/>
      <c r="N655" s="11"/>
    </row>
    <row r="656" ht="22.5" hidden="1" customHeight="1">
      <c r="A656" s="2" t="s">
        <v>252</v>
      </c>
      <c r="B656" s="2" t="s">
        <v>377</v>
      </c>
      <c r="C656" s="2" t="s">
        <v>378</v>
      </c>
      <c r="D656" s="8" t="s">
        <v>46</v>
      </c>
      <c r="E656" s="9" t="s">
        <v>13</v>
      </c>
      <c r="F656" s="2">
        <v>1.0</v>
      </c>
      <c r="G656" s="2">
        <v>750.0</v>
      </c>
      <c r="H656" s="5">
        <v>46105.0</v>
      </c>
      <c r="I656" s="2" t="s">
        <v>14</v>
      </c>
      <c r="L656" s="11"/>
      <c r="N656" s="11"/>
    </row>
    <row r="657" ht="22.5" hidden="1" customHeight="1">
      <c r="A657" s="2" t="s">
        <v>252</v>
      </c>
      <c r="B657" s="2" t="s">
        <v>377</v>
      </c>
      <c r="C657" s="2" t="s">
        <v>378</v>
      </c>
      <c r="D657" s="8" t="s">
        <v>46</v>
      </c>
      <c r="E657" s="9" t="s">
        <v>18</v>
      </c>
      <c r="F657" s="2">
        <v>1.0</v>
      </c>
      <c r="G657" s="2">
        <v>750.0</v>
      </c>
      <c r="H657" s="5">
        <v>46105.0</v>
      </c>
      <c r="I657" s="2" t="s">
        <v>14</v>
      </c>
      <c r="L657" s="11"/>
      <c r="N657" s="11"/>
    </row>
    <row r="658" ht="22.5" hidden="1" customHeight="1">
      <c r="A658" s="2" t="s">
        <v>409</v>
      </c>
      <c r="B658" s="2" t="s">
        <v>377</v>
      </c>
      <c r="C658" s="2" t="s">
        <v>378</v>
      </c>
      <c r="D658" s="8" t="s">
        <v>46</v>
      </c>
      <c r="E658" s="9" t="s">
        <v>47</v>
      </c>
      <c r="F658" s="2">
        <v>1.0</v>
      </c>
      <c r="G658" s="2">
        <v>750.0</v>
      </c>
      <c r="H658" s="5">
        <v>46105.0</v>
      </c>
      <c r="I658" s="2" t="s">
        <v>14</v>
      </c>
      <c r="L658" s="11"/>
      <c r="N658" s="11"/>
    </row>
    <row r="659" ht="22.5" hidden="1" customHeight="1">
      <c r="A659" s="2" t="s">
        <v>409</v>
      </c>
      <c r="B659" s="2" t="s">
        <v>377</v>
      </c>
      <c r="C659" s="2" t="s">
        <v>378</v>
      </c>
      <c r="D659" s="8" t="s">
        <v>46</v>
      </c>
      <c r="E659" s="9" t="s">
        <v>23</v>
      </c>
      <c r="F659" s="2">
        <v>1.0</v>
      </c>
      <c r="G659" s="2">
        <v>750.0</v>
      </c>
      <c r="H659" s="5">
        <v>46105.0</v>
      </c>
      <c r="I659" s="2" t="s">
        <v>14</v>
      </c>
      <c r="L659" s="11"/>
      <c r="N659" s="11"/>
    </row>
    <row r="660" ht="22.5" hidden="1" customHeight="1">
      <c r="A660" s="2" t="s">
        <v>410</v>
      </c>
      <c r="B660" s="2" t="s">
        <v>377</v>
      </c>
      <c r="C660" s="2" t="s">
        <v>378</v>
      </c>
      <c r="D660" s="8" t="s">
        <v>46</v>
      </c>
      <c r="E660" s="9" t="s">
        <v>13</v>
      </c>
      <c r="F660" s="2">
        <v>1.0</v>
      </c>
      <c r="G660" s="2">
        <v>750.0</v>
      </c>
      <c r="H660" s="5">
        <v>46105.0</v>
      </c>
      <c r="I660" s="2" t="s">
        <v>14</v>
      </c>
      <c r="J660" s="12" t="s">
        <v>411</v>
      </c>
      <c r="L660" s="11"/>
      <c r="N660" s="11"/>
    </row>
    <row r="661" ht="22.5" hidden="1" customHeight="1">
      <c r="A661" s="2" t="s">
        <v>410</v>
      </c>
      <c r="B661" s="2" t="s">
        <v>377</v>
      </c>
      <c r="C661" s="2" t="s">
        <v>378</v>
      </c>
      <c r="D661" s="8" t="s">
        <v>46</v>
      </c>
      <c r="E661" s="9" t="s">
        <v>18</v>
      </c>
      <c r="F661" s="2">
        <v>1.0</v>
      </c>
      <c r="G661" s="2">
        <v>750.0</v>
      </c>
      <c r="H661" s="5">
        <v>46105.0</v>
      </c>
      <c r="I661" s="2" t="s">
        <v>14</v>
      </c>
      <c r="L661" s="11"/>
      <c r="N661" s="11"/>
    </row>
    <row r="662" ht="22.5" hidden="1" customHeight="1">
      <c r="A662" s="2" t="s">
        <v>412</v>
      </c>
      <c r="B662" s="2" t="s">
        <v>268</v>
      </c>
      <c r="C662" s="2" t="s">
        <v>269</v>
      </c>
      <c r="D662" s="8">
        <v>36.0</v>
      </c>
      <c r="E662" s="9" t="s">
        <v>47</v>
      </c>
      <c r="F662" s="33">
        <v>1.0</v>
      </c>
      <c r="G662" s="33">
        <v>1990.0</v>
      </c>
      <c r="H662" s="5">
        <v>46106.0</v>
      </c>
      <c r="I662" s="2" t="s">
        <v>14</v>
      </c>
      <c r="J662" s="12" t="s">
        <v>413</v>
      </c>
    </row>
    <row r="663" ht="22.5" hidden="1" customHeight="1">
      <c r="A663" s="2" t="s">
        <v>247</v>
      </c>
      <c r="B663" s="2" t="s">
        <v>414</v>
      </c>
      <c r="C663" s="2">
        <v>6866.0</v>
      </c>
      <c r="D663" s="8" t="s">
        <v>46</v>
      </c>
      <c r="E663" s="9" t="s">
        <v>415</v>
      </c>
      <c r="F663" s="33">
        <v>1.0</v>
      </c>
      <c r="G663" s="33">
        <v>2900.0</v>
      </c>
      <c r="H663" s="5">
        <v>46109.0</v>
      </c>
      <c r="I663" s="2" t="s">
        <v>24</v>
      </c>
      <c r="J663" s="12" t="s">
        <v>416</v>
      </c>
    </row>
    <row r="664" ht="22.5" hidden="1" customHeight="1">
      <c r="A664" s="2" t="s">
        <v>73</v>
      </c>
      <c r="B664" s="2" t="s">
        <v>414</v>
      </c>
      <c r="C664" s="2">
        <v>6866.0</v>
      </c>
      <c r="D664" s="8" t="s">
        <v>46</v>
      </c>
      <c r="E664" s="9" t="s">
        <v>415</v>
      </c>
      <c r="F664" s="33">
        <v>1.0</v>
      </c>
      <c r="G664" s="33">
        <v>2900.0</v>
      </c>
      <c r="H664" s="5">
        <v>46109.0</v>
      </c>
      <c r="I664" s="2" t="s">
        <v>24</v>
      </c>
      <c r="J664" s="12" t="s">
        <v>417</v>
      </c>
    </row>
    <row r="665" ht="22.5" hidden="1" customHeight="1">
      <c r="A665" s="2" t="s">
        <v>418</v>
      </c>
      <c r="B665" s="2" t="s">
        <v>414</v>
      </c>
      <c r="C665" s="2">
        <v>6866.0</v>
      </c>
      <c r="D665" s="8" t="s">
        <v>46</v>
      </c>
      <c r="E665" s="9" t="s">
        <v>415</v>
      </c>
      <c r="F665" s="33">
        <v>1.0</v>
      </c>
      <c r="G665" s="33">
        <v>2900.0</v>
      </c>
      <c r="H665" s="5">
        <v>46109.0</v>
      </c>
      <c r="I665" s="2" t="s">
        <v>24</v>
      </c>
      <c r="J665" s="12" t="s">
        <v>419</v>
      </c>
    </row>
    <row r="666" ht="22.5" hidden="1" customHeight="1">
      <c r="A666" s="2" t="s">
        <v>55</v>
      </c>
      <c r="B666" s="2" t="s">
        <v>414</v>
      </c>
      <c r="C666" s="2">
        <v>6866.0</v>
      </c>
      <c r="D666" s="8" t="s">
        <v>46</v>
      </c>
      <c r="E666" s="9" t="s">
        <v>415</v>
      </c>
      <c r="F666" s="33">
        <v>1.0</v>
      </c>
      <c r="G666" s="33">
        <v>2900.0</v>
      </c>
      <c r="H666" s="5">
        <v>46109.0</v>
      </c>
      <c r="I666" s="2" t="s">
        <v>24</v>
      </c>
      <c r="J666" s="12" t="s">
        <v>420</v>
      </c>
    </row>
    <row r="667" ht="22.5" hidden="1" customHeight="1">
      <c r="A667" s="2" t="s">
        <v>421</v>
      </c>
      <c r="B667" s="2" t="s">
        <v>414</v>
      </c>
      <c r="C667" s="2">
        <v>6866.0</v>
      </c>
      <c r="D667" s="8" t="s">
        <v>46</v>
      </c>
      <c r="E667" s="9" t="s">
        <v>415</v>
      </c>
      <c r="F667" s="33">
        <v>1.0</v>
      </c>
      <c r="G667" s="33">
        <v>2900.0</v>
      </c>
      <c r="H667" s="5">
        <v>46109.0</v>
      </c>
      <c r="I667" s="2" t="s">
        <v>24</v>
      </c>
      <c r="J667" s="12" t="s">
        <v>419</v>
      </c>
    </row>
    <row r="668" ht="22.5" hidden="1" customHeight="1">
      <c r="A668" s="2" t="s">
        <v>383</v>
      </c>
      <c r="B668" s="2" t="s">
        <v>414</v>
      </c>
      <c r="C668" s="2">
        <v>6866.0</v>
      </c>
      <c r="D668" s="8" t="s">
        <v>46</v>
      </c>
      <c r="E668" s="9" t="s">
        <v>415</v>
      </c>
      <c r="F668" s="33">
        <v>1.0</v>
      </c>
      <c r="G668" s="33">
        <v>2900.0</v>
      </c>
      <c r="H668" s="5">
        <v>46109.0</v>
      </c>
      <c r="I668" s="2" t="s">
        <v>24</v>
      </c>
      <c r="J668" s="12" t="s">
        <v>422</v>
      </c>
    </row>
    <row r="669" ht="22.5" hidden="1" customHeight="1">
      <c r="A669" s="2" t="s">
        <v>423</v>
      </c>
      <c r="B669" s="2" t="s">
        <v>414</v>
      </c>
      <c r="C669" s="2">
        <v>6866.0</v>
      </c>
      <c r="D669" s="8" t="s">
        <v>46</v>
      </c>
      <c r="E669" s="9" t="s">
        <v>415</v>
      </c>
      <c r="F669" s="33">
        <v>1.0</v>
      </c>
      <c r="G669" s="33">
        <v>2900.0</v>
      </c>
      <c r="H669" s="5">
        <v>46109.0</v>
      </c>
      <c r="I669" s="2" t="s">
        <v>24</v>
      </c>
      <c r="J669" s="12" t="s">
        <v>419</v>
      </c>
    </row>
    <row r="670" ht="22.5" hidden="1" customHeight="1">
      <c r="A670" s="2" t="s">
        <v>424</v>
      </c>
      <c r="B670" s="2" t="s">
        <v>414</v>
      </c>
      <c r="C670" s="2">
        <v>6866.0</v>
      </c>
      <c r="D670" s="8" t="s">
        <v>46</v>
      </c>
      <c r="E670" s="9" t="s">
        <v>415</v>
      </c>
      <c r="F670" s="33">
        <v>1.0</v>
      </c>
      <c r="G670" s="33">
        <v>2900.0</v>
      </c>
      <c r="H670" s="5">
        <v>46109.0</v>
      </c>
      <c r="I670" s="2" t="s">
        <v>24</v>
      </c>
      <c r="J670" s="12" t="s">
        <v>425</v>
      </c>
    </row>
    <row r="671" ht="22.5" hidden="1" customHeight="1">
      <c r="A671" s="2" t="s">
        <v>426</v>
      </c>
      <c r="B671" s="2" t="s">
        <v>414</v>
      </c>
      <c r="C671" s="2">
        <v>6866.0</v>
      </c>
      <c r="D671" s="8" t="s">
        <v>46</v>
      </c>
      <c r="E671" s="9" t="s">
        <v>415</v>
      </c>
      <c r="F671" s="33">
        <v>1.0</v>
      </c>
      <c r="G671" s="33">
        <v>2900.0</v>
      </c>
      <c r="H671" s="5">
        <v>46109.0</v>
      </c>
      <c r="I671" s="2" t="s">
        <v>24</v>
      </c>
      <c r="J671" s="12" t="s">
        <v>427</v>
      </c>
    </row>
    <row r="672" ht="22.5" hidden="1" customHeight="1">
      <c r="A672" s="2" t="s">
        <v>428</v>
      </c>
      <c r="B672" s="2" t="s">
        <v>414</v>
      </c>
      <c r="C672" s="2">
        <v>6866.0</v>
      </c>
      <c r="D672" s="8" t="s">
        <v>46</v>
      </c>
      <c r="E672" s="9" t="s">
        <v>415</v>
      </c>
      <c r="F672" s="33">
        <v>1.0</v>
      </c>
      <c r="G672" s="33">
        <v>2900.0</v>
      </c>
      <c r="H672" s="5">
        <v>46109.0</v>
      </c>
      <c r="I672" s="2" t="s">
        <v>24</v>
      </c>
      <c r="J672" s="12" t="s">
        <v>429</v>
      </c>
    </row>
    <row r="673" ht="22.5" hidden="1" customHeight="1">
      <c r="A673" s="2" t="s">
        <v>430</v>
      </c>
      <c r="B673" s="2" t="s">
        <v>414</v>
      </c>
      <c r="C673" s="2">
        <v>6866.0</v>
      </c>
      <c r="D673" s="8" t="s">
        <v>46</v>
      </c>
      <c r="E673" s="9" t="s">
        <v>415</v>
      </c>
      <c r="F673" s="33">
        <v>1.0</v>
      </c>
      <c r="G673" s="33">
        <v>2900.0</v>
      </c>
      <c r="H673" s="5">
        <v>46109.0</v>
      </c>
      <c r="I673" s="2" t="s">
        <v>24</v>
      </c>
      <c r="J673" s="12" t="s">
        <v>431</v>
      </c>
    </row>
    <row r="674" ht="22.5" hidden="1" customHeight="1">
      <c r="A674" s="2" t="s">
        <v>432</v>
      </c>
      <c r="B674" s="2" t="s">
        <v>414</v>
      </c>
      <c r="C674" s="2">
        <v>6866.0</v>
      </c>
      <c r="D674" s="8" t="s">
        <v>46</v>
      </c>
      <c r="E674" s="9" t="s">
        <v>415</v>
      </c>
      <c r="F674" s="33">
        <v>1.0</v>
      </c>
      <c r="G674" s="33">
        <v>2900.0</v>
      </c>
      <c r="H674" s="5">
        <v>46109.0</v>
      </c>
      <c r="I674" s="2" t="s">
        <v>24</v>
      </c>
      <c r="J674" s="12" t="s">
        <v>433</v>
      </c>
    </row>
    <row r="675" ht="22.5" hidden="1" customHeight="1">
      <c r="A675" s="2" t="s">
        <v>434</v>
      </c>
      <c r="B675" s="2" t="s">
        <v>414</v>
      </c>
      <c r="C675" s="2">
        <v>6866.0</v>
      </c>
      <c r="D675" s="8" t="s">
        <v>46</v>
      </c>
      <c r="E675" s="9" t="s">
        <v>415</v>
      </c>
      <c r="F675" s="33">
        <v>1.0</v>
      </c>
      <c r="G675" s="33">
        <v>2900.0</v>
      </c>
      <c r="H675" s="5">
        <v>46109.0</v>
      </c>
      <c r="I675" s="2" t="s">
        <v>24</v>
      </c>
      <c r="J675" s="12" t="s">
        <v>435</v>
      </c>
    </row>
    <row r="676" ht="22.5" hidden="1" customHeight="1">
      <c r="A676" s="2" t="s">
        <v>358</v>
      </c>
      <c r="B676" s="2" t="s">
        <v>414</v>
      </c>
      <c r="C676" s="2">
        <v>6866.0</v>
      </c>
      <c r="D676" s="8" t="s">
        <v>46</v>
      </c>
      <c r="E676" s="9" t="s">
        <v>415</v>
      </c>
      <c r="F676" s="33">
        <v>1.0</v>
      </c>
      <c r="G676" s="33">
        <v>2900.0</v>
      </c>
      <c r="H676" s="5">
        <v>46109.0</v>
      </c>
      <c r="I676" s="2" t="s">
        <v>24</v>
      </c>
      <c r="J676" s="12" t="s">
        <v>436</v>
      </c>
    </row>
    <row r="677" ht="22.5" hidden="1" customHeight="1">
      <c r="A677" s="2" t="s">
        <v>437</v>
      </c>
      <c r="B677" s="2" t="s">
        <v>414</v>
      </c>
      <c r="C677" s="2">
        <v>6866.0</v>
      </c>
      <c r="D677" s="8" t="s">
        <v>46</v>
      </c>
      <c r="E677" s="9" t="s">
        <v>415</v>
      </c>
      <c r="F677" s="33">
        <v>1.0</v>
      </c>
      <c r="G677" s="33">
        <v>2900.0</v>
      </c>
      <c r="H677" s="5">
        <v>46109.0</v>
      </c>
      <c r="I677" s="2" t="s">
        <v>24</v>
      </c>
      <c r="J677" s="12" t="s">
        <v>438</v>
      </c>
    </row>
    <row r="678" ht="22.5" hidden="1" customHeight="1">
      <c r="A678" s="2" t="s">
        <v>439</v>
      </c>
      <c r="B678" s="2" t="s">
        <v>440</v>
      </c>
      <c r="C678" s="2" t="s">
        <v>441</v>
      </c>
      <c r="D678" s="8" t="s">
        <v>46</v>
      </c>
      <c r="E678" s="9" t="s">
        <v>442</v>
      </c>
      <c r="F678" s="33">
        <v>1.0</v>
      </c>
      <c r="G678" s="33">
        <v>1200.0</v>
      </c>
      <c r="H678" s="5">
        <v>46109.0</v>
      </c>
      <c r="I678" s="2" t="s">
        <v>14</v>
      </c>
      <c r="J678" s="12" t="s">
        <v>443</v>
      </c>
    </row>
    <row r="679" ht="22.5" hidden="1" customHeight="1">
      <c r="A679" s="2" t="s">
        <v>291</v>
      </c>
      <c r="B679" s="2" t="s">
        <v>440</v>
      </c>
      <c r="C679" s="2" t="s">
        <v>441</v>
      </c>
      <c r="D679" s="8" t="s">
        <v>46</v>
      </c>
      <c r="E679" s="9" t="s">
        <v>26</v>
      </c>
      <c r="F679" s="33">
        <v>1.0</v>
      </c>
      <c r="G679" s="33">
        <v>1200.0</v>
      </c>
      <c r="H679" s="5">
        <v>46109.0</v>
      </c>
      <c r="I679" s="2" t="s">
        <v>14</v>
      </c>
      <c r="J679" s="12" t="s">
        <v>444</v>
      </c>
    </row>
    <row r="680" ht="22.5" hidden="1" customHeight="1">
      <c r="A680" s="2" t="s">
        <v>291</v>
      </c>
      <c r="B680" s="2" t="s">
        <v>440</v>
      </c>
      <c r="C680" s="2" t="s">
        <v>441</v>
      </c>
      <c r="D680" s="8" t="s">
        <v>46</v>
      </c>
      <c r="E680" s="9" t="s">
        <v>47</v>
      </c>
      <c r="F680" s="33">
        <v>1.0</v>
      </c>
      <c r="G680" s="33">
        <v>1200.0</v>
      </c>
      <c r="H680" s="5">
        <v>46109.0</v>
      </c>
      <c r="I680" s="2" t="s">
        <v>14</v>
      </c>
      <c r="J680" s="12" t="s">
        <v>444</v>
      </c>
    </row>
    <row r="681" ht="22.5" hidden="1" customHeight="1">
      <c r="A681" s="2" t="s">
        <v>307</v>
      </c>
      <c r="B681" s="2" t="s">
        <v>440</v>
      </c>
      <c r="C681" s="2" t="s">
        <v>441</v>
      </c>
      <c r="D681" s="8" t="s">
        <v>46</v>
      </c>
      <c r="E681" s="9" t="s">
        <v>26</v>
      </c>
      <c r="F681" s="33">
        <v>1.0</v>
      </c>
      <c r="G681" s="33">
        <v>1200.0</v>
      </c>
      <c r="H681" s="5">
        <v>46109.0</v>
      </c>
      <c r="I681" s="2" t="s">
        <v>14</v>
      </c>
      <c r="J681" s="12" t="s">
        <v>445</v>
      </c>
    </row>
    <row r="682" ht="22.5" hidden="1" customHeight="1">
      <c r="A682" s="2" t="s">
        <v>446</v>
      </c>
      <c r="B682" s="2" t="s">
        <v>440</v>
      </c>
      <c r="C682" s="2" t="s">
        <v>441</v>
      </c>
      <c r="D682" s="8" t="s">
        <v>46</v>
      </c>
      <c r="E682" s="9" t="s">
        <v>26</v>
      </c>
      <c r="F682" s="33">
        <v>1.0</v>
      </c>
      <c r="G682" s="33">
        <v>1200.0</v>
      </c>
      <c r="H682" s="5">
        <v>46109.0</v>
      </c>
      <c r="I682" s="2" t="s">
        <v>14</v>
      </c>
      <c r="J682" s="12" t="s">
        <v>419</v>
      </c>
    </row>
    <row r="683" ht="22.5" hidden="1" customHeight="1">
      <c r="A683" s="2" t="s">
        <v>446</v>
      </c>
      <c r="B683" s="2" t="s">
        <v>440</v>
      </c>
      <c r="C683" s="2" t="s">
        <v>441</v>
      </c>
      <c r="D683" s="8" t="s">
        <v>46</v>
      </c>
      <c r="E683" s="9" t="s">
        <v>447</v>
      </c>
      <c r="F683" s="33">
        <v>1.0</v>
      </c>
      <c r="G683" s="33">
        <v>1200.0</v>
      </c>
      <c r="H683" s="5">
        <v>46109.0</v>
      </c>
      <c r="I683" s="2" t="s">
        <v>14</v>
      </c>
      <c r="J683" s="12" t="s">
        <v>448</v>
      </c>
    </row>
    <row r="684" ht="22.5" hidden="1" customHeight="1">
      <c r="A684" s="2" t="s">
        <v>449</v>
      </c>
      <c r="B684" s="2" t="s">
        <v>440</v>
      </c>
      <c r="C684" s="2" t="s">
        <v>441</v>
      </c>
      <c r="D684" s="8" t="s">
        <v>46</v>
      </c>
      <c r="E684" s="9" t="s">
        <v>26</v>
      </c>
      <c r="F684" s="33">
        <v>1.0</v>
      </c>
      <c r="G684" s="33">
        <v>1200.0</v>
      </c>
      <c r="H684" s="5">
        <v>46109.0</v>
      </c>
      <c r="I684" s="2" t="s">
        <v>14</v>
      </c>
      <c r="J684" s="12" t="s">
        <v>450</v>
      </c>
    </row>
    <row r="685" ht="22.5" hidden="1" customHeight="1">
      <c r="A685" s="2" t="s">
        <v>451</v>
      </c>
      <c r="B685" s="2" t="s">
        <v>440</v>
      </c>
      <c r="C685" s="2" t="s">
        <v>441</v>
      </c>
      <c r="D685" s="8" t="s">
        <v>46</v>
      </c>
      <c r="E685" s="9" t="s">
        <v>26</v>
      </c>
      <c r="F685" s="33">
        <v>1.0</v>
      </c>
      <c r="G685" s="33">
        <v>1200.0</v>
      </c>
      <c r="H685" s="5">
        <v>46109.0</v>
      </c>
      <c r="I685" s="2" t="s">
        <v>14</v>
      </c>
      <c r="J685" s="12" t="s">
        <v>452</v>
      </c>
    </row>
    <row r="686" ht="22.5" hidden="1" customHeight="1">
      <c r="A686" s="2" t="s">
        <v>265</v>
      </c>
      <c r="B686" s="2" t="s">
        <v>440</v>
      </c>
      <c r="C686" s="2" t="s">
        <v>441</v>
      </c>
      <c r="D686" s="8" t="s">
        <v>46</v>
      </c>
      <c r="E686" s="9" t="s">
        <v>26</v>
      </c>
      <c r="F686" s="33">
        <v>1.0</v>
      </c>
      <c r="G686" s="33">
        <v>1200.0</v>
      </c>
      <c r="H686" s="5">
        <v>46109.0</v>
      </c>
      <c r="I686" s="2" t="s">
        <v>14</v>
      </c>
      <c r="J686" s="12" t="s">
        <v>453</v>
      </c>
    </row>
    <row r="687" ht="22.5" hidden="1" customHeight="1">
      <c r="A687" s="2" t="s">
        <v>265</v>
      </c>
      <c r="B687" s="2" t="s">
        <v>440</v>
      </c>
      <c r="C687" s="2" t="s">
        <v>441</v>
      </c>
      <c r="D687" s="8" t="s">
        <v>46</v>
      </c>
      <c r="E687" s="9" t="s">
        <v>447</v>
      </c>
      <c r="F687" s="33">
        <v>1.0</v>
      </c>
      <c r="G687" s="33">
        <v>1200.0</v>
      </c>
      <c r="H687" s="5">
        <v>46109.0</v>
      </c>
      <c r="I687" s="2" t="s">
        <v>14</v>
      </c>
      <c r="J687" s="12" t="s">
        <v>453</v>
      </c>
    </row>
    <row r="688" ht="22.5" hidden="1" customHeight="1">
      <c r="A688" s="2" t="s">
        <v>396</v>
      </c>
      <c r="B688" s="2" t="s">
        <v>440</v>
      </c>
      <c r="C688" s="2" t="s">
        <v>441</v>
      </c>
      <c r="D688" s="8" t="s">
        <v>46</v>
      </c>
      <c r="E688" s="9" t="s">
        <v>447</v>
      </c>
      <c r="F688" s="33">
        <v>1.0</v>
      </c>
      <c r="G688" s="33">
        <v>1200.0</v>
      </c>
      <c r="H688" s="5">
        <v>46109.0</v>
      </c>
      <c r="I688" s="2" t="s">
        <v>14</v>
      </c>
      <c r="J688" s="12" t="s">
        <v>454</v>
      </c>
    </row>
    <row r="689" ht="22.5" hidden="1" customHeight="1">
      <c r="A689" s="2" t="s">
        <v>455</v>
      </c>
      <c r="B689" s="2" t="s">
        <v>440</v>
      </c>
      <c r="C689" s="2" t="s">
        <v>441</v>
      </c>
      <c r="D689" s="8" t="s">
        <v>46</v>
      </c>
      <c r="E689" s="9" t="s">
        <v>47</v>
      </c>
      <c r="F689" s="33">
        <v>1.0</v>
      </c>
      <c r="G689" s="33">
        <v>1200.0</v>
      </c>
      <c r="H689" s="5">
        <v>46109.0</v>
      </c>
      <c r="I689" s="2" t="s">
        <v>14</v>
      </c>
      <c r="J689" s="12" t="s">
        <v>456</v>
      </c>
    </row>
    <row r="690" ht="22.5" hidden="1" customHeight="1">
      <c r="A690" s="2" t="s">
        <v>457</v>
      </c>
      <c r="B690" s="2" t="s">
        <v>440</v>
      </c>
      <c r="C690" s="2" t="s">
        <v>441</v>
      </c>
      <c r="D690" s="8" t="s">
        <v>46</v>
      </c>
      <c r="E690" s="9" t="s">
        <v>26</v>
      </c>
      <c r="F690" s="33">
        <v>1.0</v>
      </c>
      <c r="G690" s="33">
        <v>1200.0</v>
      </c>
      <c r="H690" s="5">
        <v>46109.0</v>
      </c>
      <c r="I690" s="2" t="s">
        <v>14</v>
      </c>
      <c r="J690" s="12" t="s">
        <v>458</v>
      </c>
    </row>
    <row r="691" ht="22.5" hidden="1" customHeight="1">
      <c r="A691" s="2" t="s">
        <v>459</v>
      </c>
      <c r="B691" s="2" t="s">
        <v>440</v>
      </c>
      <c r="C691" s="2" t="s">
        <v>441</v>
      </c>
      <c r="D691" s="8" t="s">
        <v>46</v>
      </c>
      <c r="E691" s="9" t="s">
        <v>447</v>
      </c>
      <c r="F691" s="33">
        <v>1.0</v>
      </c>
      <c r="G691" s="33">
        <v>1200.0</v>
      </c>
      <c r="H691" s="5">
        <v>46109.0</v>
      </c>
      <c r="I691" s="2" t="s">
        <v>14</v>
      </c>
      <c r="J691" s="12" t="s">
        <v>460</v>
      </c>
    </row>
    <row r="692" ht="22.5" hidden="1" customHeight="1">
      <c r="A692" s="2" t="s">
        <v>217</v>
      </c>
      <c r="B692" s="2" t="s">
        <v>440</v>
      </c>
      <c r="C692" s="2" t="s">
        <v>441</v>
      </c>
      <c r="D692" s="8" t="s">
        <v>46</v>
      </c>
      <c r="E692" s="9" t="s">
        <v>26</v>
      </c>
      <c r="F692" s="33">
        <v>1.0</v>
      </c>
      <c r="G692" s="33">
        <v>1200.0</v>
      </c>
      <c r="H692" s="5">
        <v>46109.0</v>
      </c>
      <c r="I692" s="2" t="s">
        <v>14</v>
      </c>
      <c r="J692" s="12" t="s">
        <v>461</v>
      </c>
    </row>
    <row r="693" ht="22.5" hidden="1" customHeight="1">
      <c r="A693" s="2" t="s">
        <v>462</v>
      </c>
      <c r="B693" s="2" t="s">
        <v>440</v>
      </c>
      <c r="C693" s="2" t="s">
        <v>441</v>
      </c>
      <c r="D693" s="8" t="s">
        <v>46</v>
      </c>
      <c r="E693" s="9" t="s">
        <v>447</v>
      </c>
      <c r="F693" s="33">
        <v>1.0</v>
      </c>
      <c r="G693" s="33">
        <v>1200.0</v>
      </c>
      <c r="H693" s="5">
        <v>46109.0</v>
      </c>
      <c r="I693" s="2" t="s">
        <v>14</v>
      </c>
      <c r="J693" s="12" t="s">
        <v>463</v>
      </c>
    </row>
    <row r="694" ht="22.5" hidden="1" customHeight="1">
      <c r="A694" s="2" t="s">
        <v>464</v>
      </c>
      <c r="B694" s="2" t="s">
        <v>440</v>
      </c>
      <c r="C694" s="2" t="s">
        <v>441</v>
      </c>
      <c r="D694" s="8" t="s">
        <v>46</v>
      </c>
      <c r="E694" s="9" t="s">
        <v>26</v>
      </c>
      <c r="F694" s="33">
        <v>1.0</v>
      </c>
      <c r="G694" s="33">
        <v>1200.0</v>
      </c>
      <c r="H694" s="5">
        <v>46109.0</v>
      </c>
      <c r="I694" s="2" t="s">
        <v>14</v>
      </c>
      <c r="J694" s="12" t="s">
        <v>465</v>
      </c>
    </row>
    <row r="695" ht="22.5" hidden="1" customHeight="1">
      <c r="A695" s="2" t="s">
        <v>466</v>
      </c>
      <c r="B695" s="2" t="s">
        <v>440</v>
      </c>
      <c r="C695" s="2" t="s">
        <v>441</v>
      </c>
      <c r="D695" s="8" t="s">
        <v>46</v>
      </c>
      <c r="E695" s="9" t="s">
        <v>26</v>
      </c>
      <c r="F695" s="33">
        <v>1.0</v>
      </c>
      <c r="G695" s="33">
        <v>1200.0</v>
      </c>
      <c r="H695" s="5">
        <v>46109.0</v>
      </c>
      <c r="I695" s="2" t="s">
        <v>14</v>
      </c>
      <c r="J695" s="12" t="s">
        <v>467</v>
      </c>
    </row>
    <row r="696" ht="22.5" hidden="1" customHeight="1">
      <c r="A696" s="2" t="s">
        <v>468</v>
      </c>
      <c r="B696" s="2" t="s">
        <v>440</v>
      </c>
      <c r="C696" s="2" t="s">
        <v>441</v>
      </c>
      <c r="D696" s="8" t="s">
        <v>46</v>
      </c>
      <c r="E696" s="9" t="s">
        <v>447</v>
      </c>
      <c r="F696" s="33">
        <v>1.0</v>
      </c>
      <c r="G696" s="33">
        <v>1200.0</v>
      </c>
      <c r="H696" s="5">
        <v>46109.0</v>
      </c>
      <c r="I696" s="2" t="s">
        <v>14</v>
      </c>
      <c r="J696" s="12" t="s">
        <v>469</v>
      </c>
    </row>
    <row r="697" ht="22.5" hidden="1" customHeight="1">
      <c r="A697" s="2" t="s">
        <v>470</v>
      </c>
      <c r="B697" s="2" t="s">
        <v>440</v>
      </c>
      <c r="C697" s="2" t="s">
        <v>441</v>
      </c>
      <c r="D697" s="8" t="s">
        <v>46</v>
      </c>
      <c r="E697" s="9" t="s">
        <v>47</v>
      </c>
      <c r="F697" s="33">
        <v>1.0</v>
      </c>
      <c r="G697" s="33">
        <v>1200.0</v>
      </c>
      <c r="H697" s="5">
        <v>46109.0</v>
      </c>
      <c r="I697" s="2" t="s">
        <v>14</v>
      </c>
      <c r="J697" s="12" t="s">
        <v>471</v>
      </c>
    </row>
    <row r="698" ht="22.5" hidden="1" customHeight="1">
      <c r="A698" s="2" t="s">
        <v>470</v>
      </c>
      <c r="B698" s="2" t="s">
        <v>440</v>
      </c>
      <c r="C698" s="2" t="s">
        <v>441</v>
      </c>
      <c r="D698" s="8" t="s">
        <v>46</v>
      </c>
      <c r="E698" s="9" t="s">
        <v>26</v>
      </c>
      <c r="F698" s="33">
        <v>1.0</v>
      </c>
      <c r="G698" s="33">
        <v>1200.0</v>
      </c>
      <c r="H698" s="5">
        <v>46109.0</v>
      </c>
      <c r="I698" s="2" t="s">
        <v>14</v>
      </c>
      <c r="J698" s="12" t="s">
        <v>471</v>
      </c>
    </row>
    <row r="699" ht="22.5" hidden="1" customHeight="1">
      <c r="A699" s="2" t="s">
        <v>472</v>
      </c>
      <c r="B699" s="2" t="s">
        <v>440</v>
      </c>
      <c r="C699" s="2" t="s">
        <v>441</v>
      </c>
      <c r="D699" s="8" t="s">
        <v>46</v>
      </c>
      <c r="E699" s="9" t="s">
        <v>26</v>
      </c>
      <c r="F699" s="33">
        <v>1.0</v>
      </c>
      <c r="G699" s="33">
        <v>1200.0</v>
      </c>
      <c r="H699" s="5">
        <v>46109.0</v>
      </c>
      <c r="I699" s="2" t="s">
        <v>473</v>
      </c>
      <c r="J699" s="12" t="s">
        <v>474</v>
      </c>
    </row>
    <row r="700" ht="22.5" hidden="1" customHeight="1">
      <c r="A700" s="2" t="s">
        <v>364</v>
      </c>
      <c r="B700" s="2" t="s">
        <v>440</v>
      </c>
      <c r="C700" s="2" t="s">
        <v>441</v>
      </c>
      <c r="D700" s="8" t="s">
        <v>46</v>
      </c>
      <c r="E700" s="9" t="s">
        <v>47</v>
      </c>
      <c r="F700" s="33">
        <v>1.0</v>
      </c>
      <c r="G700" s="33">
        <v>1200.0</v>
      </c>
      <c r="H700" s="5">
        <v>46109.0</v>
      </c>
      <c r="I700" s="2" t="s">
        <v>14</v>
      </c>
      <c r="J700" s="12" t="s">
        <v>475</v>
      </c>
    </row>
    <row r="701" ht="22.5" hidden="1" customHeight="1">
      <c r="A701" s="2" t="s">
        <v>476</v>
      </c>
      <c r="B701" s="2" t="s">
        <v>440</v>
      </c>
      <c r="C701" s="2" t="s">
        <v>441</v>
      </c>
      <c r="D701" s="8" t="s">
        <v>46</v>
      </c>
      <c r="E701" s="9" t="s">
        <v>47</v>
      </c>
      <c r="F701" s="33">
        <v>1.0</v>
      </c>
      <c r="G701" s="33">
        <v>1200.0</v>
      </c>
      <c r="H701" s="5">
        <v>46109.0</v>
      </c>
      <c r="I701" s="2" t="s">
        <v>14</v>
      </c>
      <c r="J701" s="12" t="s">
        <v>477</v>
      </c>
    </row>
    <row r="702" ht="22.5" hidden="1" customHeight="1">
      <c r="A702" s="2" t="s">
        <v>156</v>
      </c>
      <c r="B702" s="2" t="s">
        <v>440</v>
      </c>
      <c r="C702" s="2" t="s">
        <v>441</v>
      </c>
      <c r="D702" s="8" t="s">
        <v>46</v>
      </c>
      <c r="E702" s="9" t="s">
        <v>26</v>
      </c>
      <c r="F702" s="33">
        <v>1.0</v>
      </c>
      <c r="G702" s="33">
        <v>1200.0</v>
      </c>
      <c r="H702" s="5">
        <v>46109.0</v>
      </c>
      <c r="I702" s="2" t="s">
        <v>14</v>
      </c>
      <c r="J702" s="12" t="s">
        <v>478</v>
      </c>
    </row>
    <row r="703" ht="22.5" hidden="1" customHeight="1">
      <c r="A703" s="2" t="s">
        <v>324</v>
      </c>
      <c r="B703" s="2" t="s">
        <v>440</v>
      </c>
      <c r="C703" s="2" t="s">
        <v>441</v>
      </c>
      <c r="D703" s="8" t="s">
        <v>46</v>
      </c>
      <c r="E703" s="9" t="s">
        <v>26</v>
      </c>
      <c r="F703" s="33">
        <v>1.0</v>
      </c>
      <c r="G703" s="33">
        <v>1200.0</v>
      </c>
      <c r="H703" s="5">
        <v>46109.0</v>
      </c>
      <c r="I703" s="2" t="s">
        <v>14</v>
      </c>
      <c r="J703" s="12" t="s">
        <v>479</v>
      </c>
    </row>
    <row r="704" ht="22.5" hidden="1" customHeight="1">
      <c r="A704" s="2" t="s">
        <v>391</v>
      </c>
      <c r="B704" s="2" t="s">
        <v>440</v>
      </c>
      <c r="C704" s="2" t="s">
        <v>441</v>
      </c>
      <c r="D704" s="8" t="s">
        <v>46</v>
      </c>
      <c r="E704" s="9" t="s">
        <v>26</v>
      </c>
      <c r="F704" s="33">
        <v>1.0</v>
      </c>
      <c r="G704" s="33">
        <v>1200.0</v>
      </c>
      <c r="H704" s="5">
        <v>46109.0</v>
      </c>
      <c r="I704" s="2" t="s">
        <v>14</v>
      </c>
      <c r="J704" s="12" t="s">
        <v>480</v>
      </c>
    </row>
    <row r="705" ht="22.5" hidden="1" customHeight="1">
      <c r="A705" s="2" t="s">
        <v>481</v>
      </c>
      <c r="B705" s="2" t="s">
        <v>440</v>
      </c>
      <c r="C705" s="2" t="s">
        <v>441</v>
      </c>
      <c r="D705" s="8" t="s">
        <v>46</v>
      </c>
      <c r="E705" s="9" t="s">
        <v>47</v>
      </c>
      <c r="F705" s="33">
        <v>1.0</v>
      </c>
      <c r="G705" s="33">
        <v>1200.0</v>
      </c>
      <c r="H705" s="5">
        <v>46109.0</v>
      </c>
      <c r="I705" s="2" t="s">
        <v>14</v>
      </c>
      <c r="J705" s="12" t="s">
        <v>482</v>
      </c>
    </row>
    <row r="706" ht="22.5" hidden="1" customHeight="1">
      <c r="A706" s="2" t="s">
        <v>481</v>
      </c>
      <c r="B706" s="2" t="s">
        <v>440</v>
      </c>
      <c r="C706" s="2" t="s">
        <v>441</v>
      </c>
      <c r="D706" s="8" t="s">
        <v>46</v>
      </c>
      <c r="E706" s="9" t="s">
        <v>26</v>
      </c>
      <c r="F706" s="33">
        <v>1.0</v>
      </c>
      <c r="G706" s="33">
        <v>1200.0</v>
      </c>
      <c r="H706" s="5">
        <v>46109.0</v>
      </c>
      <c r="I706" s="2" t="s">
        <v>14</v>
      </c>
      <c r="J706" s="12" t="s">
        <v>482</v>
      </c>
    </row>
    <row r="707" ht="22.5" hidden="1" customHeight="1">
      <c r="A707" s="2" t="s">
        <v>354</v>
      </c>
      <c r="B707" s="2" t="s">
        <v>440</v>
      </c>
      <c r="C707" s="2" t="s">
        <v>441</v>
      </c>
      <c r="D707" s="8" t="s">
        <v>46</v>
      </c>
      <c r="E707" s="9" t="s">
        <v>447</v>
      </c>
      <c r="F707" s="33">
        <v>1.0</v>
      </c>
      <c r="G707" s="33">
        <v>1200.0</v>
      </c>
      <c r="H707" s="5">
        <v>46109.0</v>
      </c>
      <c r="I707" s="2" t="s">
        <v>14</v>
      </c>
      <c r="J707" s="12" t="s">
        <v>483</v>
      </c>
    </row>
    <row r="708" ht="22.5" hidden="1" customHeight="1">
      <c r="A708" s="2" t="s">
        <v>484</v>
      </c>
      <c r="B708" s="2" t="s">
        <v>440</v>
      </c>
      <c r="C708" s="2" t="s">
        <v>441</v>
      </c>
      <c r="D708" s="8" t="s">
        <v>46</v>
      </c>
      <c r="E708" s="9" t="s">
        <v>447</v>
      </c>
      <c r="F708" s="33">
        <v>1.0</v>
      </c>
      <c r="G708" s="33">
        <v>1200.0</v>
      </c>
      <c r="H708" s="5">
        <v>46109.0</v>
      </c>
      <c r="I708" s="2" t="s">
        <v>14</v>
      </c>
      <c r="J708" s="12" t="s">
        <v>485</v>
      </c>
    </row>
    <row r="709" ht="22.5" hidden="1" customHeight="1">
      <c r="A709" s="2" t="s">
        <v>486</v>
      </c>
      <c r="B709" s="2" t="s">
        <v>440</v>
      </c>
      <c r="C709" s="2" t="s">
        <v>441</v>
      </c>
      <c r="D709" s="8" t="s">
        <v>46</v>
      </c>
      <c r="E709" s="9" t="s">
        <v>26</v>
      </c>
      <c r="F709" s="33">
        <v>1.0</v>
      </c>
      <c r="G709" s="33">
        <v>1200.0</v>
      </c>
      <c r="H709" s="5">
        <v>46109.0</v>
      </c>
      <c r="I709" s="2" t="s">
        <v>14</v>
      </c>
      <c r="J709" s="12" t="s">
        <v>487</v>
      </c>
    </row>
    <row r="710" ht="22.5" hidden="1" customHeight="1">
      <c r="A710" s="2" t="s">
        <v>384</v>
      </c>
      <c r="B710" s="2" t="s">
        <v>440</v>
      </c>
      <c r="C710" s="2" t="s">
        <v>441</v>
      </c>
      <c r="D710" s="8" t="s">
        <v>46</v>
      </c>
      <c r="E710" s="9" t="s">
        <v>47</v>
      </c>
      <c r="F710" s="33">
        <v>1.0</v>
      </c>
      <c r="G710" s="33">
        <v>1200.0</v>
      </c>
      <c r="H710" s="5">
        <v>46109.0</v>
      </c>
      <c r="I710" s="2" t="s">
        <v>14</v>
      </c>
      <c r="J710" s="12" t="s">
        <v>487</v>
      </c>
    </row>
    <row r="711" ht="22.5" hidden="1" customHeight="1">
      <c r="A711" s="2" t="s">
        <v>488</v>
      </c>
      <c r="B711" s="2" t="s">
        <v>440</v>
      </c>
      <c r="C711" s="2" t="s">
        <v>441</v>
      </c>
      <c r="D711" s="8" t="s">
        <v>46</v>
      </c>
      <c r="E711" s="9" t="s">
        <v>26</v>
      </c>
      <c r="F711" s="33">
        <v>1.0</v>
      </c>
      <c r="G711" s="33">
        <v>1200.0</v>
      </c>
      <c r="H711" s="5">
        <v>46109.0</v>
      </c>
      <c r="I711" s="2" t="s">
        <v>14</v>
      </c>
      <c r="J711" s="12" t="s">
        <v>489</v>
      </c>
    </row>
    <row r="712" ht="22.5" hidden="1" customHeight="1">
      <c r="A712" s="2" t="s">
        <v>488</v>
      </c>
      <c r="B712" s="2" t="s">
        <v>440</v>
      </c>
      <c r="C712" s="2" t="s">
        <v>441</v>
      </c>
      <c r="D712" s="8" t="s">
        <v>46</v>
      </c>
      <c r="E712" s="9" t="s">
        <v>447</v>
      </c>
      <c r="F712" s="33">
        <v>1.0</v>
      </c>
      <c r="G712" s="33">
        <v>1200.0</v>
      </c>
      <c r="H712" s="5">
        <v>46109.0</v>
      </c>
      <c r="I712" s="2" t="s">
        <v>14</v>
      </c>
      <c r="J712" s="12" t="s">
        <v>489</v>
      </c>
    </row>
    <row r="713" ht="22.5" hidden="1" customHeight="1">
      <c r="A713" s="2" t="s">
        <v>490</v>
      </c>
      <c r="B713" s="2" t="s">
        <v>440</v>
      </c>
      <c r="C713" s="2" t="s">
        <v>441</v>
      </c>
      <c r="D713" s="8" t="s">
        <v>46</v>
      </c>
      <c r="E713" s="9" t="s">
        <v>26</v>
      </c>
      <c r="F713" s="33">
        <v>1.0</v>
      </c>
      <c r="G713" s="33">
        <v>1200.0</v>
      </c>
      <c r="H713" s="5">
        <v>46109.0</v>
      </c>
      <c r="I713" s="2" t="s">
        <v>14</v>
      </c>
      <c r="J713" s="12" t="s">
        <v>491</v>
      </c>
    </row>
    <row r="714" ht="22.5" hidden="1" customHeight="1">
      <c r="A714" s="2" t="s">
        <v>367</v>
      </c>
      <c r="B714" s="2" t="s">
        <v>440</v>
      </c>
      <c r="C714" s="2" t="s">
        <v>441</v>
      </c>
      <c r="D714" s="8" t="s">
        <v>46</v>
      </c>
      <c r="E714" s="9" t="s">
        <v>47</v>
      </c>
      <c r="F714" s="33">
        <v>1.0</v>
      </c>
      <c r="G714" s="33">
        <v>1200.0</v>
      </c>
      <c r="H714" s="5">
        <v>46109.0</v>
      </c>
      <c r="I714" s="2" t="s">
        <v>14</v>
      </c>
      <c r="J714" s="12" t="s">
        <v>492</v>
      </c>
    </row>
    <row r="715" ht="22.5" hidden="1" customHeight="1">
      <c r="A715" s="2" t="s">
        <v>367</v>
      </c>
      <c r="B715" s="2" t="s">
        <v>440</v>
      </c>
      <c r="C715" s="2" t="s">
        <v>441</v>
      </c>
      <c r="D715" s="8" t="s">
        <v>46</v>
      </c>
      <c r="E715" s="9" t="s">
        <v>16</v>
      </c>
      <c r="F715" s="33">
        <v>1.0</v>
      </c>
      <c r="G715" s="33">
        <v>1200.0</v>
      </c>
      <c r="H715" s="5">
        <v>46109.0</v>
      </c>
      <c r="I715" s="2" t="s">
        <v>14</v>
      </c>
      <c r="J715" s="12" t="s">
        <v>492</v>
      </c>
    </row>
    <row r="716" ht="22.5" hidden="1" customHeight="1">
      <c r="A716" s="2" t="s">
        <v>84</v>
      </c>
      <c r="B716" s="2" t="s">
        <v>440</v>
      </c>
      <c r="C716" s="2" t="s">
        <v>441</v>
      </c>
      <c r="D716" s="8" t="s">
        <v>46</v>
      </c>
      <c r="E716" s="9" t="s">
        <v>47</v>
      </c>
      <c r="F716" s="33">
        <v>1.0</v>
      </c>
      <c r="G716" s="33">
        <v>1200.0</v>
      </c>
      <c r="H716" s="5">
        <v>46109.0</v>
      </c>
      <c r="I716" s="2" t="s">
        <v>14</v>
      </c>
      <c r="J716" s="12" t="s">
        <v>493</v>
      </c>
    </row>
    <row r="717" ht="22.5" hidden="1" customHeight="1">
      <c r="A717" s="2" t="s">
        <v>167</v>
      </c>
      <c r="B717" s="2" t="s">
        <v>440</v>
      </c>
      <c r="C717" s="2" t="s">
        <v>441</v>
      </c>
      <c r="D717" s="8" t="s">
        <v>46</v>
      </c>
      <c r="E717" s="9" t="s">
        <v>47</v>
      </c>
      <c r="F717" s="33">
        <v>1.0</v>
      </c>
      <c r="G717" s="33">
        <v>1200.0</v>
      </c>
      <c r="H717" s="5">
        <v>46109.0</v>
      </c>
      <c r="I717" s="2" t="s">
        <v>14</v>
      </c>
      <c r="J717" s="12" t="s">
        <v>494</v>
      </c>
    </row>
    <row r="718" ht="22.5" hidden="1" customHeight="1">
      <c r="A718" s="2" t="s">
        <v>495</v>
      </c>
      <c r="B718" s="2" t="s">
        <v>440</v>
      </c>
      <c r="C718" s="2" t="s">
        <v>441</v>
      </c>
      <c r="D718" s="8" t="s">
        <v>46</v>
      </c>
      <c r="E718" s="9" t="s">
        <v>447</v>
      </c>
      <c r="F718" s="33">
        <v>1.0</v>
      </c>
      <c r="G718" s="33">
        <v>1200.0</v>
      </c>
      <c r="H718" s="5">
        <v>46109.0</v>
      </c>
      <c r="I718" s="2" t="s">
        <v>14</v>
      </c>
      <c r="J718" s="12" t="s">
        <v>496</v>
      </c>
    </row>
    <row r="719" ht="22.5" hidden="1" customHeight="1">
      <c r="A719" s="2" t="s">
        <v>385</v>
      </c>
      <c r="B719" s="2" t="s">
        <v>440</v>
      </c>
      <c r="C719" s="2" t="s">
        <v>441</v>
      </c>
      <c r="D719" s="8" t="s">
        <v>46</v>
      </c>
      <c r="E719" s="9" t="s">
        <v>47</v>
      </c>
      <c r="F719" s="33">
        <v>1.0</v>
      </c>
      <c r="G719" s="33">
        <v>1200.0</v>
      </c>
      <c r="H719" s="5">
        <v>46109.0</v>
      </c>
      <c r="I719" s="2" t="s">
        <v>14</v>
      </c>
      <c r="J719" s="12" t="s">
        <v>497</v>
      </c>
    </row>
    <row r="720" ht="22.5" hidden="1" customHeight="1">
      <c r="A720" s="2" t="s">
        <v>498</v>
      </c>
      <c r="B720" s="2" t="s">
        <v>440</v>
      </c>
      <c r="C720" s="2" t="s">
        <v>441</v>
      </c>
      <c r="D720" s="8" t="s">
        <v>46</v>
      </c>
      <c r="E720" s="9" t="s">
        <v>26</v>
      </c>
      <c r="F720" s="33">
        <v>1.0</v>
      </c>
      <c r="G720" s="33">
        <v>1200.0</v>
      </c>
      <c r="H720" s="5">
        <v>46109.0</v>
      </c>
      <c r="I720" s="2" t="s">
        <v>14</v>
      </c>
      <c r="J720" s="12" t="s">
        <v>499</v>
      </c>
    </row>
    <row r="721" ht="22.5" hidden="1" customHeight="1">
      <c r="A721" s="2" t="s">
        <v>498</v>
      </c>
      <c r="B721" s="2" t="s">
        <v>440</v>
      </c>
      <c r="C721" s="2" t="s">
        <v>441</v>
      </c>
      <c r="D721" s="8" t="s">
        <v>46</v>
      </c>
      <c r="E721" s="9" t="s">
        <v>47</v>
      </c>
      <c r="F721" s="33">
        <v>1.0</v>
      </c>
      <c r="G721" s="33">
        <v>1200.0</v>
      </c>
      <c r="H721" s="5">
        <v>46109.0</v>
      </c>
      <c r="I721" s="2" t="s">
        <v>14</v>
      </c>
      <c r="J721" s="12" t="s">
        <v>499</v>
      </c>
    </row>
    <row r="722" ht="22.5" hidden="1" customHeight="1">
      <c r="A722" s="2" t="s">
        <v>332</v>
      </c>
      <c r="B722" s="2" t="s">
        <v>440</v>
      </c>
      <c r="C722" s="2" t="s">
        <v>441</v>
      </c>
      <c r="D722" s="8" t="s">
        <v>46</v>
      </c>
      <c r="E722" s="9" t="s">
        <v>47</v>
      </c>
      <c r="F722" s="33">
        <v>1.0</v>
      </c>
      <c r="G722" s="33">
        <v>1200.0</v>
      </c>
      <c r="H722" s="5">
        <v>46109.0</v>
      </c>
      <c r="I722" s="2" t="s">
        <v>14</v>
      </c>
      <c r="J722" s="12" t="s">
        <v>500</v>
      </c>
    </row>
    <row r="723" ht="22.5" hidden="1" customHeight="1">
      <c r="A723" s="2" t="s">
        <v>501</v>
      </c>
      <c r="B723" s="2" t="s">
        <v>440</v>
      </c>
      <c r="C723" s="2" t="s">
        <v>441</v>
      </c>
      <c r="D723" s="8" t="s">
        <v>46</v>
      </c>
      <c r="E723" s="9" t="s">
        <v>26</v>
      </c>
      <c r="F723" s="33">
        <v>1.0</v>
      </c>
      <c r="G723" s="33">
        <v>1200.0</v>
      </c>
      <c r="H723" s="5">
        <v>46109.0</v>
      </c>
      <c r="I723" s="2" t="s">
        <v>14</v>
      </c>
      <c r="J723" s="12" t="s">
        <v>502</v>
      </c>
    </row>
    <row r="724" ht="22.5" hidden="1" customHeight="1">
      <c r="A724" s="2" t="s">
        <v>501</v>
      </c>
      <c r="B724" s="2" t="s">
        <v>440</v>
      </c>
      <c r="C724" s="2" t="s">
        <v>441</v>
      </c>
      <c r="D724" s="8" t="s">
        <v>46</v>
      </c>
      <c r="E724" s="9" t="s">
        <v>47</v>
      </c>
      <c r="F724" s="33">
        <v>1.0</v>
      </c>
      <c r="G724" s="33">
        <v>1200.0</v>
      </c>
      <c r="H724" s="5">
        <v>46109.0</v>
      </c>
      <c r="I724" s="2" t="s">
        <v>14</v>
      </c>
      <c r="J724" s="12" t="s">
        <v>502</v>
      </c>
    </row>
    <row r="725" ht="22.5" hidden="1" customHeight="1">
      <c r="A725" s="2" t="s">
        <v>503</v>
      </c>
      <c r="B725" s="2" t="s">
        <v>440</v>
      </c>
      <c r="C725" s="2" t="s">
        <v>441</v>
      </c>
      <c r="D725" s="8" t="s">
        <v>46</v>
      </c>
      <c r="E725" s="9" t="s">
        <v>47</v>
      </c>
      <c r="F725" s="33">
        <v>1.0</v>
      </c>
      <c r="G725" s="33">
        <v>1200.0</v>
      </c>
      <c r="H725" s="5">
        <v>46109.0</v>
      </c>
      <c r="I725" s="2" t="s">
        <v>14</v>
      </c>
      <c r="J725" s="12" t="s">
        <v>504</v>
      </c>
    </row>
    <row r="726" ht="22.5" hidden="1" customHeight="1">
      <c r="A726" s="2" t="s">
        <v>208</v>
      </c>
      <c r="B726" s="2" t="s">
        <v>440</v>
      </c>
      <c r="C726" s="2" t="s">
        <v>441</v>
      </c>
      <c r="D726" s="8" t="s">
        <v>46</v>
      </c>
      <c r="E726" s="9" t="s">
        <v>26</v>
      </c>
      <c r="F726" s="33">
        <v>1.0</v>
      </c>
      <c r="G726" s="33">
        <v>1200.0</v>
      </c>
      <c r="H726" s="5">
        <v>46109.0</v>
      </c>
      <c r="I726" s="2" t="s">
        <v>14</v>
      </c>
      <c r="J726" s="12" t="s">
        <v>505</v>
      </c>
    </row>
    <row r="727" ht="22.5" hidden="1" customHeight="1">
      <c r="A727" s="2" t="s">
        <v>208</v>
      </c>
      <c r="B727" s="2" t="s">
        <v>440</v>
      </c>
      <c r="C727" s="2" t="s">
        <v>441</v>
      </c>
      <c r="D727" s="8" t="s">
        <v>46</v>
      </c>
      <c r="E727" s="9" t="s">
        <v>47</v>
      </c>
      <c r="F727" s="33">
        <v>1.0</v>
      </c>
      <c r="G727" s="33">
        <v>1200.0</v>
      </c>
      <c r="H727" s="5">
        <v>46109.0</v>
      </c>
      <c r="I727" s="2" t="s">
        <v>14</v>
      </c>
      <c r="J727" s="12" t="s">
        <v>505</v>
      </c>
    </row>
    <row r="728" ht="22.5" hidden="1" customHeight="1">
      <c r="A728" s="2" t="s">
        <v>37</v>
      </c>
      <c r="B728" s="2" t="s">
        <v>440</v>
      </c>
      <c r="C728" s="2" t="s">
        <v>441</v>
      </c>
      <c r="D728" s="8" t="s">
        <v>46</v>
      </c>
      <c r="E728" s="9" t="s">
        <v>26</v>
      </c>
      <c r="F728" s="33">
        <v>1.0</v>
      </c>
      <c r="G728" s="33">
        <v>1200.0</v>
      </c>
      <c r="H728" s="5">
        <v>46109.0</v>
      </c>
      <c r="I728" s="2" t="s">
        <v>14</v>
      </c>
      <c r="J728" s="12" t="s">
        <v>506</v>
      </c>
    </row>
    <row r="729" ht="22.5" hidden="1" customHeight="1">
      <c r="A729" s="2" t="s">
        <v>37</v>
      </c>
      <c r="B729" s="2" t="s">
        <v>440</v>
      </c>
      <c r="C729" s="2" t="s">
        <v>441</v>
      </c>
      <c r="D729" s="8" t="s">
        <v>46</v>
      </c>
      <c r="E729" s="9" t="s">
        <v>47</v>
      </c>
      <c r="F729" s="33">
        <v>1.0</v>
      </c>
      <c r="G729" s="33">
        <v>1200.0</v>
      </c>
      <c r="H729" s="5">
        <v>46109.0</v>
      </c>
      <c r="I729" s="2" t="s">
        <v>14</v>
      </c>
      <c r="J729" s="12" t="s">
        <v>506</v>
      </c>
    </row>
    <row r="730" ht="22.5" hidden="1" customHeight="1">
      <c r="A730" s="2" t="s">
        <v>61</v>
      </c>
      <c r="B730" s="2" t="s">
        <v>440</v>
      </c>
      <c r="C730" s="2" t="s">
        <v>441</v>
      </c>
      <c r="D730" s="8" t="s">
        <v>46</v>
      </c>
      <c r="E730" s="9" t="s">
        <v>447</v>
      </c>
      <c r="F730" s="33">
        <v>1.0</v>
      </c>
      <c r="G730" s="33">
        <v>1200.0</v>
      </c>
      <c r="H730" s="5">
        <v>46109.0</v>
      </c>
      <c r="I730" s="2" t="s">
        <v>14</v>
      </c>
      <c r="J730" s="12" t="s">
        <v>507</v>
      </c>
    </row>
    <row r="731" ht="22.5" hidden="1" customHeight="1">
      <c r="A731" s="2" t="s">
        <v>508</v>
      </c>
      <c r="B731" s="2" t="s">
        <v>440</v>
      </c>
      <c r="C731" s="2" t="s">
        <v>441</v>
      </c>
      <c r="D731" s="8" t="s">
        <v>46</v>
      </c>
      <c r="E731" s="9" t="s">
        <v>47</v>
      </c>
      <c r="F731" s="33">
        <v>1.0</v>
      </c>
      <c r="G731" s="33">
        <v>1200.0</v>
      </c>
      <c r="H731" s="5">
        <v>46109.0</v>
      </c>
      <c r="I731" s="2" t="s">
        <v>14</v>
      </c>
      <c r="J731" s="12" t="s">
        <v>509</v>
      </c>
    </row>
    <row r="732" ht="22.5" hidden="1" customHeight="1">
      <c r="A732" s="2" t="s">
        <v>510</v>
      </c>
      <c r="B732" s="2" t="s">
        <v>440</v>
      </c>
      <c r="C732" s="2" t="s">
        <v>441</v>
      </c>
      <c r="D732" s="8" t="s">
        <v>46</v>
      </c>
      <c r="E732" s="9" t="s">
        <v>447</v>
      </c>
      <c r="F732" s="33">
        <v>1.0</v>
      </c>
      <c r="G732" s="33">
        <v>1200.0</v>
      </c>
      <c r="H732" s="5">
        <v>46109.0</v>
      </c>
      <c r="I732" s="2" t="s">
        <v>14</v>
      </c>
      <c r="J732" s="12" t="s">
        <v>511</v>
      </c>
    </row>
    <row r="733" ht="22.5" hidden="1" customHeight="1">
      <c r="A733" s="2" t="s">
        <v>512</v>
      </c>
      <c r="B733" s="2" t="s">
        <v>440</v>
      </c>
      <c r="C733" s="2" t="s">
        <v>441</v>
      </c>
      <c r="D733" s="8" t="s">
        <v>46</v>
      </c>
      <c r="E733" s="9" t="s">
        <v>47</v>
      </c>
      <c r="F733" s="33">
        <v>1.0</v>
      </c>
      <c r="G733" s="33">
        <v>1200.0</v>
      </c>
      <c r="H733" s="5">
        <v>46109.0</v>
      </c>
      <c r="I733" s="2" t="s">
        <v>14</v>
      </c>
      <c r="J733" s="12" t="s">
        <v>513</v>
      </c>
    </row>
    <row r="734" ht="22.5" hidden="1" customHeight="1">
      <c r="A734" s="2" t="s">
        <v>68</v>
      </c>
      <c r="B734" s="2" t="s">
        <v>440</v>
      </c>
      <c r="C734" s="2" t="s">
        <v>441</v>
      </c>
      <c r="D734" s="8" t="s">
        <v>46</v>
      </c>
      <c r="E734" s="9" t="s">
        <v>47</v>
      </c>
      <c r="F734" s="33">
        <v>1.0</v>
      </c>
      <c r="G734" s="33">
        <v>1200.0</v>
      </c>
      <c r="H734" s="5">
        <v>46109.0</v>
      </c>
      <c r="I734" s="2" t="s">
        <v>14</v>
      </c>
      <c r="J734" s="12" t="s">
        <v>514</v>
      </c>
    </row>
    <row r="735" ht="22.5" hidden="1" customHeight="1">
      <c r="A735" s="2" t="s">
        <v>222</v>
      </c>
      <c r="B735" s="2" t="s">
        <v>440</v>
      </c>
      <c r="C735" s="2" t="s">
        <v>441</v>
      </c>
      <c r="D735" s="8" t="s">
        <v>46</v>
      </c>
      <c r="E735" s="9" t="s">
        <v>447</v>
      </c>
      <c r="F735" s="33">
        <v>1.0</v>
      </c>
      <c r="G735" s="33">
        <v>1200.0</v>
      </c>
      <c r="H735" s="5">
        <v>46109.0</v>
      </c>
      <c r="I735" s="2" t="s">
        <v>14</v>
      </c>
      <c r="J735" s="12" t="s">
        <v>515</v>
      </c>
    </row>
    <row r="736" ht="22.5" hidden="1" customHeight="1">
      <c r="A736" s="2" t="s">
        <v>107</v>
      </c>
      <c r="B736" s="2" t="s">
        <v>234</v>
      </c>
      <c r="C736" s="2">
        <v>8740.0</v>
      </c>
      <c r="D736" s="8" t="s">
        <v>22</v>
      </c>
      <c r="E736" s="9" t="s">
        <v>13</v>
      </c>
      <c r="F736" s="33">
        <v>1.0</v>
      </c>
      <c r="G736" s="33">
        <v>1600.0</v>
      </c>
      <c r="H736" s="5">
        <v>46110.0</v>
      </c>
      <c r="I736" s="2" t="s">
        <v>14</v>
      </c>
    </row>
    <row r="737" ht="22.5" hidden="1" customHeight="1">
      <c r="A737" s="2" t="s">
        <v>313</v>
      </c>
      <c r="B737" s="2" t="s">
        <v>516</v>
      </c>
      <c r="C737" s="2" t="s">
        <v>517</v>
      </c>
      <c r="D737" s="8" t="s">
        <v>46</v>
      </c>
      <c r="E737" s="9" t="s">
        <v>338</v>
      </c>
      <c r="F737" s="33">
        <v>1.0</v>
      </c>
      <c r="G737" s="33">
        <v>1390.0</v>
      </c>
      <c r="H737" s="5">
        <v>46110.0</v>
      </c>
      <c r="I737" s="2" t="s">
        <v>14</v>
      </c>
      <c r="J737" s="12" t="s">
        <v>518</v>
      </c>
    </row>
    <row r="738" ht="22.5" hidden="1" customHeight="1">
      <c r="A738" s="2" t="s">
        <v>519</v>
      </c>
      <c r="B738" s="2" t="s">
        <v>516</v>
      </c>
      <c r="C738" s="2" t="s">
        <v>517</v>
      </c>
      <c r="D738" s="8" t="s">
        <v>46</v>
      </c>
      <c r="E738" s="9" t="s">
        <v>338</v>
      </c>
      <c r="F738" s="33">
        <v>1.0</v>
      </c>
      <c r="G738" s="33">
        <v>1390.0</v>
      </c>
      <c r="H738" s="5">
        <v>46110.0</v>
      </c>
      <c r="I738" s="2" t="s">
        <v>14</v>
      </c>
      <c r="J738" s="12" t="s">
        <v>520</v>
      </c>
    </row>
    <row r="739" ht="22.5" hidden="1" customHeight="1">
      <c r="A739" s="2" t="s">
        <v>464</v>
      </c>
      <c r="B739" s="2" t="s">
        <v>516</v>
      </c>
      <c r="C739" s="2" t="s">
        <v>517</v>
      </c>
      <c r="D739" s="8" t="s">
        <v>46</v>
      </c>
      <c r="E739" s="9" t="s">
        <v>338</v>
      </c>
      <c r="F739" s="33">
        <v>1.0</v>
      </c>
      <c r="G739" s="33">
        <v>1390.0</v>
      </c>
      <c r="H739" s="5">
        <v>46110.0</v>
      </c>
      <c r="I739" s="2" t="s">
        <v>14</v>
      </c>
      <c r="J739" s="12" t="s">
        <v>465</v>
      </c>
    </row>
    <row r="740" ht="22.5" hidden="1" customHeight="1">
      <c r="A740" s="2" t="s">
        <v>78</v>
      </c>
      <c r="B740" s="2" t="s">
        <v>516</v>
      </c>
      <c r="C740" s="2" t="s">
        <v>517</v>
      </c>
      <c r="D740" s="8" t="s">
        <v>46</v>
      </c>
      <c r="E740" s="9" t="s">
        <v>338</v>
      </c>
      <c r="F740" s="33">
        <v>4.0</v>
      </c>
      <c r="G740" s="33">
        <v>1390.0</v>
      </c>
      <c r="H740" s="5">
        <v>46110.0</v>
      </c>
      <c r="I740" s="2" t="s">
        <v>14</v>
      </c>
      <c r="J740" s="12" t="s">
        <v>521</v>
      </c>
    </row>
    <row r="741" ht="22.5" hidden="1" customHeight="1">
      <c r="A741" s="2" t="s">
        <v>462</v>
      </c>
      <c r="B741" s="2" t="s">
        <v>516</v>
      </c>
      <c r="C741" s="2" t="s">
        <v>517</v>
      </c>
      <c r="D741" s="8" t="s">
        <v>46</v>
      </c>
      <c r="E741" s="9" t="s">
        <v>338</v>
      </c>
      <c r="F741" s="33">
        <v>1.0</v>
      </c>
      <c r="G741" s="33">
        <v>1390.0</v>
      </c>
      <c r="H741" s="5">
        <v>46110.0</v>
      </c>
      <c r="I741" s="2" t="s">
        <v>14</v>
      </c>
      <c r="J741" s="12" t="s">
        <v>463</v>
      </c>
    </row>
    <row r="742" ht="22.5" hidden="1" customHeight="1">
      <c r="A742" s="2" t="s">
        <v>522</v>
      </c>
      <c r="B742" s="2" t="s">
        <v>516</v>
      </c>
      <c r="C742" s="2" t="s">
        <v>517</v>
      </c>
      <c r="D742" s="8" t="s">
        <v>46</v>
      </c>
      <c r="E742" s="9" t="s">
        <v>338</v>
      </c>
      <c r="F742" s="33">
        <v>1.0</v>
      </c>
      <c r="G742" s="33">
        <v>1390.0</v>
      </c>
      <c r="H742" s="5">
        <v>46110.0</v>
      </c>
      <c r="I742" s="2" t="s">
        <v>14</v>
      </c>
      <c r="J742" s="12" t="s">
        <v>523</v>
      </c>
    </row>
    <row r="743" ht="22.5" hidden="1" customHeight="1">
      <c r="A743" s="2" t="s">
        <v>522</v>
      </c>
      <c r="B743" s="2" t="s">
        <v>516</v>
      </c>
      <c r="C743" s="2" t="s">
        <v>517</v>
      </c>
      <c r="D743" s="8" t="s">
        <v>46</v>
      </c>
      <c r="E743" s="9" t="s">
        <v>338</v>
      </c>
      <c r="F743" s="33">
        <v>1.0</v>
      </c>
      <c r="G743" s="33">
        <v>1390.0</v>
      </c>
      <c r="H743" s="5">
        <v>46110.0</v>
      </c>
      <c r="I743" s="2" t="s">
        <v>14</v>
      </c>
      <c r="J743" s="12" t="s">
        <v>523</v>
      </c>
    </row>
    <row r="744" ht="22.5" hidden="1" customHeight="1">
      <c r="A744" s="2" t="s">
        <v>524</v>
      </c>
      <c r="B744" s="2" t="s">
        <v>516</v>
      </c>
      <c r="C744" s="2" t="s">
        <v>517</v>
      </c>
      <c r="D744" s="8" t="s">
        <v>46</v>
      </c>
      <c r="E744" s="9" t="s">
        <v>338</v>
      </c>
      <c r="F744" s="33">
        <v>2.0</v>
      </c>
      <c r="G744" s="33">
        <v>1390.0</v>
      </c>
      <c r="H744" s="5">
        <v>46110.0</v>
      </c>
      <c r="I744" s="2" t="s">
        <v>14</v>
      </c>
      <c r="J744" s="12" t="s">
        <v>525</v>
      </c>
    </row>
    <row r="745" ht="22.5" hidden="1" customHeight="1">
      <c r="A745" s="2" t="s">
        <v>526</v>
      </c>
      <c r="B745" s="2" t="s">
        <v>516</v>
      </c>
      <c r="C745" s="2" t="s">
        <v>517</v>
      </c>
      <c r="D745" s="8" t="s">
        <v>46</v>
      </c>
      <c r="E745" s="9" t="s">
        <v>338</v>
      </c>
      <c r="F745" s="33">
        <v>4.0</v>
      </c>
      <c r="G745" s="33">
        <v>1390.0</v>
      </c>
      <c r="H745" s="5">
        <v>46110.0</v>
      </c>
      <c r="I745" s="2" t="s">
        <v>14</v>
      </c>
      <c r="J745" s="12" t="s">
        <v>527</v>
      </c>
    </row>
    <row r="746" ht="22.5" hidden="1" customHeight="1">
      <c r="A746" s="2" t="s">
        <v>528</v>
      </c>
      <c r="B746" s="2" t="s">
        <v>516</v>
      </c>
      <c r="C746" s="2" t="s">
        <v>517</v>
      </c>
      <c r="D746" s="8" t="s">
        <v>46</v>
      </c>
      <c r="E746" s="9" t="s">
        <v>338</v>
      </c>
      <c r="F746" s="33">
        <v>2.0</v>
      </c>
      <c r="G746" s="33">
        <v>1390.0</v>
      </c>
      <c r="H746" s="5">
        <v>46110.0</v>
      </c>
      <c r="I746" s="2" t="s">
        <v>14</v>
      </c>
      <c r="J746" s="12" t="s">
        <v>529</v>
      </c>
    </row>
    <row r="747" ht="22.5" hidden="1" customHeight="1">
      <c r="A747" s="2" t="s">
        <v>530</v>
      </c>
      <c r="B747" s="2" t="s">
        <v>516</v>
      </c>
      <c r="C747" s="2" t="s">
        <v>517</v>
      </c>
      <c r="D747" s="8" t="s">
        <v>46</v>
      </c>
      <c r="E747" s="9" t="s">
        <v>338</v>
      </c>
      <c r="F747" s="33">
        <v>2.0</v>
      </c>
      <c r="G747" s="33">
        <v>1390.0</v>
      </c>
      <c r="H747" s="5">
        <v>46110.0</v>
      </c>
      <c r="I747" s="2" t="s">
        <v>14</v>
      </c>
      <c r="J747" s="12" t="s">
        <v>531</v>
      </c>
    </row>
    <row r="748" ht="22.5" hidden="1" customHeight="1">
      <c r="A748" s="2" t="s">
        <v>532</v>
      </c>
      <c r="B748" s="2" t="s">
        <v>516</v>
      </c>
      <c r="C748" s="2" t="s">
        <v>517</v>
      </c>
      <c r="D748" s="8" t="s">
        <v>46</v>
      </c>
      <c r="E748" s="9" t="s">
        <v>338</v>
      </c>
      <c r="F748" s="33">
        <v>2.0</v>
      </c>
      <c r="G748" s="33">
        <v>1390.0</v>
      </c>
      <c r="H748" s="5">
        <v>46110.0</v>
      </c>
      <c r="I748" s="2" t="s">
        <v>14</v>
      </c>
      <c r="J748" s="12" t="s">
        <v>533</v>
      </c>
    </row>
    <row r="749" ht="22.5" hidden="1" customHeight="1">
      <c r="A749" s="2" t="s">
        <v>534</v>
      </c>
      <c r="B749" s="2" t="s">
        <v>516</v>
      </c>
      <c r="C749" s="2" t="s">
        <v>517</v>
      </c>
      <c r="D749" s="8" t="s">
        <v>46</v>
      </c>
      <c r="E749" s="9" t="s">
        <v>338</v>
      </c>
      <c r="F749" s="33">
        <v>2.0</v>
      </c>
      <c r="G749" s="33">
        <v>1390.0</v>
      </c>
      <c r="H749" s="5">
        <v>46110.0</v>
      </c>
      <c r="I749" s="2" t="s">
        <v>14</v>
      </c>
      <c r="J749" s="12" t="s">
        <v>535</v>
      </c>
    </row>
    <row r="750" ht="22.5" hidden="1" customHeight="1">
      <c r="A750" s="2" t="s">
        <v>401</v>
      </c>
      <c r="B750" s="2" t="s">
        <v>516</v>
      </c>
      <c r="C750" s="2" t="s">
        <v>517</v>
      </c>
      <c r="D750" s="8" t="s">
        <v>46</v>
      </c>
      <c r="E750" s="9" t="s">
        <v>338</v>
      </c>
      <c r="F750" s="33">
        <v>1.0</v>
      </c>
      <c r="G750" s="33">
        <v>1390.0</v>
      </c>
      <c r="H750" s="5">
        <v>46110.0</v>
      </c>
      <c r="I750" s="2" t="s">
        <v>14</v>
      </c>
      <c r="J750" s="12" t="s">
        <v>536</v>
      </c>
    </row>
    <row r="751" ht="22.5" hidden="1" customHeight="1">
      <c r="A751" s="2" t="s">
        <v>537</v>
      </c>
      <c r="B751" s="2" t="s">
        <v>516</v>
      </c>
      <c r="C751" s="2" t="s">
        <v>517</v>
      </c>
      <c r="D751" s="8" t="s">
        <v>46</v>
      </c>
      <c r="E751" s="9" t="s">
        <v>338</v>
      </c>
      <c r="F751" s="33">
        <v>1.0</v>
      </c>
      <c r="G751" s="33">
        <v>1390.0</v>
      </c>
      <c r="H751" s="5">
        <v>46110.0</v>
      </c>
      <c r="I751" s="2" t="s">
        <v>14</v>
      </c>
      <c r="J751" s="12" t="s">
        <v>538</v>
      </c>
    </row>
    <row r="752" ht="22.5" hidden="1" customHeight="1">
      <c r="A752" s="2" t="s">
        <v>539</v>
      </c>
      <c r="B752" s="2" t="s">
        <v>516</v>
      </c>
      <c r="C752" s="2" t="s">
        <v>517</v>
      </c>
      <c r="D752" s="8" t="s">
        <v>46</v>
      </c>
      <c r="E752" s="9" t="s">
        <v>338</v>
      </c>
      <c r="F752" s="33">
        <v>2.0</v>
      </c>
      <c r="G752" s="33">
        <v>1390.0</v>
      </c>
      <c r="H752" s="5">
        <v>46110.0</v>
      </c>
      <c r="I752" s="2" t="s">
        <v>14</v>
      </c>
      <c r="J752" s="12" t="s">
        <v>540</v>
      </c>
    </row>
    <row r="753" ht="22.5" hidden="1" customHeight="1">
      <c r="A753" s="2" t="s">
        <v>312</v>
      </c>
      <c r="B753" s="2" t="s">
        <v>516</v>
      </c>
      <c r="C753" s="2" t="s">
        <v>517</v>
      </c>
      <c r="D753" s="8" t="s">
        <v>46</v>
      </c>
      <c r="E753" s="9" t="s">
        <v>338</v>
      </c>
      <c r="F753" s="33">
        <v>1.0</v>
      </c>
      <c r="G753" s="33">
        <v>1390.0</v>
      </c>
      <c r="H753" s="5">
        <v>46110.0</v>
      </c>
      <c r="I753" s="2" t="s">
        <v>14</v>
      </c>
      <c r="J753" s="12" t="s">
        <v>541</v>
      </c>
    </row>
    <row r="754" ht="22.5" hidden="1" customHeight="1">
      <c r="A754" s="2" t="s">
        <v>122</v>
      </c>
      <c r="B754" s="2" t="s">
        <v>516</v>
      </c>
      <c r="C754" s="2" t="s">
        <v>517</v>
      </c>
      <c r="D754" s="8" t="s">
        <v>46</v>
      </c>
      <c r="E754" s="9" t="s">
        <v>338</v>
      </c>
      <c r="F754" s="33">
        <v>2.0</v>
      </c>
      <c r="G754" s="33">
        <v>1390.0</v>
      </c>
      <c r="H754" s="5">
        <v>46110.0</v>
      </c>
      <c r="I754" s="2" t="s">
        <v>14</v>
      </c>
      <c r="J754" s="12" t="s">
        <v>542</v>
      </c>
    </row>
    <row r="755" ht="22.5" hidden="1" customHeight="1">
      <c r="A755" s="2" t="s">
        <v>543</v>
      </c>
      <c r="B755" s="2" t="s">
        <v>516</v>
      </c>
      <c r="C755" s="2" t="s">
        <v>517</v>
      </c>
      <c r="D755" s="8" t="s">
        <v>46</v>
      </c>
      <c r="E755" s="9" t="s">
        <v>338</v>
      </c>
      <c r="F755" s="33">
        <v>2.0</v>
      </c>
      <c r="G755" s="33">
        <v>1390.0</v>
      </c>
      <c r="H755" s="5">
        <v>46110.0</v>
      </c>
      <c r="I755" s="2" t="s">
        <v>14</v>
      </c>
      <c r="J755" s="12" t="s">
        <v>544</v>
      </c>
    </row>
    <row r="756" ht="22.5" hidden="1" customHeight="1">
      <c r="A756" s="2" t="s">
        <v>545</v>
      </c>
      <c r="B756" s="2" t="s">
        <v>516</v>
      </c>
      <c r="C756" s="2" t="s">
        <v>517</v>
      </c>
      <c r="D756" s="8" t="s">
        <v>46</v>
      </c>
      <c r="E756" s="9" t="s">
        <v>338</v>
      </c>
      <c r="F756" s="33">
        <v>1.0</v>
      </c>
      <c r="G756" s="33">
        <v>1390.0</v>
      </c>
      <c r="H756" s="5">
        <v>46110.0</v>
      </c>
      <c r="I756" s="2" t="s">
        <v>14</v>
      </c>
      <c r="J756" s="12" t="s">
        <v>546</v>
      </c>
    </row>
    <row r="757" ht="22.5" hidden="1" customHeight="1">
      <c r="A757" s="2" t="s">
        <v>547</v>
      </c>
      <c r="B757" s="2" t="s">
        <v>516</v>
      </c>
      <c r="C757" s="2" t="s">
        <v>517</v>
      </c>
      <c r="D757" s="8" t="s">
        <v>46</v>
      </c>
      <c r="E757" s="9" t="s">
        <v>338</v>
      </c>
      <c r="F757" s="33">
        <v>2.0</v>
      </c>
      <c r="G757" s="33">
        <v>1390.0</v>
      </c>
      <c r="H757" s="5">
        <v>46110.0</v>
      </c>
      <c r="I757" s="2" t="s">
        <v>14</v>
      </c>
      <c r="J757" s="12" t="s">
        <v>548</v>
      </c>
    </row>
    <row r="758" ht="22.5" hidden="1" customHeight="1">
      <c r="A758" s="2" t="s">
        <v>549</v>
      </c>
      <c r="B758" s="2" t="s">
        <v>516</v>
      </c>
      <c r="C758" s="2" t="s">
        <v>517</v>
      </c>
      <c r="D758" s="8" t="s">
        <v>46</v>
      </c>
      <c r="E758" s="9" t="s">
        <v>338</v>
      </c>
      <c r="F758" s="33">
        <v>2.0</v>
      </c>
      <c r="G758" s="33">
        <v>1390.0</v>
      </c>
      <c r="H758" s="5">
        <v>46110.0</v>
      </c>
      <c r="I758" s="2" t="s">
        <v>14</v>
      </c>
      <c r="J758" s="12" t="s">
        <v>550</v>
      </c>
    </row>
    <row r="759" ht="22.5" hidden="1" customHeight="1">
      <c r="A759" s="2" t="s">
        <v>374</v>
      </c>
      <c r="B759" s="2" t="s">
        <v>516</v>
      </c>
      <c r="C759" s="2" t="s">
        <v>517</v>
      </c>
      <c r="D759" s="8" t="s">
        <v>46</v>
      </c>
      <c r="E759" s="9" t="s">
        <v>338</v>
      </c>
      <c r="F759" s="33">
        <v>1.0</v>
      </c>
      <c r="G759" s="33">
        <v>1390.0</v>
      </c>
      <c r="H759" s="5">
        <v>46110.0</v>
      </c>
      <c r="I759" s="2" t="s">
        <v>14</v>
      </c>
      <c r="J759" s="12" t="s">
        <v>551</v>
      </c>
    </row>
    <row r="760" ht="22.5" hidden="1" customHeight="1">
      <c r="A760" s="2" t="s">
        <v>230</v>
      </c>
      <c r="B760" s="2" t="s">
        <v>516</v>
      </c>
      <c r="C760" s="2" t="s">
        <v>517</v>
      </c>
      <c r="D760" s="8" t="s">
        <v>46</v>
      </c>
      <c r="E760" s="9" t="s">
        <v>338</v>
      </c>
      <c r="F760" s="33">
        <v>2.0</v>
      </c>
      <c r="G760" s="33">
        <v>1390.0</v>
      </c>
      <c r="H760" s="5">
        <v>46110.0</v>
      </c>
      <c r="I760" s="2" t="s">
        <v>14</v>
      </c>
      <c r="J760" s="12" t="s">
        <v>552</v>
      </c>
    </row>
    <row r="761" ht="22.5" hidden="1" customHeight="1">
      <c r="A761" s="2" t="s">
        <v>553</v>
      </c>
      <c r="B761" s="2" t="s">
        <v>516</v>
      </c>
      <c r="C761" s="2" t="s">
        <v>517</v>
      </c>
      <c r="D761" s="8" t="s">
        <v>46</v>
      </c>
      <c r="E761" s="9" t="s">
        <v>338</v>
      </c>
      <c r="F761" s="33">
        <v>1.0</v>
      </c>
      <c r="G761" s="33">
        <v>1390.0</v>
      </c>
      <c r="H761" s="5">
        <v>46110.0</v>
      </c>
      <c r="I761" s="2" t="s">
        <v>24</v>
      </c>
      <c r="J761" s="12" t="s">
        <v>554</v>
      </c>
    </row>
    <row r="762" ht="22.5" hidden="1" customHeight="1">
      <c r="A762" s="2" t="s">
        <v>555</v>
      </c>
      <c r="B762" s="2" t="s">
        <v>516</v>
      </c>
      <c r="C762" s="2" t="s">
        <v>517</v>
      </c>
      <c r="D762" s="8" t="s">
        <v>46</v>
      </c>
      <c r="E762" s="9" t="s">
        <v>338</v>
      </c>
      <c r="F762" s="33">
        <v>2.0</v>
      </c>
      <c r="G762" s="33">
        <v>1390.0</v>
      </c>
      <c r="H762" s="5">
        <v>46110.0</v>
      </c>
      <c r="I762" s="2" t="s">
        <v>14</v>
      </c>
      <c r="J762" s="12" t="s">
        <v>556</v>
      </c>
    </row>
    <row r="763" ht="22.5" hidden="1" customHeight="1">
      <c r="A763" s="2" t="s">
        <v>557</v>
      </c>
      <c r="B763" s="2" t="s">
        <v>440</v>
      </c>
      <c r="C763" s="2" t="s">
        <v>441</v>
      </c>
      <c r="D763" s="8" t="s">
        <v>46</v>
      </c>
      <c r="E763" s="9" t="s">
        <v>16</v>
      </c>
      <c r="F763" s="33">
        <v>1.0</v>
      </c>
      <c r="G763" s="33">
        <v>1200.0</v>
      </c>
      <c r="H763" s="5">
        <v>46110.0</v>
      </c>
      <c r="I763" s="2" t="s">
        <v>14</v>
      </c>
      <c r="J763" s="12" t="s">
        <v>558</v>
      </c>
    </row>
    <row r="764" ht="22.5" hidden="1" customHeight="1">
      <c r="A764" s="2" t="s">
        <v>559</v>
      </c>
      <c r="B764" s="2" t="s">
        <v>440</v>
      </c>
      <c r="C764" s="2" t="s">
        <v>441</v>
      </c>
      <c r="D764" s="8" t="s">
        <v>46</v>
      </c>
      <c r="E764" s="9" t="s">
        <v>26</v>
      </c>
      <c r="F764" s="33">
        <v>1.0</v>
      </c>
      <c r="G764" s="33">
        <v>1200.0</v>
      </c>
      <c r="H764" s="5">
        <v>46110.0</v>
      </c>
      <c r="I764" s="2" t="s">
        <v>14</v>
      </c>
      <c r="J764" s="12" t="s">
        <v>560</v>
      </c>
    </row>
    <row r="765" ht="22.5" hidden="1" customHeight="1">
      <c r="A765" s="2" t="s">
        <v>559</v>
      </c>
      <c r="B765" s="2" t="s">
        <v>440</v>
      </c>
      <c r="C765" s="2" t="s">
        <v>441</v>
      </c>
      <c r="D765" s="8" t="s">
        <v>46</v>
      </c>
      <c r="E765" s="9" t="s">
        <v>47</v>
      </c>
      <c r="F765" s="33">
        <v>1.0</v>
      </c>
      <c r="G765" s="33">
        <v>1200.0</v>
      </c>
      <c r="H765" s="5">
        <v>46110.0</v>
      </c>
      <c r="I765" s="2" t="s">
        <v>14</v>
      </c>
      <c r="J765" s="12" t="s">
        <v>560</v>
      </c>
    </row>
    <row r="766" ht="22.5" hidden="1" customHeight="1">
      <c r="A766" s="2" t="s">
        <v>561</v>
      </c>
      <c r="B766" s="2" t="s">
        <v>440</v>
      </c>
      <c r="C766" s="2" t="s">
        <v>441</v>
      </c>
      <c r="D766" s="8" t="s">
        <v>46</v>
      </c>
      <c r="E766" s="9" t="s">
        <v>47</v>
      </c>
      <c r="F766" s="33">
        <v>1.0</v>
      </c>
      <c r="G766" s="33">
        <v>1200.0</v>
      </c>
      <c r="H766" s="5">
        <v>46110.0</v>
      </c>
      <c r="I766" s="2" t="s">
        <v>14</v>
      </c>
      <c r="J766" s="12" t="s">
        <v>562</v>
      </c>
    </row>
    <row r="767" ht="22.5" hidden="1" customHeight="1">
      <c r="A767" s="2" t="s">
        <v>563</v>
      </c>
      <c r="B767" s="2" t="s">
        <v>440</v>
      </c>
      <c r="C767" s="2" t="s">
        <v>441</v>
      </c>
      <c r="D767" s="8" t="s">
        <v>46</v>
      </c>
      <c r="E767" s="9" t="s">
        <v>26</v>
      </c>
      <c r="F767" s="33">
        <v>1.0</v>
      </c>
      <c r="G767" s="33">
        <v>1200.0</v>
      </c>
      <c r="H767" s="5">
        <v>46110.0</v>
      </c>
      <c r="I767" s="2" t="s">
        <v>14</v>
      </c>
      <c r="J767" s="12" t="s">
        <v>564</v>
      </c>
    </row>
    <row r="768" ht="22.5" hidden="1" customHeight="1">
      <c r="A768" s="2" t="s">
        <v>563</v>
      </c>
      <c r="B768" s="2" t="s">
        <v>440</v>
      </c>
      <c r="C768" s="2" t="s">
        <v>441</v>
      </c>
      <c r="D768" s="8" t="s">
        <v>46</v>
      </c>
      <c r="E768" s="9" t="s">
        <v>447</v>
      </c>
      <c r="F768" s="33">
        <v>1.0</v>
      </c>
      <c r="G768" s="33">
        <v>1200.0</v>
      </c>
      <c r="H768" s="5">
        <v>46110.0</v>
      </c>
      <c r="I768" s="2" t="s">
        <v>14</v>
      </c>
      <c r="J768" s="12" t="s">
        <v>564</v>
      </c>
    </row>
    <row r="769" ht="22.5" hidden="1" customHeight="1">
      <c r="A769" s="2" t="s">
        <v>205</v>
      </c>
      <c r="B769" s="2" t="s">
        <v>377</v>
      </c>
      <c r="C769" s="2" t="s">
        <v>378</v>
      </c>
      <c r="D769" s="8" t="s">
        <v>46</v>
      </c>
      <c r="E769" s="9" t="s">
        <v>18</v>
      </c>
      <c r="F769" s="33">
        <v>1.0</v>
      </c>
      <c r="G769" s="33">
        <v>750.0</v>
      </c>
      <c r="H769" s="5">
        <v>46110.0</v>
      </c>
      <c r="I769" s="2" t="s">
        <v>14</v>
      </c>
    </row>
    <row r="770" ht="22.5" hidden="1" customHeight="1">
      <c r="A770" s="2" t="s">
        <v>205</v>
      </c>
      <c r="B770" s="2" t="s">
        <v>377</v>
      </c>
      <c r="C770" s="2" t="s">
        <v>378</v>
      </c>
      <c r="D770" s="8" t="s">
        <v>46</v>
      </c>
      <c r="E770" s="9" t="s">
        <v>13</v>
      </c>
      <c r="F770" s="33">
        <v>1.0</v>
      </c>
      <c r="G770" s="33">
        <v>750.0</v>
      </c>
      <c r="H770" s="5">
        <v>46110.0</v>
      </c>
      <c r="I770" s="2" t="s">
        <v>14</v>
      </c>
    </row>
    <row r="771" ht="22.5" hidden="1" customHeight="1">
      <c r="A771" s="2" t="s">
        <v>565</v>
      </c>
      <c r="B771" s="2" t="s">
        <v>268</v>
      </c>
      <c r="C771" s="2" t="s">
        <v>269</v>
      </c>
      <c r="D771" s="8">
        <v>37.0</v>
      </c>
      <c r="E771" s="9" t="s">
        <v>47</v>
      </c>
      <c r="F771" s="33">
        <v>1.0</v>
      </c>
      <c r="G771" s="33">
        <v>1990.0</v>
      </c>
      <c r="H771" s="5">
        <v>46110.0</v>
      </c>
      <c r="I771" s="2" t="s">
        <v>14</v>
      </c>
      <c r="J771" s="12" t="s">
        <v>566</v>
      </c>
    </row>
    <row r="772" ht="22.5" hidden="1" customHeight="1">
      <c r="A772" s="2" t="s">
        <v>567</v>
      </c>
      <c r="B772" s="2" t="s">
        <v>568</v>
      </c>
      <c r="C772" s="2">
        <v>8897.0</v>
      </c>
      <c r="D772" s="8" t="s">
        <v>22</v>
      </c>
      <c r="E772" s="9" t="s">
        <v>13</v>
      </c>
      <c r="F772" s="33">
        <v>1.0</v>
      </c>
      <c r="G772" s="33">
        <v>1200.0</v>
      </c>
      <c r="H772" s="5">
        <v>46110.0</v>
      </c>
      <c r="I772" s="2" t="s">
        <v>14</v>
      </c>
      <c r="J772" s="12" t="s">
        <v>569</v>
      </c>
    </row>
    <row r="773" ht="22.5" hidden="1" customHeight="1">
      <c r="A773" s="2" t="s">
        <v>570</v>
      </c>
      <c r="B773" s="2" t="s">
        <v>568</v>
      </c>
      <c r="C773" s="2">
        <v>8897.0</v>
      </c>
      <c r="D773" s="8" t="s">
        <v>22</v>
      </c>
      <c r="E773" s="9" t="s">
        <v>13</v>
      </c>
      <c r="F773" s="33">
        <v>1.0</v>
      </c>
      <c r="G773" s="33">
        <v>1200.0</v>
      </c>
      <c r="H773" s="5">
        <v>46110.0</v>
      </c>
      <c r="I773" s="2" t="s">
        <v>14</v>
      </c>
      <c r="J773" s="12" t="s">
        <v>569</v>
      </c>
    </row>
    <row r="774" ht="22.5" hidden="1" customHeight="1">
      <c r="A774" s="2" t="s">
        <v>247</v>
      </c>
      <c r="B774" s="2" t="s">
        <v>568</v>
      </c>
      <c r="C774" s="2">
        <v>8897.0</v>
      </c>
      <c r="D774" s="8" t="s">
        <v>12</v>
      </c>
      <c r="E774" s="9" t="s">
        <v>13</v>
      </c>
      <c r="F774" s="33">
        <v>1.0</v>
      </c>
      <c r="G774" s="33">
        <v>1200.0</v>
      </c>
      <c r="H774" s="5">
        <v>46110.0</v>
      </c>
      <c r="I774" s="2" t="s">
        <v>14</v>
      </c>
      <c r="J774" s="12" t="s">
        <v>416</v>
      </c>
    </row>
    <row r="775" ht="22.5" hidden="1" customHeight="1">
      <c r="A775" s="2" t="s">
        <v>571</v>
      </c>
      <c r="B775" s="2" t="s">
        <v>568</v>
      </c>
      <c r="C775" s="2">
        <v>8897.0</v>
      </c>
      <c r="D775" s="8" t="s">
        <v>12</v>
      </c>
      <c r="E775" s="9" t="s">
        <v>13</v>
      </c>
      <c r="F775" s="33">
        <v>1.0</v>
      </c>
      <c r="G775" s="33">
        <v>1200.0</v>
      </c>
      <c r="H775" s="5">
        <v>46110.0</v>
      </c>
      <c r="I775" s="2" t="s">
        <v>14</v>
      </c>
      <c r="J775" s="12" t="s">
        <v>572</v>
      </c>
    </row>
    <row r="776" ht="22.5" hidden="1" customHeight="1">
      <c r="A776" s="2" t="s">
        <v>571</v>
      </c>
      <c r="B776" s="2" t="s">
        <v>414</v>
      </c>
      <c r="C776" s="2">
        <v>6866.0</v>
      </c>
      <c r="D776" s="8" t="s">
        <v>46</v>
      </c>
      <c r="E776" s="9" t="s">
        <v>415</v>
      </c>
      <c r="F776" s="33">
        <v>1.0</v>
      </c>
      <c r="G776" s="33">
        <v>2900.0</v>
      </c>
      <c r="H776" s="5">
        <v>46110.0</v>
      </c>
      <c r="I776" s="2" t="s">
        <v>24</v>
      </c>
      <c r="J776" s="12" t="s">
        <v>572</v>
      </c>
    </row>
    <row r="777" ht="22.5" hidden="1" customHeight="1">
      <c r="A777" s="2" t="s">
        <v>571</v>
      </c>
      <c r="B777" s="2" t="s">
        <v>152</v>
      </c>
      <c r="C777" s="2">
        <v>8319.0</v>
      </c>
      <c r="D777" s="8" t="s">
        <v>12</v>
      </c>
      <c r="E777" s="9" t="s">
        <v>58</v>
      </c>
      <c r="F777" s="33">
        <v>1.0</v>
      </c>
      <c r="G777" s="33">
        <v>1800.0</v>
      </c>
      <c r="H777" s="5">
        <v>46110.0</v>
      </c>
      <c r="I777" s="2" t="s">
        <v>14</v>
      </c>
      <c r="J777" s="12" t="s">
        <v>572</v>
      </c>
    </row>
    <row r="778" ht="22.5" hidden="1" customHeight="1">
      <c r="A778" s="2" t="s">
        <v>571</v>
      </c>
      <c r="B778" s="2" t="s">
        <v>268</v>
      </c>
      <c r="C778" s="2" t="s">
        <v>269</v>
      </c>
      <c r="D778" s="8">
        <v>36.0</v>
      </c>
      <c r="E778" s="9" t="s">
        <v>18</v>
      </c>
      <c r="F778" s="33">
        <v>1.0</v>
      </c>
      <c r="G778" s="33">
        <v>1990.0</v>
      </c>
      <c r="H778" s="5">
        <v>46110.0</v>
      </c>
      <c r="I778" s="2" t="s">
        <v>14</v>
      </c>
      <c r="J778" s="12" t="s">
        <v>572</v>
      </c>
    </row>
    <row r="779" ht="22.5" hidden="1" customHeight="1">
      <c r="A779" s="2" t="s">
        <v>571</v>
      </c>
      <c r="B779" s="2" t="s">
        <v>97</v>
      </c>
      <c r="C779" s="2">
        <v>8748.0</v>
      </c>
      <c r="D779" s="8" t="s">
        <v>12</v>
      </c>
      <c r="E779" s="9" t="s">
        <v>58</v>
      </c>
      <c r="F779" s="33">
        <v>1.0</v>
      </c>
      <c r="G779" s="33">
        <v>1800.0</v>
      </c>
      <c r="H779" s="5">
        <v>46110.0</v>
      </c>
      <c r="I779" s="2" t="s">
        <v>14</v>
      </c>
      <c r="J779" s="12" t="s">
        <v>572</v>
      </c>
    </row>
    <row r="780" ht="22.5" hidden="1" customHeight="1">
      <c r="A780" s="2" t="s">
        <v>571</v>
      </c>
      <c r="B780" s="2" t="s">
        <v>182</v>
      </c>
      <c r="C780" s="2">
        <v>9369.0</v>
      </c>
      <c r="D780" s="8" t="s">
        <v>12</v>
      </c>
      <c r="E780" s="9" t="s">
        <v>58</v>
      </c>
      <c r="F780" s="33">
        <v>1.0</v>
      </c>
      <c r="G780" s="33">
        <v>2400.0</v>
      </c>
      <c r="H780" s="5">
        <v>46110.0</v>
      </c>
      <c r="I780" s="2" t="s">
        <v>14</v>
      </c>
      <c r="J780" s="12" t="s">
        <v>572</v>
      </c>
    </row>
    <row r="781" ht="22.5" hidden="1" customHeight="1">
      <c r="A781" s="2" t="s">
        <v>573</v>
      </c>
      <c r="B781" s="2" t="s">
        <v>440</v>
      </c>
      <c r="C781" s="2" t="s">
        <v>441</v>
      </c>
      <c r="D781" s="8" t="s">
        <v>46</v>
      </c>
      <c r="E781" s="9" t="s">
        <v>47</v>
      </c>
      <c r="F781" s="33">
        <v>1.0</v>
      </c>
      <c r="G781" s="33">
        <v>1200.0</v>
      </c>
      <c r="H781" s="5">
        <v>46110.0</v>
      </c>
      <c r="I781" s="2" t="s">
        <v>14</v>
      </c>
      <c r="J781" s="12" t="s">
        <v>574</v>
      </c>
    </row>
    <row r="782" ht="22.5" hidden="1" customHeight="1">
      <c r="A782" s="2" t="s">
        <v>575</v>
      </c>
      <c r="B782" s="2" t="s">
        <v>234</v>
      </c>
      <c r="C782" s="2">
        <v>8740.0</v>
      </c>
      <c r="D782" s="8" t="s">
        <v>22</v>
      </c>
      <c r="E782" s="9" t="s">
        <v>13</v>
      </c>
      <c r="F782" s="33">
        <v>1.0</v>
      </c>
      <c r="G782" s="33">
        <v>1600.0</v>
      </c>
      <c r="H782" s="5">
        <v>46110.0</v>
      </c>
      <c r="I782" s="2" t="s">
        <v>14</v>
      </c>
      <c r="J782" s="12" t="s">
        <v>576</v>
      </c>
    </row>
    <row r="783" ht="22.5" hidden="1" customHeight="1">
      <c r="A783" s="2" t="s">
        <v>575</v>
      </c>
      <c r="B783" s="2" t="s">
        <v>377</v>
      </c>
      <c r="C783" s="2" t="s">
        <v>378</v>
      </c>
      <c r="D783" s="8" t="s">
        <v>46</v>
      </c>
      <c r="E783" s="9" t="s">
        <v>18</v>
      </c>
      <c r="F783" s="33">
        <v>1.0</v>
      </c>
      <c r="G783" s="33">
        <v>750.0</v>
      </c>
      <c r="H783" s="5">
        <v>46110.0</v>
      </c>
      <c r="I783" s="2" t="s">
        <v>14</v>
      </c>
      <c r="J783" s="12" t="s">
        <v>576</v>
      </c>
    </row>
    <row r="784" ht="22.5" hidden="1" customHeight="1">
      <c r="A784" s="2" t="s">
        <v>575</v>
      </c>
      <c r="B784" s="2" t="s">
        <v>377</v>
      </c>
      <c r="C784" s="2" t="s">
        <v>378</v>
      </c>
      <c r="D784" s="8" t="s">
        <v>46</v>
      </c>
      <c r="E784" s="9" t="s">
        <v>47</v>
      </c>
      <c r="F784" s="33">
        <v>1.0</v>
      </c>
      <c r="G784" s="33">
        <v>750.0</v>
      </c>
      <c r="H784" s="5">
        <v>46110.0</v>
      </c>
      <c r="I784" s="2" t="s">
        <v>14</v>
      </c>
      <c r="J784" s="12" t="s">
        <v>576</v>
      </c>
    </row>
    <row r="785" ht="22.5" hidden="1" customHeight="1">
      <c r="A785" s="2" t="s">
        <v>575</v>
      </c>
      <c r="B785" s="2" t="s">
        <v>516</v>
      </c>
      <c r="C785" s="2" t="s">
        <v>517</v>
      </c>
      <c r="D785" s="8" t="s">
        <v>46</v>
      </c>
      <c r="E785" s="9" t="s">
        <v>338</v>
      </c>
      <c r="F785" s="33">
        <v>2.0</v>
      </c>
      <c r="G785" s="33">
        <v>1390.0</v>
      </c>
      <c r="H785" s="5">
        <v>46110.0</v>
      </c>
      <c r="I785" s="2" t="s">
        <v>14</v>
      </c>
      <c r="J785" s="12" t="s">
        <v>576</v>
      </c>
    </row>
    <row r="786" ht="22.5" hidden="1" customHeight="1">
      <c r="A786" s="2" t="s">
        <v>575</v>
      </c>
      <c r="B786" s="2" t="s">
        <v>577</v>
      </c>
      <c r="C786" s="2" t="s">
        <v>578</v>
      </c>
      <c r="D786" s="8" t="s">
        <v>22</v>
      </c>
      <c r="E786" s="34"/>
      <c r="F786" s="33">
        <v>1.0</v>
      </c>
      <c r="G786" s="33">
        <v>1990.0</v>
      </c>
      <c r="H786" s="5">
        <v>46110.0</v>
      </c>
      <c r="I786" s="2" t="s">
        <v>24</v>
      </c>
      <c r="J786" s="12" t="s">
        <v>576</v>
      </c>
    </row>
    <row r="787" ht="22.5" hidden="1" customHeight="1">
      <c r="A787" s="2" t="s">
        <v>575</v>
      </c>
      <c r="B787" s="2" t="s">
        <v>579</v>
      </c>
      <c r="C787" s="2" t="s">
        <v>580</v>
      </c>
      <c r="D787" s="8" t="s">
        <v>75</v>
      </c>
      <c r="E787" s="34"/>
      <c r="F787" s="33">
        <v>1.0</v>
      </c>
      <c r="G787" s="33">
        <v>1550.0</v>
      </c>
      <c r="H787" s="5">
        <v>46110.0</v>
      </c>
      <c r="I787" s="2" t="s">
        <v>24</v>
      </c>
      <c r="J787" s="12" t="s">
        <v>576</v>
      </c>
    </row>
    <row r="788" ht="22.5" hidden="1" customHeight="1">
      <c r="A788" s="2" t="s">
        <v>84</v>
      </c>
      <c r="B788" s="2" t="s">
        <v>365</v>
      </c>
      <c r="C788" s="2">
        <v>9094.0</v>
      </c>
      <c r="D788" s="8" t="s">
        <v>12</v>
      </c>
      <c r="E788" s="9" t="s">
        <v>23</v>
      </c>
      <c r="F788" s="33">
        <v>1.0</v>
      </c>
      <c r="G788" s="33">
        <v>2400.0</v>
      </c>
      <c r="H788" s="5">
        <v>46110.0</v>
      </c>
      <c r="I788" s="2" t="s">
        <v>14</v>
      </c>
      <c r="J788" s="12" t="s">
        <v>493</v>
      </c>
    </row>
    <row r="789" ht="22.5" hidden="1" customHeight="1">
      <c r="A789" s="2" t="s">
        <v>84</v>
      </c>
      <c r="B789" s="2" t="s">
        <v>365</v>
      </c>
      <c r="C789" s="2">
        <v>9094.0</v>
      </c>
      <c r="D789" s="8" t="s">
        <v>12</v>
      </c>
      <c r="E789" s="9" t="s">
        <v>58</v>
      </c>
      <c r="F789" s="33">
        <v>1.0</v>
      </c>
      <c r="G789" s="33">
        <v>2400.0</v>
      </c>
      <c r="H789" s="5">
        <v>46110.0</v>
      </c>
      <c r="I789" s="2" t="s">
        <v>14</v>
      </c>
      <c r="J789" s="12" t="s">
        <v>493</v>
      </c>
    </row>
    <row r="790" ht="22.5" hidden="1" customHeight="1">
      <c r="A790" s="2" t="s">
        <v>581</v>
      </c>
      <c r="B790" s="2" t="s">
        <v>182</v>
      </c>
      <c r="C790" s="2">
        <v>9369.0</v>
      </c>
      <c r="D790" s="8" t="s">
        <v>22</v>
      </c>
      <c r="E790" s="9" t="s">
        <v>58</v>
      </c>
      <c r="F790" s="33">
        <v>1.0</v>
      </c>
      <c r="G790" s="33">
        <v>2400.0</v>
      </c>
      <c r="H790" s="5">
        <v>46110.0</v>
      </c>
      <c r="I790" s="2" t="s">
        <v>14</v>
      </c>
      <c r="J790" s="12" t="s">
        <v>582</v>
      </c>
    </row>
    <row r="791" ht="22.5" hidden="1" customHeight="1">
      <c r="A791" s="2" t="s">
        <v>42</v>
      </c>
      <c r="B791" s="2" t="s">
        <v>352</v>
      </c>
      <c r="C791" s="2">
        <v>5709.0</v>
      </c>
      <c r="D791" s="8" t="s">
        <v>22</v>
      </c>
      <c r="E791" s="9" t="s">
        <v>340</v>
      </c>
      <c r="F791" s="33">
        <v>1.0</v>
      </c>
      <c r="G791" s="33">
        <v>2350.0</v>
      </c>
      <c r="H791" s="5">
        <v>46110.0</v>
      </c>
      <c r="I791" s="2" t="s">
        <v>14</v>
      </c>
      <c r="J791" s="12" t="s">
        <v>583</v>
      </c>
    </row>
    <row r="792" ht="22.5" hidden="1" customHeight="1">
      <c r="A792" s="2" t="s">
        <v>42</v>
      </c>
      <c r="B792" s="2" t="s">
        <v>268</v>
      </c>
      <c r="C792" s="2" t="s">
        <v>269</v>
      </c>
      <c r="D792" s="8">
        <v>37.0</v>
      </c>
      <c r="E792" s="9" t="s">
        <v>18</v>
      </c>
      <c r="F792" s="33">
        <v>1.0</v>
      </c>
      <c r="G792" s="33">
        <v>1990.0</v>
      </c>
      <c r="H792" s="5">
        <v>46110.0</v>
      </c>
      <c r="I792" s="2" t="s">
        <v>14</v>
      </c>
      <c r="J792" s="12" t="s">
        <v>583</v>
      </c>
    </row>
    <row r="793" ht="22.5" hidden="1" customHeight="1">
      <c r="A793" s="2" t="s">
        <v>530</v>
      </c>
      <c r="B793" s="2" t="s">
        <v>97</v>
      </c>
      <c r="C793" s="2">
        <v>8748.0</v>
      </c>
      <c r="D793" s="8" t="s">
        <v>22</v>
      </c>
      <c r="E793" s="9" t="s">
        <v>58</v>
      </c>
      <c r="F793" s="33">
        <v>1.0</v>
      </c>
      <c r="G793" s="33">
        <v>1800.0</v>
      </c>
      <c r="H793" s="5">
        <v>46110.0</v>
      </c>
      <c r="I793" s="2" t="s">
        <v>24</v>
      </c>
      <c r="J793" s="12" t="s">
        <v>531</v>
      </c>
    </row>
    <row r="794" ht="22.5" hidden="1" customHeight="1">
      <c r="A794" s="2" t="s">
        <v>584</v>
      </c>
      <c r="B794" s="2" t="s">
        <v>375</v>
      </c>
      <c r="C794" s="2" t="s">
        <v>376</v>
      </c>
      <c r="D794" s="8">
        <v>37.0</v>
      </c>
      <c r="E794" s="9" t="s">
        <v>18</v>
      </c>
      <c r="F794" s="33">
        <v>1.0</v>
      </c>
      <c r="G794" s="33">
        <v>2350.0</v>
      </c>
      <c r="H794" s="5">
        <v>46110.0</v>
      </c>
      <c r="I794" s="2" t="s">
        <v>14</v>
      </c>
      <c r="J794" s="12" t="s">
        <v>585</v>
      </c>
    </row>
    <row r="795" ht="22.5" hidden="1" customHeight="1">
      <c r="A795" s="2" t="s">
        <v>561</v>
      </c>
      <c r="B795" s="2" t="s">
        <v>579</v>
      </c>
      <c r="C795" s="2" t="s">
        <v>580</v>
      </c>
      <c r="D795" s="8" t="s">
        <v>22</v>
      </c>
      <c r="E795" s="34"/>
      <c r="F795" s="33">
        <v>1.0</v>
      </c>
      <c r="G795" s="33">
        <v>1550.0</v>
      </c>
      <c r="H795" s="5">
        <v>46110.0</v>
      </c>
      <c r="I795" s="2" t="s">
        <v>24</v>
      </c>
      <c r="J795" s="12" t="s">
        <v>562</v>
      </c>
    </row>
    <row r="796" ht="22.5" hidden="1" customHeight="1">
      <c r="A796" s="2" t="s">
        <v>586</v>
      </c>
      <c r="B796" s="2" t="s">
        <v>587</v>
      </c>
      <c r="C796" s="2" t="s">
        <v>588</v>
      </c>
      <c r="D796" s="8" t="s">
        <v>75</v>
      </c>
      <c r="E796" s="34"/>
      <c r="F796" s="33">
        <v>1.0</v>
      </c>
      <c r="G796" s="33">
        <v>1990.0</v>
      </c>
      <c r="H796" s="5">
        <v>46110.0</v>
      </c>
      <c r="I796" s="2" t="s">
        <v>14</v>
      </c>
      <c r="J796" s="12" t="s">
        <v>589</v>
      </c>
    </row>
    <row r="797" ht="22.5" hidden="1" customHeight="1">
      <c r="A797" s="2" t="s">
        <v>590</v>
      </c>
      <c r="B797" s="2" t="s">
        <v>587</v>
      </c>
      <c r="C797" s="2" t="s">
        <v>588</v>
      </c>
      <c r="D797" s="8" t="s">
        <v>22</v>
      </c>
      <c r="E797" s="34"/>
      <c r="F797" s="33">
        <v>1.0</v>
      </c>
      <c r="G797" s="33">
        <v>1990.0</v>
      </c>
      <c r="H797" s="5">
        <v>46110.0</v>
      </c>
      <c r="I797" s="2" t="s">
        <v>24</v>
      </c>
      <c r="J797" s="12" t="s">
        <v>591</v>
      </c>
    </row>
    <row r="798" ht="22.5" hidden="1" customHeight="1">
      <c r="A798" s="2" t="s">
        <v>590</v>
      </c>
      <c r="B798" s="2" t="s">
        <v>375</v>
      </c>
      <c r="C798" s="2" t="s">
        <v>376</v>
      </c>
      <c r="D798" s="8">
        <v>39.0</v>
      </c>
      <c r="E798" s="9" t="s">
        <v>26</v>
      </c>
      <c r="F798" s="33">
        <v>1.0</v>
      </c>
      <c r="G798" s="33">
        <v>2350.0</v>
      </c>
      <c r="H798" s="5">
        <v>46110.0</v>
      </c>
      <c r="I798" s="2" t="s">
        <v>14</v>
      </c>
      <c r="J798" s="12" t="s">
        <v>591</v>
      </c>
    </row>
    <row r="799" ht="22.5" hidden="1" customHeight="1">
      <c r="A799" s="2" t="s">
        <v>592</v>
      </c>
      <c r="B799" s="2" t="s">
        <v>268</v>
      </c>
      <c r="C799" s="2" t="s">
        <v>269</v>
      </c>
      <c r="D799" s="8">
        <v>37.0</v>
      </c>
      <c r="E799" s="9" t="s">
        <v>18</v>
      </c>
      <c r="F799" s="33">
        <v>1.0</v>
      </c>
      <c r="G799" s="33">
        <v>1990.0</v>
      </c>
      <c r="H799" s="5">
        <v>46110.0</v>
      </c>
      <c r="I799" s="2" t="s">
        <v>14</v>
      </c>
      <c r="J799" s="12" t="s">
        <v>593</v>
      </c>
    </row>
    <row r="800" ht="22.5" hidden="1" customHeight="1">
      <c r="A800" s="2" t="s">
        <v>594</v>
      </c>
      <c r="B800" s="2" t="s">
        <v>268</v>
      </c>
      <c r="C800" s="2" t="s">
        <v>269</v>
      </c>
      <c r="D800" s="8">
        <v>39.0</v>
      </c>
      <c r="E800" s="9" t="s">
        <v>18</v>
      </c>
      <c r="F800" s="33">
        <v>1.0</v>
      </c>
      <c r="G800" s="33">
        <v>1990.0</v>
      </c>
      <c r="H800" s="5">
        <v>46110.0</v>
      </c>
      <c r="I800" s="2" t="s">
        <v>14</v>
      </c>
      <c r="J800" s="12" t="s">
        <v>595</v>
      </c>
    </row>
    <row r="801" ht="22.5" hidden="1" customHeight="1">
      <c r="A801" s="2" t="s">
        <v>596</v>
      </c>
      <c r="B801" s="2" t="s">
        <v>268</v>
      </c>
      <c r="C801" s="2" t="s">
        <v>269</v>
      </c>
      <c r="D801" s="8">
        <v>38.0</v>
      </c>
      <c r="E801" s="9" t="s">
        <v>18</v>
      </c>
      <c r="F801" s="33">
        <v>1.0</v>
      </c>
      <c r="G801" s="33">
        <v>1990.0</v>
      </c>
      <c r="H801" s="5">
        <v>46110.0</v>
      </c>
      <c r="I801" s="2" t="s">
        <v>14</v>
      </c>
      <c r="J801" s="12" t="s">
        <v>597</v>
      </c>
    </row>
    <row r="802" ht="22.5" hidden="1" customHeight="1">
      <c r="A802" s="2" t="s">
        <v>598</v>
      </c>
      <c r="B802" s="2" t="s">
        <v>268</v>
      </c>
      <c r="C802" s="2" t="s">
        <v>269</v>
      </c>
      <c r="D802" s="8">
        <v>35.0</v>
      </c>
      <c r="E802" s="9" t="s">
        <v>18</v>
      </c>
      <c r="F802" s="33">
        <v>1.0</v>
      </c>
      <c r="G802" s="33">
        <v>1990.0</v>
      </c>
      <c r="H802" s="5">
        <v>46110.0</v>
      </c>
      <c r="I802" s="2" t="s">
        <v>14</v>
      </c>
      <c r="J802" s="12" t="s">
        <v>599</v>
      </c>
    </row>
    <row r="803" ht="22.5" hidden="1" customHeight="1">
      <c r="A803" s="2" t="s">
        <v>600</v>
      </c>
      <c r="B803" s="2" t="s">
        <v>516</v>
      </c>
      <c r="C803" s="2" t="s">
        <v>517</v>
      </c>
      <c r="D803" s="8" t="s">
        <v>46</v>
      </c>
      <c r="E803" s="9" t="s">
        <v>338</v>
      </c>
      <c r="F803" s="33">
        <v>2.0</v>
      </c>
      <c r="G803" s="33">
        <v>1390.0</v>
      </c>
      <c r="H803" s="5">
        <v>46110.0</v>
      </c>
      <c r="I803" s="2" t="s">
        <v>14</v>
      </c>
      <c r="J803" s="12" t="s">
        <v>601</v>
      </c>
    </row>
    <row r="804" ht="22.5" hidden="1" customHeight="1">
      <c r="A804" s="2" t="s">
        <v>63</v>
      </c>
      <c r="B804" s="2" t="s">
        <v>375</v>
      </c>
      <c r="C804" s="2" t="s">
        <v>376</v>
      </c>
      <c r="D804" s="8">
        <v>38.0</v>
      </c>
      <c r="E804" s="9" t="s">
        <v>26</v>
      </c>
      <c r="F804" s="33">
        <v>1.0</v>
      </c>
      <c r="G804" s="33">
        <v>2350.0</v>
      </c>
      <c r="H804" s="5">
        <v>46110.0</v>
      </c>
      <c r="I804" s="2" t="s">
        <v>14</v>
      </c>
      <c r="J804" s="12" t="s">
        <v>602</v>
      </c>
    </row>
    <row r="805" ht="22.5" hidden="1" customHeight="1">
      <c r="A805" s="2" t="s">
        <v>557</v>
      </c>
      <c r="B805" s="2" t="s">
        <v>268</v>
      </c>
      <c r="C805" s="2" t="s">
        <v>269</v>
      </c>
      <c r="D805" s="8">
        <v>35.0</v>
      </c>
      <c r="E805" s="9" t="s">
        <v>18</v>
      </c>
      <c r="F805" s="33">
        <v>1.0</v>
      </c>
      <c r="G805" s="33">
        <v>1990.0</v>
      </c>
      <c r="H805" s="5">
        <v>46110.0</v>
      </c>
      <c r="I805" s="2" t="s">
        <v>14</v>
      </c>
      <c r="J805" s="12" t="s">
        <v>558</v>
      </c>
    </row>
    <row r="806" ht="22.5" hidden="1" customHeight="1">
      <c r="A806" s="2" t="s">
        <v>364</v>
      </c>
      <c r="B806" s="2" t="s">
        <v>234</v>
      </c>
      <c r="C806" s="2">
        <v>8740.0</v>
      </c>
      <c r="D806" s="8" t="s">
        <v>22</v>
      </c>
      <c r="E806" s="9" t="s">
        <v>13</v>
      </c>
      <c r="F806" s="33">
        <v>1.0</v>
      </c>
      <c r="G806" s="33">
        <v>1600.0</v>
      </c>
      <c r="H806" s="5">
        <v>46110.0</v>
      </c>
      <c r="I806" s="2" t="s">
        <v>14</v>
      </c>
      <c r="J806" s="12" t="s">
        <v>475</v>
      </c>
    </row>
    <row r="807" ht="22.5" hidden="1" customHeight="1">
      <c r="A807" s="2" t="s">
        <v>384</v>
      </c>
      <c r="B807" s="2" t="s">
        <v>234</v>
      </c>
      <c r="C807" s="2">
        <v>8740.0</v>
      </c>
      <c r="D807" s="8" t="s">
        <v>22</v>
      </c>
      <c r="E807" s="9" t="s">
        <v>13</v>
      </c>
      <c r="F807" s="33">
        <v>1.0</v>
      </c>
      <c r="G807" s="33">
        <v>1600.0</v>
      </c>
      <c r="H807" s="5">
        <v>46110.0</v>
      </c>
      <c r="I807" s="2" t="s">
        <v>14</v>
      </c>
      <c r="J807" s="12" t="s">
        <v>487</v>
      </c>
    </row>
    <row r="808" ht="22.5" hidden="1" customHeight="1">
      <c r="A808" s="2" t="s">
        <v>581</v>
      </c>
      <c r="B808" s="2" t="s">
        <v>268</v>
      </c>
      <c r="C808" s="2" t="s">
        <v>269</v>
      </c>
      <c r="D808" s="8">
        <v>36.0</v>
      </c>
      <c r="E808" s="9" t="s">
        <v>18</v>
      </c>
      <c r="F808" s="33">
        <v>1.0</v>
      </c>
      <c r="G808" s="33">
        <v>1990.0</v>
      </c>
      <c r="H808" s="5">
        <v>46110.0</v>
      </c>
      <c r="I808" s="2" t="s">
        <v>14</v>
      </c>
      <c r="J808" s="12" t="s">
        <v>582</v>
      </c>
    </row>
    <row r="809" ht="22.5" hidden="1" customHeight="1">
      <c r="A809" s="2" t="s">
        <v>603</v>
      </c>
      <c r="B809" s="2" t="s">
        <v>268</v>
      </c>
      <c r="C809" s="2" t="s">
        <v>269</v>
      </c>
      <c r="D809" s="8">
        <v>39.0</v>
      </c>
      <c r="E809" s="9" t="s">
        <v>18</v>
      </c>
      <c r="F809" s="33">
        <v>1.0</v>
      </c>
      <c r="G809" s="33">
        <v>1990.0</v>
      </c>
      <c r="H809" s="5">
        <v>46110.0</v>
      </c>
      <c r="I809" s="2" t="s">
        <v>14</v>
      </c>
      <c r="J809" s="12" t="s">
        <v>604</v>
      </c>
    </row>
    <row r="810" ht="22.5" hidden="1" customHeight="1">
      <c r="A810" s="2" t="s">
        <v>605</v>
      </c>
      <c r="B810" s="2" t="s">
        <v>268</v>
      </c>
      <c r="C810" s="2" t="s">
        <v>269</v>
      </c>
      <c r="D810" s="8">
        <v>37.0</v>
      </c>
      <c r="E810" s="9" t="s">
        <v>18</v>
      </c>
      <c r="F810" s="33">
        <v>1.0</v>
      </c>
      <c r="G810" s="33">
        <v>1990.0</v>
      </c>
      <c r="H810" s="5">
        <v>46110.0</v>
      </c>
      <c r="I810" s="2" t="s">
        <v>14</v>
      </c>
      <c r="J810" s="12" t="s">
        <v>606</v>
      </c>
    </row>
    <row r="811" ht="22.5" hidden="1" customHeight="1">
      <c r="A811" s="2" t="s">
        <v>607</v>
      </c>
      <c r="B811" s="2" t="s">
        <v>268</v>
      </c>
      <c r="C811" s="2" t="s">
        <v>269</v>
      </c>
      <c r="D811" s="8">
        <v>39.0</v>
      </c>
      <c r="E811" s="9" t="s">
        <v>47</v>
      </c>
      <c r="F811" s="33">
        <v>1.0</v>
      </c>
      <c r="G811" s="33">
        <v>1990.0</v>
      </c>
      <c r="H811" s="5">
        <v>46110.0</v>
      </c>
      <c r="I811" s="2" t="s">
        <v>14</v>
      </c>
      <c r="J811" s="12" t="s">
        <v>608</v>
      </c>
    </row>
    <row r="812" ht="22.5" hidden="1" customHeight="1">
      <c r="A812" s="2" t="s">
        <v>609</v>
      </c>
      <c r="B812" s="2" t="s">
        <v>182</v>
      </c>
      <c r="C812" s="2">
        <v>9369.0</v>
      </c>
      <c r="D812" s="8" t="s">
        <v>12</v>
      </c>
      <c r="E812" s="9" t="s">
        <v>58</v>
      </c>
      <c r="F812" s="33">
        <v>1.0</v>
      </c>
      <c r="G812" s="33">
        <v>2400.0</v>
      </c>
      <c r="H812" s="5">
        <v>46110.0</v>
      </c>
      <c r="I812" s="2" t="s">
        <v>14</v>
      </c>
      <c r="J812" s="12" t="s">
        <v>610</v>
      </c>
    </row>
    <row r="813" ht="22.5" hidden="1" customHeight="1">
      <c r="A813" s="2" t="s">
        <v>611</v>
      </c>
      <c r="B813" s="2" t="s">
        <v>268</v>
      </c>
      <c r="C813" s="2" t="s">
        <v>269</v>
      </c>
      <c r="D813" s="8">
        <v>36.0</v>
      </c>
      <c r="E813" s="9" t="s">
        <v>18</v>
      </c>
      <c r="F813" s="33">
        <v>1.0</v>
      </c>
      <c r="G813" s="33">
        <v>1990.0</v>
      </c>
      <c r="H813" s="5">
        <v>46110.0</v>
      </c>
      <c r="I813" s="2" t="s">
        <v>14</v>
      </c>
      <c r="J813" s="12" t="s">
        <v>612</v>
      </c>
    </row>
    <row r="814" ht="22.5" hidden="1" customHeight="1">
      <c r="A814" s="2" t="s">
        <v>613</v>
      </c>
      <c r="B814" s="2" t="s">
        <v>268</v>
      </c>
      <c r="C814" s="2" t="s">
        <v>269</v>
      </c>
      <c r="D814" s="8">
        <v>36.0</v>
      </c>
      <c r="E814" s="9" t="s">
        <v>18</v>
      </c>
      <c r="F814" s="33">
        <v>1.0</v>
      </c>
      <c r="G814" s="33">
        <v>1990.0</v>
      </c>
      <c r="H814" s="5">
        <v>46110.0</v>
      </c>
      <c r="I814" s="2" t="s">
        <v>14</v>
      </c>
      <c r="J814" s="12" t="s">
        <v>614</v>
      </c>
    </row>
    <row r="815" ht="22.5" hidden="1" customHeight="1">
      <c r="A815" s="2" t="s">
        <v>508</v>
      </c>
      <c r="B815" s="2" t="s">
        <v>377</v>
      </c>
      <c r="C815" s="2" t="s">
        <v>378</v>
      </c>
      <c r="D815" s="8" t="s">
        <v>46</v>
      </c>
      <c r="E815" s="9" t="s">
        <v>18</v>
      </c>
      <c r="F815" s="33">
        <v>1.0</v>
      </c>
      <c r="G815" s="33">
        <v>750.0</v>
      </c>
      <c r="H815" s="5">
        <v>46110.0</v>
      </c>
      <c r="I815" s="2" t="s">
        <v>14</v>
      </c>
      <c r="J815" s="12" t="s">
        <v>509</v>
      </c>
    </row>
    <row r="816" ht="22.5" hidden="1" customHeight="1">
      <c r="A816" s="2" t="s">
        <v>615</v>
      </c>
      <c r="B816" s="2" t="s">
        <v>268</v>
      </c>
      <c r="C816" s="2" t="s">
        <v>269</v>
      </c>
      <c r="D816" s="8">
        <v>36.0</v>
      </c>
      <c r="E816" s="9" t="s">
        <v>18</v>
      </c>
      <c r="F816" s="33">
        <v>1.0</v>
      </c>
      <c r="G816" s="33">
        <v>1990.0</v>
      </c>
      <c r="H816" s="5">
        <v>46110.0</v>
      </c>
      <c r="I816" s="2" t="s">
        <v>24</v>
      </c>
      <c r="J816" s="12" t="s">
        <v>616</v>
      </c>
    </row>
    <row r="817" ht="22.5" hidden="1" customHeight="1">
      <c r="A817" s="2" t="s">
        <v>508</v>
      </c>
      <c r="B817" s="2" t="s">
        <v>377</v>
      </c>
      <c r="C817" s="2" t="s">
        <v>378</v>
      </c>
      <c r="D817" s="8" t="s">
        <v>46</v>
      </c>
      <c r="E817" s="9" t="s">
        <v>13</v>
      </c>
      <c r="F817" s="33">
        <v>1.0</v>
      </c>
      <c r="G817" s="33">
        <v>750.0</v>
      </c>
      <c r="H817" s="5">
        <v>46110.0</v>
      </c>
      <c r="I817" s="2" t="s">
        <v>14</v>
      </c>
      <c r="J817" s="12" t="s">
        <v>509</v>
      </c>
    </row>
    <row r="818" ht="22.5" hidden="1" customHeight="1">
      <c r="A818" s="2" t="s">
        <v>617</v>
      </c>
      <c r="B818" s="2" t="s">
        <v>268</v>
      </c>
      <c r="C818" s="2" t="s">
        <v>269</v>
      </c>
      <c r="D818" s="8">
        <v>38.0</v>
      </c>
      <c r="E818" s="9" t="s">
        <v>18</v>
      </c>
      <c r="F818" s="33">
        <v>1.0</v>
      </c>
      <c r="G818" s="33">
        <v>1990.0</v>
      </c>
      <c r="H818" s="5">
        <v>46110.0</v>
      </c>
      <c r="I818" s="2" t="s">
        <v>24</v>
      </c>
      <c r="J818" s="12" t="s">
        <v>618</v>
      </c>
    </row>
    <row r="819" ht="22.5" hidden="1" customHeight="1">
      <c r="A819" s="2" t="s">
        <v>619</v>
      </c>
      <c r="B819" s="2" t="s">
        <v>268</v>
      </c>
      <c r="C819" s="2" t="s">
        <v>269</v>
      </c>
      <c r="D819" s="8">
        <v>35.0</v>
      </c>
      <c r="E819" s="9" t="s">
        <v>47</v>
      </c>
      <c r="F819" s="33">
        <v>1.0</v>
      </c>
      <c r="G819" s="33">
        <v>1990.0</v>
      </c>
      <c r="H819" s="5">
        <v>46110.0</v>
      </c>
      <c r="I819" s="2" t="s">
        <v>14</v>
      </c>
      <c r="J819" s="12" t="s">
        <v>620</v>
      </c>
    </row>
    <row r="820" ht="22.5" hidden="1" customHeight="1">
      <c r="A820" s="2" t="s">
        <v>621</v>
      </c>
      <c r="B820" s="2" t="s">
        <v>268</v>
      </c>
      <c r="C820" s="2" t="s">
        <v>269</v>
      </c>
      <c r="D820" s="8">
        <v>35.0</v>
      </c>
      <c r="E820" s="9" t="s">
        <v>18</v>
      </c>
      <c r="F820" s="33">
        <v>1.0</v>
      </c>
      <c r="G820" s="33">
        <v>1990.0</v>
      </c>
      <c r="H820" s="5">
        <v>46110.0</v>
      </c>
      <c r="I820" s="2" t="s">
        <v>24</v>
      </c>
      <c r="J820" s="12" t="s">
        <v>622</v>
      </c>
    </row>
    <row r="821" ht="22.5" hidden="1" customHeight="1">
      <c r="A821" s="2" t="s">
        <v>623</v>
      </c>
      <c r="B821" s="2" t="s">
        <v>268</v>
      </c>
      <c r="C821" s="2" t="s">
        <v>269</v>
      </c>
      <c r="D821" s="8">
        <v>36.0</v>
      </c>
      <c r="E821" s="9" t="s">
        <v>18</v>
      </c>
      <c r="F821" s="33">
        <v>1.0</v>
      </c>
      <c r="G821" s="33">
        <v>1990.0</v>
      </c>
      <c r="H821" s="5">
        <v>46110.0</v>
      </c>
      <c r="I821" s="2" t="s">
        <v>14</v>
      </c>
      <c r="J821" s="12" t="s">
        <v>624</v>
      </c>
    </row>
    <row r="822" ht="22.5" hidden="1" customHeight="1">
      <c r="A822" s="2" t="s">
        <v>122</v>
      </c>
      <c r="B822" s="2" t="s">
        <v>268</v>
      </c>
      <c r="C822" s="2" t="s">
        <v>269</v>
      </c>
      <c r="D822" s="8">
        <v>36.0</v>
      </c>
      <c r="E822" s="9" t="s">
        <v>18</v>
      </c>
      <c r="F822" s="33">
        <v>1.0</v>
      </c>
      <c r="G822" s="33">
        <v>1990.0</v>
      </c>
      <c r="H822" s="5">
        <v>46110.0</v>
      </c>
      <c r="I822" s="2" t="s">
        <v>14</v>
      </c>
      <c r="J822" s="12" t="s">
        <v>542</v>
      </c>
    </row>
    <row r="823" ht="22.5" hidden="1" customHeight="1">
      <c r="A823" s="2" t="s">
        <v>625</v>
      </c>
      <c r="B823" s="2" t="s">
        <v>268</v>
      </c>
      <c r="C823" s="2" t="s">
        <v>269</v>
      </c>
      <c r="D823" s="8">
        <v>36.0</v>
      </c>
      <c r="E823" s="9" t="s">
        <v>18</v>
      </c>
      <c r="F823" s="33">
        <v>1.0</v>
      </c>
      <c r="G823" s="33">
        <v>1990.0</v>
      </c>
      <c r="H823" s="5">
        <v>46110.0</v>
      </c>
      <c r="I823" s="2" t="s">
        <v>14</v>
      </c>
      <c r="J823" s="12" t="s">
        <v>626</v>
      </c>
    </row>
    <row r="824" ht="22.5" hidden="1" customHeight="1">
      <c r="A824" s="2" t="s">
        <v>627</v>
      </c>
      <c r="B824" s="2" t="s">
        <v>268</v>
      </c>
      <c r="C824" s="2" t="s">
        <v>269</v>
      </c>
      <c r="D824" s="8">
        <v>36.0</v>
      </c>
      <c r="E824" s="9" t="s">
        <v>18</v>
      </c>
      <c r="F824" s="33">
        <v>1.0</v>
      </c>
      <c r="G824" s="33">
        <v>1990.0</v>
      </c>
      <c r="H824" s="5">
        <v>46110.0</v>
      </c>
      <c r="I824" s="2" t="s">
        <v>14</v>
      </c>
      <c r="J824" s="12" t="s">
        <v>628</v>
      </c>
    </row>
    <row r="825" ht="22.5" hidden="1" customHeight="1">
      <c r="A825" s="2" t="s">
        <v>629</v>
      </c>
      <c r="B825" s="2" t="s">
        <v>268</v>
      </c>
      <c r="C825" s="2" t="s">
        <v>269</v>
      </c>
      <c r="D825" s="8">
        <v>36.0</v>
      </c>
      <c r="E825" s="9" t="s">
        <v>18</v>
      </c>
      <c r="F825" s="33">
        <v>1.0</v>
      </c>
      <c r="G825" s="33">
        <v>1990.0</v>
      </c>
      <c r="H825" s="5">
        <v>46110.0</v>
      </c>
      <c r="I825" s="2" t="s">
        <v>14</v>
      </c>
      <c r="J825" s="12" t="s">
        <v>630</v>
      </c>
    </row>
    <row r="826" ht="22.5" hidden="1" customHeight="1">
      <c r="A826" s="2" t="s">
        <v>631</v>
      </c>
      <c r="B826" s="2" t="s">
        <v>268</v>
      </c>
      <c r="C826" s="2" t="s">
        <v>269</v>
      </c>
      <c r="D826" s="8">
        <v>38.0</v>
      </c>
      <c r="E826" s="9" t="s">
        <v>47</v>
      </c>
      <c r="F826" s="33">
        <v>1.0</v>
      </c>
      <c r="G826" s="33">
        <v>1990.0</v>
      </c>
      <c r="H826" s="5">
        <v>46110.0</v>
      </c>
      <c r="I826" s="2" t="s">
        <v>14</v>
      </c>
      <c r="J826" s="12" t="s">
        <v>632</v>
      </c>
    </row>
    <row r="827" ht="22.5" hidden="1" customHeight="1">
      <c r="A827" s="2" t="s">
        <v>573</v>
      </c>
      <c r="B827" s="2" t="s">
        <v>268</v>
      </c>
      <c r="C827" s="2" t="s">
        <v>269</v>
      </c>
      <c r="D827" s="8">
        <v>38.0</v>
      </c>
      <c r="E827" s="9" t="s">
        <v>47</v>
      </c>
      <c r="F827" s="33">
        <v>1.0</v>
      </c>
      <c r="G827" s="33">
        <v>1990.0</v>
      </c>
      <c r="H827" s="5">
        <v>46110.0</v>
      </c>
      <c r="I827" s="2" t="s">
        <v>14</v>
      </c>
      <c r="J827" s="12" t="s">
        <v>574</v>
      </c>
    </row>
    <row r="828" ht="22.5" hidden="1" customHeight="1">
      <c r="A828" s="2" t="s">
        <v>633</v>
      </c>
      <c r="B828" s="2" t="s">
        <v>268</v>
      </c>
      <c r="C828" s="2" t="s">
        <v>269</v>
      </c>
      <c r="D828" s="8">
        <v>39.0</v>
      </c>
      <c r="E828" s="9" t="s">
        <v>18</v>
      </c>
      <c r="F828" s="33">
        <v>1.0</v>
      </c>
      <c r="G828" s="33">
        <v>1990.0</v>
      </c>
      <c r="H828" s="5">
        <v>46110.0</v>
      </c>
      <c r="I828" s="2" t="s">
        <v>14</v>
      </c>
      <c r="J828" s="12" t="s">
        <v>634</v>
      </c>
    </row>
    <row r="829" ht="22.5" hidden="1" customHeight="1">
      <c r="A829" s="2" t="s">
        <v>635</v>
      </c>
      <c r="B829" s="2" t="s">
        <v>268</v>
      </c>
      <c r="C829" s="2" t="s">
        <v>269</v>
      </c>
      <c r="D829" s="8">
        <v>38.0</v>
      </c>
      <c r="E829" s="9" t="s">
        <v>47</v>
      </c>
      <c r="F829" s="33">
        <v>1.0</v>
      </c>
      <c r="G829" s="33">
        <v>1990.0</v>
      </c>
      <c r="H829" s="5">
        <v>46110.0</v>
      </c>
      <c r="I829" s="2" t="s">
        <v>14</v>
      </c>
      <c r="J829" s="12" t="s">
        <v>636</v>
      </c>
    </row>
    <row r="830" ht="22.5" hidden="1" customHeight="1">
      <c r="A830" s="2" t="s">
        <v>637</v>
      </c>
      <c r="B830" s="2" t="s">
        <v>268</v>
      </c>
      <c r="C830" s="2" t="s">
        <v>269</v>
      </c>
      <c r="D830" s="8">
        <v>39.0</v>
      </c>
      <c r="E830" s="9" t="s">
        <v>47</v>
      </c>
      <c r="F830" s="33">
        <v>1.0</v>
      </c>
      <c r="G830" s="33">
        <v>1990.0</v>
      </c>
      <c r="H830" s="5">
        <v>46110.0</v>
      </c>
      <c r="I830" s="2" t="s">
        <v>14</v>
      </c>
      <c r="J830" s="12" t="s">
        <v>638</v>
      </c>
    </row>
    <row r="831" ht="22.5" hidden="1" customHeight="1">
      <c r="A831" s="2" t="s">
        <v>639</v>
      </c>
      <c r="B831" s="2" t="s">
        <v>268</v>
      </c>
      <c r="C831" s="2" t="s">
        <v>269</v>
      </c>
      <c r="D831" s="8">
        <v>37.0</v>
      </c>
      <c r="E831" s="9" t="s">
        <v>18</v>
      </c>
      <c r="F831" s="33">
        <v>1.0</v>
      </c>
      <c r="G831" s="33">
        <v>1990.0</v>
      </c>
      <c r="H831" s="5">
        <v>46110.0</v>
      </c>
      <c r="I831" s="2" t="s">
        <v>14</v>
      </c>
      <c r="J831" s="12" t="s">
        <v>640</v>
      </c>
    </row>
    <row r="832" ht="22.5" hidden="1" customHeight="1">
      <c r="A832" s="2" t="s">
        <v>641</v>
      </c>
      <c r="B832" s="2" t="s">
        <v>268</v>
      </c>
      <c r="C832" s="2" t="s">
        <v>269</v>
      </c>
      <c r="D832" s="8">
        <v>37.0</v>
      </c>
      <c r="E832" s="9" t="s">
        <v>18</v>
      </c>
      <c r="F832" s="33">
        <v>1.0</v>
      </c>
      <c r="G832" s="33">
        <v>1990.0</v>
      </c>
      <c r="H832" s="5">
        <v>46110.0</v>
      </c>
      <c r="I832" s="2" t="s">
        <v>14</v>
      </c>
      <c r="J832" s="12" t="s">
        <v>642</v>
      </c>
    </row>
    <row r="833" ht="22.5" hidden="1" customHeight="1">
      <c r="A833" s="2" t="s">
        <v>446</v>
      </c>
      <c r="B833" s="2" t="s">
        <v>268</v>
      </c>
      <c r="C833" s="2" t="s">
        <v>269</v>
      </c>
      <c r="D833" s="8">
        <v>35.0</v>
      </c>
      <c r="E833" s="9" t="s">
        <v>18</v>
      </c>
      <c r="F833" s="33">
        <v>1.0</v>
      </c>
      <c r="G833" s="33">
        <v>1990.0</v>
      </c>
      <c r="H833" s="5">
        <v>46110.0</v>
      </c>
      <c r="I833" s="2" t="s">
        <v>14</v>
      </c>
      <c r="J833" s="12" t="s">
        <v>643</v>
      </c>
    </row>
    <row r="834" ht="22.5" hidden="1" customHeight="1">
      <c r="A834" s="2" t="s">
        <v>280</v>
      </c>
      <c r="B834" s="2" t="s">
        <v>346</v>
      </c>
      <c r="C834" s="2">
        <v>8436.0</v>
      </c>
      <c r="D834" s="8" t="s">
        <v>22</v>
      </c>
      <c r="E834" s="9" t="s">
        <v>13</v>
      </c>
      <c r="F834" s="33">
        <v>1.0</v>
      </c>
      <c r="G834" s="33">
        <v>2800.0</v>
      </c>
      <c r="H834" s="5">
        <v>46110.0</v>
      </c>
      <c r="I834" s="2" t="s">
        <v>14</v>
      </c>
    </row>
    <row r="835" ht="22.5" hidden="1" customHeight="1">
      <c r="A835" s="2" t="s">
        <v>644</v>
      </c>
      <c r="B835" s="2" t="s">
        <v>268</v>
      </c>
      <c r="C835" s="2" t="s">
        <v>269</v>
      </c>
      <c r="D835" s="8">
        <v>37.0</v>
      </c>
      <c r="E835" s="9" t="s">
        <v>18</v>
      </c>
      <c r="F835" s="33">
        <v>1.0</v>
      </c>
      <c r="G835" s="33">
        <v>1990.0</v>
      </c>
      <c r="H835" s="5">
        <v>46110.0</v>
      </c>
      <c r="I835" s="2" t="s">
        <v>14</v>
      </c>
      <c r="J835" s="12" t="s">
        <v>645</v>
      </c>
    </row>
    <row r="836" ht="22.5" hidden="1" customHeight="1">
      <c r="A836" s="2" t="s">
        <v>646</v>
      </c>
      <c r="B836" s="2" t="s">
        <v>268</v>
      </c>
      <c r="C836" s="2" t="s">
        <v>269</v>
      </c>
      <c r="D836" s="8">
        <v>36.0</v>
      </c>
      <c r="E836" s="9" t="s">
        <v>18</v>
      </c>
      <c r="F836" s="33">
        <v>1.0</v>
      </c>
      <c r="G836" s="33">
        <v>1990.0</v>
      </c>
      <c r="H836" s="5">
        <v>46110.0</v>
      </c>
      <c r="I836" s="2" t="s">
        <v>14</v>
      </c>
      <c r="J836" s="12" t="s">
        <v>647</v>
      </c>
    </row>
    <row r="837" ht="22.5" hidden="1" customHeight="1">
      <c r="A837" s="2" t="s">
        <v>648</v>
      </c>
      <c r="B837" s="2" t="s">
        <v>268</v>
      </c>
      <c r="C837" s="2" t="s">
        <v>269</v>
      </c>
      <c r="D837" s="8">
        <v>37.0</v>
      </c>
      <c r="E837" s="9" t="s">
        <v>18</v>
      </c>
      <c r="F837" s="33">
        <v>1.0</v>
      </c>
      <c r="G837" s="33">
        <v>1990.0</v>
      </c>
      <c r="H837" s="5">
        <v>46110.0</v>
      </c>
      <c r="I837" s="2" t="s">
        <v>24</v>
      </c>
      <c r="J837" s="12" t="s">
        <v>649</v>
      </c>
    </row>
    <row r="838" ht="22.5" hidden="1" customHeight="1">
      <c r="A838" s="2" t="s">
        <v>650</v>
      </c>
      <c r="B838" s="2" t="s">
        <v>268</v>
      </c>
      <c r="C838" s="2" t="s">
        <v>269</v>
      </c>
      <c r="D838" s="8">
        <v>35.0</v>
      </c>
      <c r="E838" s="9" t="s">
        <v>18</v>
      </c>
      <c r="F838" s="33">
        <v>1.0</v>
      </c>
      <c r="G838" s="33">
        <v>1990.0</v>
      </c>
      <c r="H838" s="5">
        <v>46110.0</v>
      </c>
      <c r="I838" s="2" t="s">
        <v>14</v>
      </c>
      <c r="J838" s="12" t="s">
        <v>651</v>
      </c>
    </row>
    <row r="839" ht="22.5" hidden="1" customHeight="1">
      <c r="A839" s="2" t="s">
        <v>86</v>
      </c>
      <c r="B839" s="2" t="s">
        <v>268</v>
      </c>
      <c r="C839" s="2" t="s">
        <v>269</v>
      </c>
      <c r="D839" s="8">
        <v>37.0</v>
      </c>
      <c r="E839" s="9" t="s">
        <v>18</v>
      </c>
      <c r="F839" s="33">
        <v>1.0</v>
      </c>
      <c r="G839" s="33">
        <v>1990.0</v>
      </c>
      <c r="H839" s="5">
        <v>46110.0</v>
      </c>
      <c r="I839" s="2" t="s">
        <v>14</v>
      </c>
      <c r="J839" s="12" t="s">
        <v>652</v>
      </c>
    </row>
    <row r="840" ht="22.5" hidden="1" customHeight="1">
      <c r="A840" s="2" t="s">
        <v>653</v>
      </c>
      <c r="B840" s="2" t="s">
        <v>268</v>
      </c>
      <c r="C840" s="2" t="s">
        <v>269</v>
      </c>
      <c r="D840" s="8">
        <v>40.0</v>
      </c>
      <c r="E840" s="9" t="s">
        <v>18</v>
      </c>
      <c r="F840" s="33">
        <v>1.0</v>
      </c>
      <c r="G840" s="33">
        <v>1990.0</v>
      </c>
      <c r="H840" s="5">
        <v>46110.0</v>
      </c>
      <c r="I840" s="2" t="s">
        <v>14</v>
      </c>
      <c r="J840" s="12" t="s">
        <v>654</v>
      </c>
    </row>
    <row r="841" ht="22.5" hidden="1" customHeight="1">
      <c r="A841" s="2" t="s">
        <v>655</v>
      </c>
      <c r="B841" s="2" t="s">
        <v>268</v>
      </c>
      <c r="C841" s="2" t="s">
        <v>269</v>
      </c>
      <c r="D841" s="8">
        <v>39.0</v>
      </c>
      <c r="E841" s="9" t="s">
        <v>18</v>
      </c>
      <c r="F841" s="33">
        <v>1.0</v>
      </c>
      <c r="G841" s="33">
        <v>1990.0</v>
      </c>
      <c r="H841" s="5">
        <v>46110.0</v>
      </c>
      <c r="I841" s="2" t="s">
        <v>14</v>
      </c>
      <c r="J841" s="12" t="s">
        <v>656</v>
      </c>
    </row>
    <row r="842" ht="22.5" hidden="1" customHeight="1">
      <c r="A842" s="2" t="s">
        <v>657</v>
      </c>
      <c r="B842" s="2" t="s">
        <v>268</v>
      </c>
      <c r="C842" s="2" t="s">
        <v>269</v>
      </c>
      <c r="D842" s="8">
        <v>36.0</v>
      </c>
      <c r="E842" s="9" t="s">
        <v>18</v>
      </c>
      <c r="F842" s="33">
        <v>1.0</v>
      </c>
      <c r="G842" s="33">
        <v>1990.0</v>
      </c>
      <c r="H842" s="5">
        <v>46110.0</v>
      </c>
      <c r="I842" s="2" t="s">
        <v>24</v>
      </c>
      <c r="J842" s="12" t="s">
        <v>658</v>
      </c>
    </row>
    <row r="843" ht="22.5" hidden="1" customHeight="1">
      <c r="A843" s="2" t="s">
        <v>659</v>
      </c>
      <c r="B843" s="2" t="s">
        <v>268</v>
      </c>
      <c r="C843" s="2" t="s">
        <v>269</v>
      </c>
      <c r="D843" s="8">
        <v>38.0</v>
      </c>
      <c r="E843" s="9" t="s">
        <v>18</v>
      </c>
      <c r="F843" s="33">
        <v>1.0</v>
      </c>
      <c r="G843" s="33">
        <v>1990.0</v>
      </c>
      <c r="H843" s="5">
        <v>46110.0</v>
      </c>
      <c r="I843" s="2" t="s">
        <v>24</v>
      </c>
      <c r="J843" s="12" t="s">
        <v>660</v>
      </c>
    </row>
    <row r="844" ht="22.5" hidden="1" customHeight="1">
      <c r="A844" s="2" t="s">
        <v>661</v>
      </c>
      <c r="B844" s="2" t="s">
        <v>268</v>
      </c>
      <c r="C844" s="2" t="s">
        <v>269</v>
      </c>
      <c r="D844" s="8">
        <v>39.0</v>
      </c>
      <c r="E844" s="9" t="s">
        <v>18</v>
      </c>
      <c r="F844" s="33">
        <v>1.0</v>
      </c>
      <c r="G844" s="33">
        <v>1990.0</v>
      </c>
      <c r="H844" s="5">
        <v>46110.0</v>
      </c>
      <c r="I844" s="2" t="s">
        <v>24</v>
      </c>
      <c r="J844" s="12" t="s">
        <v>662</v>
      </c>
    </row>
    <row r="845" ht="22.5" hidden="1" customHeight="1">
      <c r="A845" s="2" t="s">
        <v>663</v>
      </c>
      <c r="B845" s="2" t="s">
        <v>268</v>
      </c>
      <c r="C845" s="2" t="s">
        <v>269</v>
      </c>
      <c r="D845" s="8">
        <v>38.0</v>
      </c>
      <c r="E845" s="9" t="s">
        <v>18</v>
      </c>
      <c r="F845" s="33">
        <v>1.0</v>
      </c>
      <c r="G845" s="33">
        <v>1990.0</v>
      </c>
      <c r="H845" s="5">
        <v>46110.0</v>
      </c>
      <c r="I845" s="2" t="s">
        <v>14</v>
      </c>
      <c r="J845" s="12" t="s">
        <v>664</v>
      </c>
    </row>
    <row r="846" ht="22.5" hidden="1" customHeight="1">
      <c r="A846" s="2" t="s">
        <v>665</v>
      </c>
      <c r="B846" s="2" t="s">
        <v>268</v>
      </c>
      <c r="C846" s="2" t="s">
        <v>269</v>
      </c>
      <c r="D846" s="8">
        <v>37.0</v>
      </c>
      <c r="E846" s="9" t="s">
        <v>18</v>
      </c>
      <c r="F846" s="33">
        <v>1.0</v>
      </c>
      <c r="G846" s="33">
        <v>1990.0</v>
      </c>
      <c r="H846" s="5">
        <v>46110.0</v>
      </c>
      <c r="I846" s="2" t="s">
        <v>14</v>
      </c>
      <c r="J846" s="12" t="s">
        <v>666</v>
      </c>
    </row>
    <row r="847" ht="22.5" hidden="1" customHeight="1">
      <c r="A847" s="2" t="s">
        <v>667</v>
      </c>
      <c r="B847" s="2" t="s">
        <v>268</v>
      </c>
      <c r="C847" s="2" t="s">
        <v>269</v>
      </c>
      <c r="D847" s="8">
        <v>37.0</v>
      </c>
      <c r="E847" s="9" t="s">
        <v>18</v>
      </c>
      <c r="F847" s="33">
        <v>1.0</v>
      </c>
      <c r="G847" s="33">
        <v>1990.0</v>
      </c>
      <c r="H847" s="5">
        <v>46110.0</v>
      </c>
      <c r="I847" s="2" t="s">
        <v>14</v>
      </c>
      <c r="J847" s="12" t="s">
        <v>668</v>
      </c>
    </row>
    <row r="848" ht="22.5" hidden="1" customHeight="1">
      <c r="A848" s="2" t="s">
        <v>669</v>
      </c>
      <c r="B848" s="2" t="s">
        <v>268</v>
      </c>
      <c r="C848" s="2" t="s">
        <v>269</v>
      </c>
      <c r="D848" s="8">
        <v>39.0</v>
      </c>
      <c r="E848" s="9" t="s">
        <v>18</v>
      </c>
      <c r="F848" s="33">
        <v>1.0</v>
      </c>
      <c r="G848" s="33">
        <v>1990.0</v>
      </c>
      <c r="H848" s="5">
        <v>46110.0</v>
      </c>
      <c r="I848" s="2" t="s">
        <v>14</v>
      </c>
      <c r="J848" s="12" t="s">
        <v>670</v>
      </c>
    </row>
    <row r="849" ht="22.5" hidden="1" customHeight="1">
      <c r="A849" s="2" t="s">
        <v>87</v>
      </c>
      <c r="B849" s="2" t="s">
        <v>268</v>
      </c>
      <c r="C849" s="2" t="s">
        <v>269</v>
      </c>
      <c r="D849" s="8">
        <v>38.0</v>
      </c>
      <c r="E849" s="9" t="s">
        <v>18</v>
      </c>
      <c r="F849" s="33">
        <v>1.0</v>
      </c>
      <c r="G849" s="33">
        <v>1990.0</v>
      </c>
      <c r="H849" s="5">
        <v>46110.0</v>
      </c>
      <c r="I849" s="2" t="s">
        <v>14</v>
      </c>
      <c r="J849" s="12" t="s">
        <v>671</v>
      </c>
    </row>
    <row r="850" ht="22.5" hidden="1" customHeight="1">
      <c r="A850" s="2" t="s">
        <v>672</v>
      </c>
      <c r="B850" s="2" t="s">
        <v>268</v>
      </c>
      <c r="C850" s="2" t="s">
        <v>269</v>
      </c>
      <c r="D850" s="8">
        <v>36.0</v>
      </c>
      <c r="E850" s="9" t="s">
        <v>18</v>
      </c>
      <c r="F850" s="33">
        <v>1.0</v>
      </c>
      <c r="G850" s="33">
        <v>1990.0</v>
      </c>
      <c r="H850" s="5">
        <v>46110.0</v>
      </c>
      <c r="I850" s="2" t="s">
        <v>14</v>
      </c>
      <c r="J850" s="12" t="s">
        <v>673</v>
      </c>
    </row>
    <row r="851" ht="22.5" hidden="1" customHeight="1">
      <c r="A851" s="2" t="s">
        <v>343</v>
      </c>
      <c r="B851" s="2" t="s">
        <v>268</v>
      </c>
      <c r="C851" s="2" t="s">
        <v>269</v>
      </c>
      <c r="D851" s="8">
        <v>39.0</v>
      </c>
      <c r="E851" s="9" t="s">
        <v>18</v>
      </c>
      <c r="F851" s="33">
        <v>1.0</v>
      </c>
      <c r="G851" s="33">
        <v>1990.0</v>
      </c>
      <c r="H851" s="5">
        <v>46110.0</v>
      </c>
      <c r="I851" s="2" t="s">
        <v>14</v>
      </c>
      <c r="J851" s="12" t="s">
        <v>674</v>
      </c>
    </row>
    <row r="852" ht="22.5" hidden="1" customHeight="1">
      <c r="A852" s="2" t="s">
        <v>675</v>
      </c>
      <c r="B852" s="2" t="s">
        <v>268</v>
      </c>
      <c r="C852" s="2" t="s">
        <v>269</v>
      </c>
      <c r="D852" s="8">
        <v>39.0</v>
      </c>
      <c r="E852" s="9" t="s">
        <v>18</v>
      </c>
      <c r="F852" s="33">
        <v>1.0</v>
      </c>
      <c r="G852" s="33">
        <v>1990.0</v>
      </c>
      <c r="H852" s="5">
        <v>46110.0</v>
      </c>
      <c r="I852" s="2" t="s">
        <v>14</v>
      </c>
      <c r="J852" s="12" t="s">
        <v>676</v>
      </c>
    </row>
    <row r="853" ht="22.5" hidden="1" customHeight="1">
      <c r="A853" s="2" t="s">
        <v>677</v>
      </c>
      <c r="B853" s="2" t="s">
        <v>268</v>
      </c>
      <c r="C853" s="2" t="s">
        <v>269</v>
      </c>
      <c r="D853" s="8">
        <v>37.0</v>
      </c>
      <c r="E853" s="9" t="s">
        <v>18</v>
      </c>
      <c r="F853" s="33">
        <v>1.0</v>
      </c>
      <c r="G853" s="33">
        <v>1990.0</v>
      </c>
      <c r="H853" s="5">
        <v>46110.0</v>
      </c>
      <c r="I853" s="2" t="s">
        <v>14</v>
      </c>
      <c r="J853" s="12" t="s">
        <v>678</v>
      </c>
    </row>
    <row r="854" ht="22.5" hidden="1" customHeight="1">
      <c r="A854" s="2" t="s">
        <v>677</v>
      </c>
      <c r="B854" s="2" t="s">
        <v>268</v>
      </c>
      <c r="C854" s="2" t="s">
        <v>269</v>
      </c>
      <c r="D854" s="8">
        <v>37.0</v>
      </c>
      <c r="E854" s="9" t="s">
        <v>47</v>
      </c>
      <c r="F854" s="33">
        <v>1.0</v>
      </c>
      <c r="G854" s="33">
        <v>1990.0</v>
      </c>
      <c r="H854" s="5">
        <v>46110.0</v>
      </c>
      <c r="I854" s="2" t="s">
        <v>14</v>
      </c>
      <c r="J854" s="12" t="s">
        <v>678</v>
      </c>
    </row>
    <row r="855" ht="22.5" hidden="1" customHeight="1">
      <c r="A855" s="2" t="s">
        <v>428</v>
      </c>
      <c r="B855" s="2" t="s">
        <v>268</v>
      </c>
      <c r="C855" s="2" t="s">
        <v>269</v>
      </c>
      <c r="D855" s="8">
        <v>38.0</v>
      </c>
      <c r="E855" s="9" t="s">
        <v>47</v>
      </c>
      <c r="F855" s="33">
        <v>1.0</v>
      </c>
      <c r="G855" s="33">
        <v>1990.0</v>
      </c>
      <c r="H855" s="5">
        <v>46110.0</v>
      </c>
      <c r="I855" s="2" t="s">
        <v>14</v>
      </c>
      <c r="J855" s="12" t="s">
        <v>429</v>
      </c>
    </row>
    <row r="856" ht="22.5" hidden="1" customHeight="1">
      <c r="A856" s="2" t="s">
        <v>679</v>
      </c>
      <c r="B856" s="2" t="s">
        <v>268</v>
      </c>
      <c r="C856" s="2" t="s">
        <v>269</v>
      </c>
      <c r="D856" s="8">
        <v>37.0</v>
      </c>
      <c r="E856" s="9" t="s">
        <v>18</v>
      </c>
      <c r="F856" s="33">
        <v>1.0</v>
      </c>
      <c r="G856" s="33">
        <v>1990.0</v>
      </c>
      <c r="H856" s="5">
        <v>46110.0</v>
      </c>
      <c r="I856" s="2" t="s">
        <v>14</v>
      </c>
      <c r="J856" s="12" t="s">
        <v>680</v>
      </c>
    </row>
    <row r="857" ht="22.5" hidden="1" customHeight="1">
      <c r="A857" s="2" t="s">
        <v>78</v>
      </c>
      <c r="B857" s="2" t="s">
        <v>268</v>
      </c>
      <c r="C857" s="2" t="s">
        <v>269</v>
      </c>
      <c r="D857" s="8">
        <v>36.0</v>
      </c>
      <c r="E857" s="9" t="s">
        <v>18</v>
      </c>
      <c r="F857" s="33">
        <v>1.0</v>
      </c>
      <c r="G857" s="33">
        <v>1990.0</v>
      </c>
      <c r="H857" s="5">
        <v>46110.0</v>
      </c>
      <c r="I857" s="2" t="s">
        <v>14</v>
      </c>
      <c r="J857" s="12" t="s">
        <v>521</v>
      </c>
    </row>
    <row r="858" ht="22.5" hidden="1" customHeight="1">
      <c r="A858" s="2" t="s">
        <v>79</v>
      </c>
      <c r="B858" s="2" t="s">
        <v>268</v>
      </c>
      <c r="C858" s="2" t="s">
        <v>269</v>
      </c>
      <c r="D858" s="8">
        <v>36.0</v>
      </c>
      <c r="E858" s="9" t="s">
        <v>18</v>
      </c>
      <c r="F858" s="33">
        <v>1.0</v>
      </c>
      <c r="G858" s="33">
        <v>1990.0</v>
      </c>
      <c r="H858" s="5">
        <v>46110.0</v>
      </c>
      <c r="I858" s="2" t="s">
        <v>14</v>
      </c>
      <c r="J858" s="12" t="s">
        <v>681</v>
      </c>
    </row>
    <row r="859" ht="22.5" hidden="1" customHeight="1">
      <c r="A859" s="2" t="s">
        <v>682</v>
      </c>
      <c r="B859" s="2" t="s">
        <v>268</v>
      </c>
      <c r="C859" s="2" t="s">
        <v>269</v>
      </c>
      <c r="D859" s="8">
        <v>35.0</v>
      </c>
      <c r="E859" s="9" t="s">
        <v>18</v>
      </c>
      <c r="F859" s="33">
        <v>1.0</v>
      </c>
      <c r="G859" s="33">
        <v>1990.0</v>
      </c>
      <c r="H859" s="5">
        <v>46110.0</v>
      </c>
      <c r="I859" s="2" t="s">
        <v>24</v>
      </c>
      <c r="J859" s="12" t="s">
        <v>683</v>
      </c>
    </row>
    <row r="860" ht="22.5" hidden="1" customHeight="1">
      <c r="A860" s="2" t="s">
        <v>73</v>
      </c>
      <c r="B860" s="2" t="s">
        <v>268</v>
      </c>
      <c r="C860" s="2" t="s">
        <v>269</v>
      </c>
      <c r="D860" s="8">
        <v>39.0</v>
      </c>
      <c r="E860" s="9" t="s">
        <v>18</v>
      </c>
      <c r="F860" s="33">
        <v>1.0</v>
      </c>
      <c r="G860" s="33">
        <v>1990.0</v>
      </c>
      <c r="H860" s="5">
        <v>46110.0</v>
      </c>
      <c r="I860" s="2" t="s">
        <v>14</v>
      </c>
      <c r="J860" s="12" t="s">
        <v>417</v>
      </c>
    </row>
    <row r="861" ht="22.5" hidden="1" customHeight="1">
      <c r="A861" s="2" t="s">
        <v>432</v>
      </c>
      <c r="B861" s="2" t="s">
        <v>268</v>
      </c>
      <c r="C861" s="2" t="s">
        <v>269</v>
      </c>
      <c r="D861" s="8">
        <v>38.0</v>
      </c>
      <c r="E861" s="9" t="s">
        <v>18</v>
      </c>
      <c r="F861" s="33">
        <v>1.0</v>
      </c>
      <c r="G861" s="33">
        <v>1990.0</v>
      </c>
      <c r="H861" s="5">
        <v>46110.0</v>
      </c>
      <c r="I861" s="2" t="s">
        <v>14</v>
      </c>
      <c r="J861" s="12" t="s">
        <v>433</v>
      </c>
    </row>
    <row r="862" ht="22.5" hidden="1" customHeight="1">
      <c r="A862" s="2" t="s">
        <v>684</v>
      </c>
      <c r="B862" s="2" t="s">
        <v>268</v>
      </c>
      <c r="C862" s="2" t="s">
        <v>269</v>
      </c>
      <c r="D862" s="8">
        <v>39.0</v>
      </c>
      <c r="E862" s="9" t="s">
        <v>47</v>
      </c>
      <c r="F862" s="33">
        <v>1.0</v>
      </c>
      <c r="G862" s="33">
        <v>1990.0</v>
      </c>
      <c r="H862" s="5">
        <v>46110.0</v>
      </c>
      <c r="I862" s="2" t="s">
        <v>14</v>
      </c>
      <c r="J862" s="12" t="s">
        <v>685</v>
      </c>
    </row>
    <row r="863" ht="22.5" hidden="1" customHeight="1">
      <c r="A863" s="2" t="s">
        <v>684</v>
      </c>
      <c r="B863" s="2" t="s">
        <v>268</v>
      </c>
      <c r="C863" s="2" t="s">
        <v>269</v>
      </c>
      <c r="D863" s="8">
        <v>38.0</v>
      </c>
      <c r="E863" s="9" t="s">
        <v>18</v>
      </c>
      <c r="F863" s="33">
        <v>1.0</v>
      </c>
      <c r="G863" s="33">
        <v>1990.0</v>
      </c>
      <c r="H863" s="5">
        <v>46110.0</v>
      </c>
      <c r="I863" s="2" t="s">
        <v>14</v>
      </c>
      <c r="J863" s="12" t="s">
        <v>685</v>
      </c>
    </row>
    <row r="864" ht="22.5" hidden="1" customHeight="1">
      <c r="A864" s="2" t="s">
        <v>686</v>
      </c>
      <c r="B864" s="2" t="s">
        <v>268</v>
      </c>
      <c r="C864" s="2" t="s">
        <v>269</v>
      </c>
      <c r="D864" s="8">
        <v>40.0</v>
      </c>
      <c r="E864" s="9" t="s">
        <v>18</v>
      </c>
      <c r="F864" s="33">
        <v>1.0</v>
      </c>
      <c r="G864" s="33">
        <v>1990.0</v>
      </c>
      <c r="H864" s="5">
        <v>46111.0</v>
      </c>
      <c r="I864" s="2" t="s">
        <v>14</v>
      </c>
      <c r="J864" s="12" t="s">
        <v>687</v>
      </c>
    </row>
    <row r="865" ht="22.5" hidden="1" customHeight="1">
      <c r="A865" s="2" t="s">
        <v>688</v>
      </c>
      <c r="B865" s="2" t="s">
        <v>268</v>
      </c>
      <c r="C865" s="2" t="s">
        <v>269</v>
      </c>
      <c r="D865" s="8">
        <v>38.0</v>
      </c>
      <c r="E865" s="9" t="s">
        <v>18</v>
      </c>
      <c r="F865" s="33">
        <v>1.0</v>
      </c>
      <c r="G865" s="33">
        <v>1990.0</v>
      </c>
      <c r="H865" s="5">
        <v>46111.0</v>
      </c>
      <c r="I865" s="2" t="s">
        <v>14</v>
      </c>
      <c r="J865" s="12" t="s">
        <v>689</v>
      </c>
    </row>
    <row r="866" ht="22.5" hidden="1" customHeight="1">
      <c r="A866" s="2" t="s">
        <v>372</v>
      </c>
      <c r="B866" s="2" t="s">
        <v>268</v>
      </c>
      <c r="C866" s="2" t="s">
        <v>269</v>
      </c>
      <c r="D866" s="8">
        <v>39.0</v>
      </c>
      <c r="E866" s="9" t="s">
        <v>18</v>
      </c>
      <c r="F866" s="33">
        <v>1.0</v>
      </c>
      <c r="G866" s="33">
        <v>1990.0</v>
      </c>
      <c r="H866" s="5">
        <v>46111.0</v>
      </c>
      <c r="I866" s="2" t="s">
        <v>14</v>
      </c>
      <c r="J866" s="12" t="s">
        <v>690</v>
      </c>
    </row>
    <row r="867" ht="22.5" hidden="1" customHeight="1">
      <c r="A867" s="2" t="s">
        <v>691</v>
      </c>
      <c r="B867" s="2" t="s">
        <v>268</v>
      </c>
      <c r="C867" s="2" t="s">
        <v>269</v>
      </c>
      <c r="D867" s="8">
        <v>39.0</v>
      </c>
      <c r="E867" s="9" t="s">
        <v>18</v>
      </c>
      <c r="F867" s="33">
        <v>1.0</v>
      </c>
      <c r="G867" s="33">
        <v>1990.0</v>
      </c>
      <c r="H867" s="5">
        <v>46111.0</v>
      </c>
      <c r="I867" s="2" t="s">
        <v>14</v>
      </c>
      <c r="J867" s="12" t="s">
        <v>692</v>
      </c>
    </row>
    <row r="868" ht="22.5" hidden="1" customHeight="1">
      <c r="A868" s="2" t="s">
        <v>693</v>
      </c>
      <c r="B868" s="2" t="s">
        <v>268</v>
      </c>
      <c r="C868" s="2" t="s">
        <v>269</v>
      </c>
      <c r="D868" s="8">
        <v>36.0</v>
      </c>
      <c r="E868" s="9" t="s">
        <v>18</v>
      </c>
      <c r="F868" s="33">
        <v>1.0</v>
      </c>
      <c r="G868" s="33">
        <v>1990.0</v>
      </c>
      <c r="H868" s="5">
        <v>46111.0</v>
      </c>
      <c r="I868" s="2" t="s">
        <v>14</v>
      </c>
      <c r="J868" s="12" t="s">
        <v>694</v>
      </c>
    </row>
    <row r="869" ht="22.5" hidden="1" customHeight="1">
      <c r="A869" s="2" t="s">
        <v>695</v>
      </c>
      <c r="B869" s="2" t="s">
        <v>516</v>
      </c>
      <c r="C869" s="2" t="s">
        <v>517</v>
      </c>
      <c r="D869" s="8" t="s">
        <v>46</v>
      </c>
      <c r="E869" s="9" t="s">
        <v>338</v>
      </c>
      <c r="F869" s="33">
        <v>2.0</v>
      </c>
      <c r="G869" s="33">
        <v>1390.0</v>
      </c>
      <c r="H869" s="5">
        <v>46112.0</v>
      </c>
      <c r="I869" s="2" t="s">
        <v>14</v>
      </c>
      <c r="J869" s="12" t="s">
        <v>696</v>
      </c>
    </row>
    <row r="870" ht="22.5" hidden="1" customHeight="1">
      <c r="A870" s="2" t="s">
        <v>697</v>
      </c>
      <c r="B870" s="2" t="s">
        <v>268</v>
      </c>
      <c r="C870" s="2" t="s">
        <v>269</v>
      </c>
      <c r="D870" s="8">
        <v>40.0</v>
      </c>
      <c r="E870" s="9" t="s">
        <v>18</v>
      </c>
      <c r="F870" s="33">
        <v>1.0</v>
      </c>
      <c r="G870" s="33">
        <v>1990.0</v>
      </c>
      <c r="H870" s="5">
        <v>46112.0</v>
      </c>
      <c r="I870" s="2" t="s">
        <v>14</v>
      </c>
      <c r="J870" s="12" t="s">
        <v>698</v>
      </c>
    </row>
    <row r="871" ht="22.5" hidden="1" customHeight="1">
      <c r="A871" s="2" t="s">
        <v>699</v>
      </c>
      <c r="B871" s="2" t="s">
        <v>268</v>
      </c>
      <c r="C871" s="2" t="s">
        <v>269</v>
      </c>
      <c r="D871" s="8">
        <v>38.0</v>
      </c>
      <c r="E871" s="9" t="s">
        <v>18</v>
      </c>
      <c r="F871" s="33">
        <v>1.0</v>
      </c>
      <c r="G871" s="33">
        <v>1990.0</v>
      </c>
      <c r="H871" s="5">
        <v>46112.0</v>
      </c>
      <c r="I871" s="2" t="s">
        <v>14</v>
      </c>
      <c r="J871" s="12" t="s">
        <v>700</v>
      </c>
    </row>
    <row r="872" ht="22.5" hidden="1" customHeight="1">
      <c r="A872" s="2" t="s">
        <v>701</v>
      </c>
      <c r="B872" s="2" t="s">
        <v>440</v>
      </c>
      <c r="C872" s="2" t="s">
        <v>441</v>
      </c>
      <c r="D872" s="8" t="s">
        <v>46</v>
      </c>
      <c r="E872" s="9" t="s">
        <v>447</v>
      </c>
      <c r="F872" s="33">
        <v>2.0</v>
      </c>
      <c r="G872" s="33">
        <v>1200.0</v>
      </c>
      <c r="H872" s="5">
        <v>46112.0</v>
      </c>
      <c r="I872" s="2" t="s">
        <v>14</v>
      </c>
      <c r="J872" s="12" t="s">
        <v>702</v>
      </c>
    </row>
    <row r="873" ht="22.5" hidden="1" customHeight="1">
      <c r="A873" s="2" t="s">
        <v>703</v>
      </c>
      <c r="B873" s="2" t="s">
        <v>268</v>
      </c>
      <c r="C873" s="2" t="s">
        <v>269</v>
      </c>
      <c r="D873" s="8">
        <v>40.0</v>
      </c>
      <c r="E873" s="9" t="s">
        <v>18</v>
      </c>
      <c r="F873" s="33">
        <v>1.0</v>
      </c>
      <c r="G873" s="33">
        <v>1990.0</v>
      </c>
      <c r="H873" s="5">
        <v>46112.0</v>
      </c>
      <c r="I873" s="2" t="s">
        <v>24</v>
      </c>
      <c r="J873" s="12" t="s">
        <v>704</v>
      </c>
    </row>
    <row r="874" ht="22.5" hidden="1" customHeight="1">
      <c r="A874" s="2" t="s">
        <v>703</v>
      </c>
      <c r="B874" s="2" t="s">
        <v>97</v>
      </c>
      <c r="C874" s="2">
        <v>8748.0</v>
      </c>
      <c r="D874" s="8" t="s">
        <v>22</v>
      </c>
      <c r="E874" s="9" t="s">
        <v>58</v>
      </c>
      <c r="F874" s="33">
        <v>1.0</v>
      </c>
      <c r="G874" s="33">
        <v>1800.0</v>
      </c>
      <c r="H874" s="5">
        <v>46112.0</v>
      </c>
      <c r="I874" s="2" t="s">
        <v>24</v>
      </c>
      <c r="J874" s="12" t="s">
        <v>704</v>
      </c>
    </row>
    <row r="875" ht="22.5" hidden="1" customHeight="1">
      <c r="A875" s="2" t="s">
        <v>705</v>
      </c>
      <c r="B875" s="2" t="s">
        <v>268</v>
      </c>
      <c r="C875" s="2" t="s">
        <v>269</v>
      </c>
      <c r="D875" s="8">
        <v>37.0</v>
      </c>
      <c r="E875" s="9" t="s">
        <v>18</v>
      </c>
      <c r="F875" s="33">
        <v>1.0</v>
      </c>
      <c r="G875" s="33">
        <v>1990.0</v>
      </c>
      <c r="H875" s="5">
        <v>46112.0</v>
      </c>
      <c r="I875" s="2" t="s">
        <v>14</v>
      </c>
      <c r="J875" s="12" t="s">
        <v>706</v>
      </c>
    </row>
    <row r="876" ht="22.5" hidden="1" customHeight="1">
      <c r="A876" s="2" t="s">
        <v>707</v>
      </c>
      <c r="B876" s="2" t="s">
        <v>516</v>
      </c>
      <c r="C876" s="2" t="s">
        <v>517</v>
      </c>
      <c r="D876" s="8" t="s">
        <v>46</v>
      </c>
      <c r="E876" s="9" t="s">
        <v>338</v>
      </c>
      <c r="F876" s="33">
        <v>1.0</v>
      </c>
      <c r="G876" s="33">
        <v>1390.0</v>
      </c>
      <c r="H876" s="5">
        <v>46112.0</v>
      </c>
      <c r="I876" s="2" t="s">
        <v>14</v>
      </c>
      <c r="J876" s="12" t="s">
        <v>708</v>
      </c>
    </row>
    <row r="877" ht="22.5" hidden="1" customHeight="1">
      <c r="A877" s="2" t="s">
        <v>142</v>
      </c>
      <c r="B877" s="2" t="s">
        <v>440</v>
      </c>
      <c r="C877" s="2" t="s">
        <v>441</v>
      </c>
      <c r="D877" s="8" t="s">
        <v>46</v>
      </c>
      <c r="E877" s="9" t="s">
        <v>47</v>
      </c>
      <c r="F877" s="33">
        <v>1.0</v>
      </c>
      <c r="G877" s="33">
        <v>1200.0</v>
      </c>
      <c r="H877" s="5">
        <v>46112.0</v>
      </c>
      <c r="I877" s="2" t="s">
        <v>14</v>
      </c>
      <c r="J877" s="12" t="s">
        <v>709</v>
      </c>
    </row>
    <row r="878" ht="22.5" hidden="1" customHeight="1">
      <c r="A878" s="2" t="s">
        <v>710</v>
      </c>
      <c r="B878" s="2" t="s">
        <v>268</v>
      </c>
      <c r="C878" s="2" t="s">
        <v>269</v>
      </c>
      <c r="D878" s="8">
        <v>39.0</v>
      </c>
      <c r="E878" s="9" t="s">
        <v>47</v>
      </c>
      <c r="F878" s="33">
        <v>1.0</v>
      </c>
      <c r="G878" s="33">
        <v>1990.0</v>
      </c>
      <c r="H878" s="5">
        <v>46112.0</v>
      </c>
      <c r="I878" s="2" t="s">
        <v>14</v>
      </c>
      <c r="J878" s="12" t="s">
        <v>711</v>
      </c>
    </row>
    <row r="879" ht="22.5" hidden="1" customHeight="1">
      <c r="A879" s="2" t="s">
        <v>710</v>
      </c>
      <c r="B879" s="2" t="s">
        <v>196</v>
      </c>
      <c r="C879" s="2">
        <v>8876.0</v>
      </c>
      <c r="D879" s="8" t="s">
        <v>22</v>
      </c>
      <c r="E879" s="9" t="s">
        <v>18</v>
      </c>
      <c r="F879" s="33">
        <v>1.0</v>
      </c>
      <c r="G879" s="33">
        <v>990.0</v>
      </c>
      <c r="H879" s="5">
        <v>46112.0</v>
      </c>
      <c r="I879" s="2" t="s">
        <v>14</v>
      </c>
      <c r="J879" s="12" t="s">
        <v>711</v>
      </c>
    </row>
    <row r="880" ht="22.5" hidden="1" customHeight="1">
      <c r="A880" s="2" t="s">
        <v>712</v>
      </c>
      <c r="B880" s="2" t="s">
        <v>268</v>
      </c>
      <c r="C880" s="2" t="s">
        <v>269</v>
      </c>
      <c r="D880" s="8">
        <v>38.0</v>
      </c>
      <c r="E880" s="9" t="s">
        <v>18</v>
      </c>
      <c r="F880" s="33">
        <v>1.0</v>
      </c>
      <c r="G880" s="33">
        <v>1990.0</v>
      </c>
      <c r="H880" s="5">
        <v>46112.0</v>
      </c>
      <c r="I880" s="2" t="s">
        <v>14</v>
      </c>
      <c r="J880" s="12" t="s">
        <v>713</v>
      </c>
    </row>
    <row r="881" ht="22.5" hidden="1" customHeight="1">
      <c r="A881" s="2" t="s">
        <v>714</v>
      </c>
      <c r="B881" s="2" t="s">
        <v>268</v>
      </c>
      <c r="C881" s="2" t="s">
        <v>269</v>
      </c>
      <c r="D881" s="8">
        <v>38.0</v>
      </c>
      <c r="E881" s="9" t="s">
        <v>18</v>
      </c>
      <c r="F881" s="33">
        <v>1.0</v>
      </c>
      <c r="G881" s="33">
        <v>1990.0</v>
      </c>
      <c r="H881" s="5">
        <v>46112.0</v>
      </c>
      <c r="I881" s="2" t="s">
        <v>14</v>
      </c>
      <c r="J881" s="12" t="s">
        <v>715</v>
      </c>
    </row>
    <row r="882" ht="22.5" hidden="1" customHeight="1">
      <c r="A882" s="2" t="s">
        <v>714</v>
      </c>
      <c r="B882" s="2" t="s">
        <v>223</v>
      </c>
      <c r="C882" s="2">
        <v>7957.0</v>
      </c>
      <c r="D882" s="8" t="s">
        <v>22</v>
      </c>
      <c r="E882" s="9" t="s">
        <v>18</v>
      </c>
      <c r="F882" s="33">
        <v>1.0</v>
      </c>
      <c r="G882" s="33">
        <v>1400.0</v>
      </c>
      <c r="H882" s="5">
        <v>46112.0</v>
      </c>
      <c r="I882" s="2" t="s">
        <v>14</v>
      </c>
      <c r="J882" s="12" t="s">
        <v>715</v>
      </c>
    </row>
    <row r="883" ht="22.5" hidden="1" customHeight="1">
      <c r="A883" s="2" t="s">
        <v>714</v>
      </c>
      <c r="B883" s="2" t="s">
        <v>223</v>
      </c>
      <c r="C883" s="2">
        <v>7957.0</v>
      </c>
      <c r="D883" s="8" t="s">
        <v>22</v>
      </c>
      <c r="E883" s="9" t="s">
        <v>23</v>
      </c>
      <c r="F883" s="33">
        <v>1.0</v>
      </c>
      <c r="G883" s="33">
        <v>1400.0</v>
      </c>
      <c r="H883" s="5">
        <v>46112.0</v>
      </c>
      <c r="I883" s="2" t="s">
        <v>14</v>
      </c>
      <c r="J883" s="12" t="s">
        <v>715</v>
      </c>
    </row>
    <row r="884" ht="22.5" hidden="1" customHeight="1">
      <c r="A884" s="2" t="s">
        <v>714</v>
      </c>
      <c r="B884" s="2" t="s">
        <v>336</v>
      </c>
      <c r="C884" s="2">
        <v>81813.0</v>
      </c>
      <c r="D884" s="8" t="s">
        <v>46</v>
      </c>
      <c r="E884" s="9" t="s">
        <v>18</v>
      </c>
      <c r="F884" s="33">
        <v>1.0</v>
      </c>
      <c r="G884" s="33">
        <v>1100.0</v>
      </c>
      <c r="H884" s="5">
        <v>46112.0</v>
      </c>
      <c r="I884" s="2" t="s">
        <v>14</v>
      </c>
      <c r="J884" s="12" t="s">
        <v>715</v>
      </c>
    </row>
    <row r="885" ht="22.5" hidden="1" customHeight="1">
      <c r="A885" s="2" t="s">
        <v>714</v>
      </c>
      <c r="B885" s="2" t="s">
        <v>336</v>
      </c>
      <c r="C885" s="2">
        <v>81813.0</v>
      </c>
      <c r="D885" s="8" t="s">
        <v>46</v>
      </c>
      <c r="E885" s="9" t="s">
        <v>13</v>
      </c>
      <c r="F885" s="33">
        <v>1.0</v>
      </c>
      <c r="G885" s="33">
        <v>1100.0</v>
      </c>
      <c r="H885" s="5">
        <v>46112.0</v>
      </c>
      <c r="I885" s="2" t="s">
        <v>14</v>
      </c>
      <c r="J885" s="12" t="s">
        <v>715</v>
      </c>
    </row>
    <row r="886" ht="22.5" hidden="1" customHeight="1">
      <c r="A886" s="2" t="s">
        <v>716</v>
      </c>
      <c r="B886" s="2" t="s">
        <v>516</v>
      </c>
      <c r="C886" s="2" t="s">
        <v>517</v>
      </c>
      <c r="D886" s="8" t="s">
        <v>46</v>
      </c>
      <c r="E886" s="9" t="s">
        <v>338</v>
      </c>
      <c r="F886" s="33">
        <v>1.0</v>
      </c>
      <c r="G886" s="33">
        <v>1390.0</v>
      </c>
      <c r="H886" s="5">
        <v>46112.0</v>
      </c>
      <c r="I886" s="2" t="s">
        <v>14</v>
      </c>
      <c r="J886" s="12" t="s">
        <v>717</v>
      </c>
    </row>
    <row r="887" ht="22.5" hidden="1" customHeight="1">
      <c r="A887" s="2" t="s">
        <v>716</v>
      </c>
      <c r="B887" s="2" t="s">
        <v>440</v>
      </c>
      <c r="C887" s="2" t="s">
        <v>441</v>
      </c>
      <c r="D887" s="8" t="s">
        <v>46</v>
      </c>
      <c r="E887" s="9" t="s">
        <v>26</v>
      </c>
      <c r="F887" s="33">
        <v>1.0</v>
      </c>
      <c r="G887" s="33">
        <v>1200.0</v>
      </c>
      <c r="H887" s="5">
        <v>46112.0</v>
      </c>
      <c r="I887" s="2" t="s">
        <v>14</v>
      </c>
      <c r="J887" s="12" t="s">
        <v>717</v>
      </c>
    </row>
    <row r="888" ht="22.5" hidden="1" customHeight="1">
      <c r="A888" s="2" t="s">
        <v>716</v>
      </c>
      <c r="B888" s="2" t="s">
        <v>440</v>
      </c>
      <c r="C888" s="2" t="s">
        <v>441</v>
      </c>
      <c r="D888" s="8" t="s">
        <v>46</v>
      </c>
      <c r="E888" s="9" t="s">
        <v>47</v>
      </c>
      <c r="F888" s="33">
        <v>1.0</v>
      </c>
      <c r="G888" s="33">
        <v>1200.0</v>
      </c>
      <c r="H888" s="5">
        <v>46112.0</v>
      </c>
      <c r="I888" s="2" t="s">
        <v>14</v>
      </c>
      <c r="J888" s="12" t="s">
        <v>717</v>
      </c>
    </row>
    <row r="889" ht="22.5" hidden="1" customHeight="1">
      <c r="A889" s="2" t="s">
        <v>716</v>
      </c>
      <c r="B889" s="2" t="s">
        <v>377</v>
      </c>
      <c r="C889" s="2" t="s">
        <v>378</v>
      </c>
      <c r="D889" s="8" t="s">
        <v>46</v>
      </c>
      <c r="E889" s="9" t="s">
        <v>18</v>
      </c>
      <c r="F889" s="33">
        <v>1.0</v>
      </c>
      <c r="G889" s="33">
        <v>750.0</v>
      </c>
      <c r="H889" s="5">
        <v>46112.0</v>
      </c>
      <c r="I889" s="2" t="s">
        <v>14</v>
      </c>
      <c r="J889" s="12" t="s">
        <v>717</v>
      </c>
    </row>
    <row r="890" ht="22.5" hidden="1" customHeight="1">
      <c r="A890" s="2" t="s">
        <v>716</v>
      </c>
      <c r="B890" s="2" t="s">
        <v>377</v>
      </c>
      <c r="C890" s="2" t="s">
        <v>378</v>
      </c>
      <c r="D890" s="8" t="s">
        <v>46</v>
      </c>
      <c r="E890" s="9" t="s">
        <v>13</v>
      </c>
      <c r="F890" s="33">
        <v>1.0</v>
      </c>
      <c r="G890" s="33">
        <v>750.0</v>
      </c>
      <c r="H890" s="5">
        <v>46112.0</v>
      </c>
      <c r="I890" s="2" t="s">
        <v>14</v>
      </c>
      <c r="J890" s="12" t="s">
        <v>717</v>
      </c>
    </row>
    <row r="891" ht="22.5" hidden="1" customHeight="1">
      <c r="A891" s="2" t="s">
        <v>718</v>
      </c>
      <c r="B891" s="2" t="s">
        <v>568</v>
      </c>
      <c r="C891" s="2">
        <v>8897.0</v>
      </c>
      <c r="D891" s="8" t="s">
        <v>22</v>
      </c>
      <c r="E891" s="9" t="s">
        <v>13</v>
      </c>
      <c r="F891" s="33">
        <v>1.0</v>
      </c>
      <c r="G891" s="33">
        <v>1200.0</v>
      </c>
      <c r="H891" s="5">
        <v>46112.0</v>
      </c>
      <c r="I891" s="2" t="s">
        <v>14</v>
      </c>
      <c r="J891" s="12" t="s">
        <v>719</v>
      </c>
    </row>
    <row r="892" ht="22.5" hidden="1" customHeight="1">
      <c r="A892" s="2" t="s">
        <v>718</v>
      </c>
      <c r="B892" s="2" t="s">
        <v>414</v>
      </c>
      <c r="C892" s="2">
        <v>6866.0</v>
      </c>
      <c r="D892" s="8" t="s">
        <v>46</v>
      </c>
      <c r="E892" s="9" t="s">
        <v>415</v>
      </c>
      <c r="F892" s="33">
        <v>1.0</v>
      </c>
      <c r="G892" s="33">
        <v>2900.0</v>
      </c>
      <c r="H892" s="5">
        <v>46112.0</v>
      </c>
      <c r="I892" s="2" t="s">
        <v>24</v>
      </c>
      <c r="J892" s="12" t="s">
        <v>719</v>
      </c>
    </row>
    <row r="893" ht="22.5" hidden="1" customHeight="1">
      <c r="A893" s="2" t="s">
        <v>718</v>
      </c>
      <c r="B893" s="2" t="s">
        <v>516</v>
      </c>
      <c r="C893" s="2" t="s">
        <v>517</v>
      </c>
      <c r="D893" s="8" t="s">
        <v>46</v>
      </c>
      <c r="E893" s="9" t="s">
        <v>338</v>
      </c>
      <c r="F893" s="33">
        <v>1.0</v>
      </c>
      <c r="G893" s="33">
        <v>1390.0</v>
      </c>
      <c r="H893" s="5">
        <v>46112.0</v>
      </c>
      <c r="I893" s="2" t="s">
        <v>14</v>
      </c>
      <c r="J893" s="12" t="s">
        <v>719</v>
      </c>
    </row>
    <row r="894" ht="22.5" hidden="1" customHeight="1">
      <c r="A894" s="2" t="s">
        <v>720</v>
      </c>
      <c r="B894" s="2" t="s">
        <v>414</v>
      </c>
      <c r="C894" s="2">
        <v>6866.0</v>
      </c>
      <c r="D894" s="8" t="s">
        <v>46</v>
      </c>
      <c r="E894" s="9" t="s">
        <v>415</v>
      </c>
      <c r="F894" s="33">
        <v>1.0</v>
      </c>
      <c r="G894" s="33">
        <v>2900.0</v>
      </c>
      <c r="H894" s="5">
        <v>46112.0</v>
      </c>
      <c r="I894" s="2" t="s">
        <v>24</v>
      </c>
      <c r="J894" s="12" t="s">
        <v>721</v>
      </c>
    </row>
    <row r="895" ht="22.5" hidden="1" customHeight="1">
      <c r="A895" s="2" t="s">
        <v>722</v>
      </c>
      <c r="B895" s="2" t="s">
        <v>268</v>
      </c>
      <c r="C895" s="2" t="s">
        <v>269</v>
      </c>
      <c r="D895" s="8">
        <v>35.0</v>
      </c>
      <c r="E895" s="9" t="s">
        <v>47</v>
      </c>
      <c r="F895" s="33">
        <v>1.0</v>
      </c>
      <c r="G895" s="33">
        <v>1990.0</v>
      </c>
      <c r="H895" s="5">
        <v>46113.0</v>
      </c>
      <c r="I895" s="2" t="s">
        <v>14</v>
      </c>
      <c r="J895" s="12" t="s">
        <v>723</v>
      </c>
    </row>
    <row r="896" ht="22.5" hidden="1" customHeight="1">
      <c r="A896" s="2" t="s">
        <v>724</v>
      </c>
      <c r="B896" s="2" t="s">
        <v>268</v>
      </c>
      <c r="C896" s="2" t="s">
        <v>269</v>
      </c>
      <c r="D896" s="8">
        <v>37.0</v>
      </c>
      <c r="E896" s="9" t="s">
        <v>18</v>
      </c>
      <c r="F896" s="33">
        <v>1.0</v>
      </c>
      <c r="G896" s="33">
        <v>1990.0</v>
      </c>
      <c r="H896" s="5">
        <v>46113.0</v>
      </c>
      <c r="I896" s="2" t="s">
        <v>14</v>
      </c>
      <c r="J896" s="12" t="s">
        <v>725</v>
      </c>
    </row>
    <row r="897" ht="22.5" hidden="1" customHeight="1">
      <c r="A897" s="2" t="s">
        <v>724</v>
      </c>
      <c r="B897" s="2" t="s">
        <v>377</v>
      </c>
      <c r="C897" s="2" t="s">
        <v>378</v>
      </c>
      <c r="D897" s="8" t="s">
        <v>46</v>
      </c>
      <c r="E897" s="9" t="s">
        <v>18</v>
      </c>
      <c r="F897" s="33">
        <v>1.0</v>
      </c>
      <c r="G897" s="33">
        <v>750.0</v>
      </c>
      <c r="H897" s="5">
        <v>46113.0</v>
      </c>
      <c r="I897" s="2" t="s">
        <v>14</v>
      </c>
      <c r="J897" s="12" t="s">
        <v>725</v>
      </c>
    </row>
    <row r="898" ht="22.5" hidden="1" customHeight="1">
      <c r="A898" s="2" t="s">
        <v>724</v>
      </c>
      <c r="B898" s="2" t="s">
        <v>377</v>
      </c>
      <c r="C898" s="2" t="s">
        <v>378</v>
      </c>
      <c r="D898" s="8" t="s">
        <v>46</v>
      </c>
      <c r="E898" s="9" t="s">
        <v>13</v>
      </c>
      <c r="F898" s="33">
        <v>1.0</v>
      </c>
      <c r="G898" s="33">
        <v>750.0</v>
      </c>
      <c r="H898" s="5">
        <v>46113.0</v>
      </c>
      <c r="I898" s="2" t="s">
        <v>14</v>
      </c>
      <c r="J898" s="12" t="s">
        <v>725</v>
      </c>
    </row>
    <row r="899" ht="22.5" hidden="1" customHeight="1">
      <c r="A899" s="2" t="s">
        <v>724</v>
      </c>
      <c r="B899" s="2" t="s">
        <v>726</v>
      </c>
      <c r="C899" s="2">
        <v>9091.0</v>
      </c>
      <c r="D899" s="8" t="s">
        <v>12</v>
      </c>
      <c r="E899" s="9" t="s">
        <v>58</v>
      </c>
      <c r="F899" s="33">
        <v>1.0</v>
      </c>
      <c r="G899" s="33">
        <v>1950.0</v>
      </c>
      <c r="H899" s="5">
        <v>46113.0</v>
      </c>
      <c r="I899" s="2" t="s">
        <v>14</v>
      </c>
      <c r="J899" s="12" t="s">
        <v>725</v>
      </c>
    </row>
    <row r="900" ht="22.5" hidden="1" customHeight="1">
      <c r="A900" s="2" t="s">
        <v>727</v>
      </c>
      <c r="B900" s="2" t="s">
        <v>377</v>
      </c>
      <c r="C900" s="2" t="s">
        <v>378</v>
      </c>
      <c r="D900" s="8" t="s">
        <v>46</v>
      </c>
      <c r="E900" s="9" t="s">
        <v>18</v>
      </c>
      <c r="F900" s="33">
        <v>1.0</v>
      </c>
      <c r="G900" s="33">
        <v>750.0</v>
      </c>
      <c r="H900" s="5">
        <v>46113.0</v>
      </c>
      <c r="I900" s="2" t="s">
        <v>14</v>
      </c>
      <c r="J900" s="12" t="s">
        <v>725</v>
      </c>
    </row>
    <row r="901" ht="22.5" hidden="1" customHeight="1">
      <c r="A901" s="2" t="s">
        <v>727</v>
      </c>
      <c r="B901" s="2" t="s">
        <v>377</v>
      </c>
      <c r="C901" s="2" t="s">
        <v>378</v>
      </c>
      <c r="D901" s="8" t="s">
        <v>46</v>
      </c>
      <c r="E901" s="9" t="s">
        <v>23</v>
      </c>
      <c r="F901" s="33">
        <v>1.0</v>
      </c>
      <c r="G901" s="33">
        <v>750.0</v>
      </c>
      <c r="H901" s="5">
        <v>46113.0</v>
      </c>
      <c r="I901" s="2" t="s">
        <v>14</v>
      </c>
      <c r="J901" s="12" t="s">
        <v>725</v>
      </c>
    </row>
    <row r="902" ht="22.5" hidden="1" customHeight="1">
      <c r="A902" s="2" t="s">
        <v>727</v>
      </c>
      <c r="B902" s="2" t="s">
        <v>196</v>
      </c>
      <c r="C902" s="2">
        <v>8876.0</v>
      </c>
      <c r="D902" s="8" t="s">
        <v>12</v>
      </c>
      <c r="E902" s="9" t="s">
        <v>18</v>
      </c>
      <c r="F902" s="33">
        <v>1.0</v>
      </c>
      <c r="G902" s="33">
        <v>990.0</v>
      </c>
      <c r="H902" s="5">
        <v>46113.0</v>
      </c>
      <c r="I902" s="2" t="s">
        <v>14</v>
      </c>
      <c r="J902" s="12" t="s">
        <v>725</v>
      </c>
    </row>
    <row r="903" ht="22.5" hidden="1" customHeight="1">
      <c r="A903" s="2" t="s">
        <v>728</v>
      </c>
      <c r="B903" s="2" t="s">
        <v>377</v>
      </c>
      <c r="C903" s="2" t="s">
        <v>378</v>
      </c>
      <c r="D903" s="8" t="s">
        <v>46</v>
      </c>
      <c r="E903" s="9" t="s">
        <v>13</v>
      </c>
      <c r="F903" s="33">
        <v>1.0</v>
      </c>
      <c r="G903" s="33">
        <v>750.0</v>
      </c>
      <c r="H903" s="5">
        <v>46113.0</v>
      </c>
      <c r="I903" s="2" t="s">
        <v>14</v>
      </c>
      <c r="J903" s="12" t="s">
        <v>729</v>
      </c>
    </row>
    <row r="904" ht="22.5" hidden="1" customHeight="1">
      <c r="A904" s="2" t="s">
        <v>728</v>
      </c>
      <c r="B904" s="2" t="s">
        <v>377</v>
      </c>
      <c r="C904" s="2" t="s">
        <v>378</v>
      </c>
      <c r="D904" s="8" t="s">
        <v>46</v>
      </c>
      <c r="E904" s="9" t="s">
        <v>23</v>
      </c>
      <c r="F904" s="33">
        <v>1.0</v>
      </c>
      <c r="G904" s="33">
        <v>750.0</v>
      </c>
      <c r="H904" s="5">
        <v>46113.0</v>
      </c>
      <c r="I904" s="2" t="s">
        <v>14</v>
      </c>
      <c r="J904" s="12" t="s">
        <v>729</v>
      </c>
    </row>
    <row r="905" ht="22.5" hidden="1" customHeight="1">
      <c r="A905" s="2" t="s">
        <v>728</v>
      </c>
      <c r="B905" s="2" t="s">
        <v>730</v>
      </c>
      <c r="C905" s="2">
        <v>8116.0</v>
      </c>
      <c r="D905" s="8" t="s">
        <v>12</v>
      </c>
      <c r="E905" s="9" t="s">
        <v>13</v>
      </c>
      <c r="F905" s="33">
        <v>1.0</v>
      </c>
      <c r="G905" s="33">
        <v>2490.0</v>
      </c>
      <c r="H905" s="5">
        <v>46113.0</v>
      </c>
      <c r="I905" s="2" t="s">
        <v>14</v>
      </c>
      <c r="J905" s="12" t="s">
        <v>729</v>
      </c>
    </row>
    <row r="906" ht="22.5" hidden="1" customHeight="1">
      <c r="A906" s="2" t="s">
        <v>79</v>
      </c>
      <c r="B906" s="2" t="s">
        <v>268</v>
      </c>
      <c r="C906" s="2" t="s">
        <v>269</v>
      </c>
      <c r="D906" s="8">
        <v>37.0</v>
      </c>
      <c r="E906" s="9" t="s">
        <v>47</v>
      </c>
      <c r="F906" s="33">
        <v>1.0</v>
      </c>
      <c r="G906" s="33">
        <v>1990.0</v>
      </c>
      <c r="H906" s="5">
        <v>46113.0</v>
      </c>
      <c r="I906" s="2" t="s">
        <v>14</v>
      </c>
      <c r="J906" s="12" t="s">
        <v>731</v>
      </c>
    </row>
    <row r="907" ht="22.5" hidden="1" customHeight="1">
      <c r="A907" s="2" t="s">
        <v>79</v>
      </c>
      <c r="B907" s="2" t="s">
        <v>377</v>
      </c>
      <c r="C907" s="2" t="s">
        <v>378</v>
      </c>
      <c r="D907" s="8" t="s">
        <v>46</v>
      </c>
      <c r="E907" s="9" t="s">
        <v>18</v>
      </c>
      <c r="F907" s="33">
        <v>1.0</v>
      </c>
      <c r="G907" s="33">
        <v>750.0</v>
      </c>
      <c r="H907" s="5">
        <v>46113.0</v>
      </c>
      <c r="I907" s="2" t="s">
        <v>14</v>
      </c>
      <c r="J907" s="12" t="s">
        <v>731</v>
      </c>
    </row>
    <row r="908" ht="22.5" hidden="1" customHeight="1">
      <c r="A908" s="2" t="s">
        <v>79</v>
      </c>
      <c r="B908" s="2" t="s">
        <v>377</v>
      </c>
      <c r="C908" s="2" t="s">
        <v>378</v>
      </c>
      <c r="D908" s="8" t="s">
        <v>46</v>
      </c>
      <c r="E908" s="9" t="s">
        <v>13</v>
      </c>
      <c r="F908" s="33">
        <v>1.0</v>
      </c>
      <c r="G908" s="33">
        <v>750.0</v>
      </c>
      <c r="H908" s="5">
        <v>46113.0</v>
      </c>
      <c r="I908" s="2" t="s">
        <v>14</v>
      </c>
      <c r="J908" s="12" t="s">
        <v>731</v>
      </c>
    </row>
    <row r="909" ht="22.5" hidden="1" customHeight="1">
      <c r="A909" s="2" t="s">
        <v>79</v>
      </c>
      <c r="B909" s="2" t="s">
        <v>377</v>
      </c>
      <c r="C909" s="2" t="s">
        <v>378</v>
      </c>
      <c r="D909" s="8" t="s">
        <v>46</v>
      </c>
      <c r="E909" s="9" t="s">
        <v>47</v>
      </c>
      <c r="F909" s="33">
        <v>1.0</v>
      </c>
      <c r="G909" s="33">
        <v>750.0</v>
      </c>
      <c r="H909" s="5">
        <v>46113.0</v>
      </c>
      <c r="I909" s="2" t="s">
        <v>14</v>
      </c>
      <c r="J909" s="12" t="s">
        <v>731</v>
      </c>
    </row>
    <row r="910" ht="22.5" hidden="1" customHeight="1">
      <c r="A910" s="2" t="s">
        <v>79</v>
      </c>
      <c r="B910" s="2" t="s">
        <v>377</v>
      </c>
      <c r="C910" s="2" t="s">
        <v>378</v>
      </c>
      <c r="D910" s="8" t="s">
        <v>46</v>
      </c>
      <c r="E910" s="9" t="s">
        <v>23</v>
      </c>
      <c r="F910" s="33">
        <v>1.0</v>
      </c>
      <c r="G910" s="33">
        <v>750.0</v>
      </c>
      <c r="H910" s="5">
        <v>46113.0</v>
      </c>
      <c r="I910" s="2" t="s">
        <v>14</v>
      </c>
      <c r="J910" s="12" t="s">
        <v>731</v>
      </c>
    </row>
    <row r="911" ht="22.5" hidden="1" customHeight="1">
      <c r="A911" s="2" t="s">
        <v>732</v>
      </c>
      <c r="B911" s="2" t="s">
        <v>377</v>
      </c>
      <c r="C911" s="2" t="s">
        <v>378</v>
      </c>
      <c r="D911" s="8" t="s">
        <v>46</v>
      </c>
      <c r="E911" s="9" t="s">
        <v>18</v>
      </c>
      <c r="F911" s="33">
        <v>1.0</v>
      </c>
      <c r="G911" s="33">
        <v>750.0</v>
      </c>
      <c r="H911" s="5">
        <v>46113.0</v>
      </c>
      <c r="I911" s="2" t="s">
        <v>14</v>
      </c>
      <c r="J911" s="12" t="s">
        <v>733</v>
      </c>
    </row>
    <row r="912" ht="22.5" hidden="1" customHeight="1">
      <c r="A912" s="2" t="s">
        <v>732</v>
      </c>
      <c r="B912" s="2" t="s">
        <v>377</v>
      </c>
      <c r="C912" s="2" t="s">
        <v>378</v>
      </c>
      <c r="D912" s="8" t="s">
        <v>46</v>
      </c>
      <c r="E912" s="9" t="s">
        <v>23</v>
      </c>
      <c r="F912" s="33">
        <v>1.0</v>
      </c>
      <c r="G912" s="33">
        <v>750.0</v>
      </c>
      <c r="H912" s="5">
        <v>46113.0</v>
      </c>
      <c r="I912" s="2" t="s">
        <v>14</v>
      </c>
      <c r="J912" s="12" t="s">
        <v>733</v>
      </c>
    </row>
    <row r="913" ht="22.5" hidden="1" customHeight="1">
      <c r="A913" s="2" t="s">
        <v>732</v>
      </c>
      <c r="B913" s="2" t="s">
        <v>360</v>
      </c>
      <c r="C913" s="2" t="s">
        <v>361</v>
      </c>
      <c r="D913" s="8" t="s">
        <v>46</v>
      </c>
      <c r="E913" s="9" t="s">
        <v>734</v>
      </c>
      <c r="F913" s="33">
        <v>1.0</v>
      </c>
      <c r="G913" s="33">
        <v>1890.0</v>
      </c>
      <c r="H913" s="5">
        <v>46113.0</v>
      </c>
      <c r="I913" s="2" t="s">
        <v>14</v>
      </c>
      <c r="J913" s="12" t="s">
        <v>733</v>
      </c>
    </row>
    <row r="914" ht="22.5" hidden="1" customHeight="1">
      <c r="A914" s="2" t="s">
        <v>732</v>
      </c>
      <c r="B914" s="2" t="s">
        <v>360</v>
      </c>
      <c r="C914" s="2" t="s">
        <v>361</v>
      </c>
      <c r="D914" s="8" t="s">
        <v>46</v>
      </c>
      <c r="E914" s="9" t="s">
        <v>735</v>
      </c>
      <c r="F914" s="33">
        <v>1.0</v>
      </c>
      <c r="G914" s="33">
        <v>1890.0</v>
      </c>
      <c r="H914" s="5">
        <v>46113.0</v>
      </c>
      <c r="I914" s="2" t="s">
        <v>14</v>
      </c>
      <c r="J914" s="12" t="s">
        <v>733</v>
      </c>
    </row>
    <row r="915" ht="22.5" hidden="1" customHeight="1">
      <c r="A915" s="2" t="s">
        <v>732</v>
      </c>
      <c r="B915" s="2" t="s">
        <v>440</v>
      </c>
      <c r="C915" s="2" t="s">
        <v>441</v>
      </c>
      <c r="D915" s="8" t="s">
        <v>46</v>
      </c>
      <c r="E915" s="9" t="s">
        <v>447</v>
      </c>
      <c r="F915" s="33">
        <v>1.0</v>
      </c>
      <c r="G915" s="33">
        <v>1200.0</v>
      </c>
      <c r="H915" s="5">
        <v>46113.0</v>
      </c>
      <c r="I915" s="2" t="s">
        <v>14</v>
      </c>
      <c r="J915" s="12" t="s">
        <v>733</v>
      </c>
    </row>
    <row r="916" ht="22.5" hidden="1" customHeight="1">
      <c r="A916" s="2" t="s">
        <v>732</v>
      </c>
      <c r="B916" s="2" t="s">
        <v>336</v>
      </c>
      <c r="C916" s="2">
        <v>81813.0</v>
      </c>
      <c r="D916" s="8" t="s">
        <v>46</v>
      </c>
      <c r="E916" s="9" t="s">
        <v>16</v>
      </c>
      <c r="F916" s="33">
        <v>1.0</v>
      </c>
      <c r="G916" s="33">
        <v>1100.0</v>
      </c>
      <c r="H916" s="5">
        <v>46113.0</v>
      </c>
      <c r="I916" s="2" t="s">
        <v>14</v>
      </c>
      <c r="J916" s="12" t="s">
        <v>733</v>
      </c>
    </row>
    <row r="917" ht="22.5" hidden="1" customHeight="1">
      <c r="A917" s="2" t="s">
        <v>732</v>
      </c>
      <c r="B917" s="2" t="s">
        <v>336</v>
      </c>
      <c r="C917" s="2">
        <v>81813.0</v>
      </c>
      <c r="D917" s="8" t="s">
        <v>46</v>
      </c>
      <c r="E917" s="9" t="s">
        <v>13</v>
      </c>
      <c r="F917" s="33">
        <v>1.0</v>
      </c>
      <c r="G917" s="33">
        <v>1100.0</v>
      </c>
      <c r="H917" s="5">
        <v>46113.0</v>
      </c>
      <c r="I917" s="2" t="s">
        <v>14</v>
      </c>
      <c r="J917" s="12" t="s">
        <v>733</v>
      </c>
    </row>
    <row r="918" ht="22.5" hidden="1" customHeight="1">
      <c r="A918" s="2" t="s">
        <v>736</v>
      </c>
      <c r="B918" s="2" t="s">
        <v>377</v>
      </c>
      <c r="C918" s="2" t="s">
        <v>378</v>
      </c>
      <c r="D918" s="8" t="s">
        <v>46</v>
      </c>
      <c r="E918" s="9" t="s">
        <v>447</v>
      </c>
      <c r="F918" s="33">
        <v>1.0</v>
      </c>
      <c r="G918" s="33">
        <v>750.0</v>
      </c>
      <c r="H918" s="5">
        <v>46113.0</v>
      </c>
      <c r="I918" s="2" t="s">
        <v>24</v>
      </c>
      <c r="J918" s="12" t="s">
        <v>737</v>
      </c>
    </row>
    <row r="919" ht="22.5" hidden="1" customHeight="1">
      <c r="A919" s="2" t="s">
        <v>736</v>
      </c>
      <c r="B919" s="2" t="s">
        <v>377</v>
      </c>
      <c r="C919" s="2" t="s">
        <v>378</v>
      </c>
      <c r="D919" s="8" t="s">
        <v>46</v>
      </c>
      <c r="E919" s="9" t="s">
        <v>23</v>
      </c>
      <c r="F919" s="33">
        <v>1.0</v>
      </c>
      <c r="G919" s="33">
        <v>750.0</v>
      </c>
      <c r="H919" s="5">
        <v>46113.0</v>
      </c>
      <c r="I919" s="2" t="s">
        <v>14</v>
      </c>
      <c r="J919" s="12" t="s">
        <v>737</v>
      </c>
    </row>
    <row r="920" ht="22.5" hidden="1" customHeight="1">
      <c r="A920" s="2" t="s">
        <v>736</v>
      </c>
      <c r="B920" s="2" t="s">
        <v>377</v>
      </c>
      <c r="C920" s="2" t="s">
        <v>378</v>
      </c>
      <c r="D920" s="8" t="s">
        <v>46</v>
      </c>
      <c r="E920" s="9" t="s">
        <v>47</v>
      </c>
      <c r="F920" s="33">
        <v>1.0</v>
      </c>
      <c r="G920" s="33">
        <v>750.0</v>
      </c>
      <c r="H920" s="5">
        <v>46113.0</v>
      </c>
      <c r="I920" s="2" t="s">
        <v>14</v>
      </c>
      <c r="J920" s="12" t="s">
        <v>737</v>
      </c>
    </row>
    <row r="921" ht="22.5" hidden="1" customHeight="1">
      <c r="A921" s="2" t="s">
        <v>738</v>
      </c>
      <c r="B921" s="2" t="s">
        <v>440</v>
      </c>
      <c r="C921" s="2" t="s">
        <v>441</v>
      </c>
      <c r="D921" s="8" t="s">
        <v>46</v>
      </c>
      <c r="E921" s="9" t="s">
        <v>447</v>
      </c>
      <c r="F921" s="33">
        <v>1.0</v>
      </c>
      <c r="G921" s="33">
        <v>1200.0</v>
      </c>
      <c r="H921" s="5">
        <v>46113.0</v>
      </c>
      <c r="I921" s="2" t="s">
        <v>14</v>
      </c>
      <c r="J921" s="12" t="s">
        <v>739</v>
      </c>
    </row>
    <row r="922" ht="22.5" hidden="1" customHeight="1">
      <c r="A922" s="2" t="s">
        <v>727</v>
      </c>
      <c r="B922" s="2" t="s">
        <v>182</v>
      </c>
      <c r="C922" s="2">
        <v>9369.0</v>
      </c>
      <c r="D922" s="8" t="s">
        <v>12</v>
      </c>
      <c r="E922" s="9" t="s">
        <v>58</v>
      </c>
      <c r="F922" s="33">
        <v>1.0</v>
      </c>
      <c r="G922" s="33">
        <v>2400.0</v>
      </c>
      <c r="H922" s="5">
        <v>46113.0</v>
      </c>
      <c r="I922" s="2" t="s">
        <v>14</v>
      </c>
      <c r="J922" s="12" t="s">
        <v>725</v>
      </c>
    </row>
    <row r="923" ht="22.5" hidden="1" customHeight="1">
      <c r="A923" s="2" t="s">
        <v>740</v>
      </c>
      <c r="B923" s="2" t="s">
        <v>268</v>
      </c>
      <c r="C923" s="2" t="s">
        <v>269</v>
      </c>
      <c r="D923" s="8">
        <v>35.0</v>
      </c>
      <c r="E923" s="9" t="s">
        <v>18</v>
      </c>
      <c r="F923" s="33">
        <v>1.0</v>
      </c>
      <c r="G923" s="33">
        <v>1990.0</v>
      </c>
      <c r="H923" s="5">
        <v>46113.0</v>
      </c>
      <c r="I923" s="2" t="s">
        <v>14</v>
      </c>
      <c r="J923" s="12" t="s">
        <v>741</v>
      </c>
    </row>
    <row r="924" ht="22.5" hidden="1" customHeight="1">
      <c r="A924" s="2" t="s">
        <v>742</v>
      </c>
      <c r="B924" s="2" t="s">
        <v>268</v>
      </c>
      <c r="C924" s="2" t="s">
        <v>269</v>
      </c>
      <c r="D924" s="8">
        <v>37.0</v>
      </c>
      <c r="E924" s="9" t="s">
        <v>18</v>
      </c>
      <c r="F924" s="33">
        <v>1.0</v>
      </c>
      <c r="G924" s="33">
        <v>1990.0</v>
      </c>
      <c r="H924" s="5">
        <v>46113.0</v>
      </c>
      <c r="I924" s="2" t="s">
        <v>14</v>
      </c>
      <c r="J924" s="12" t="s">
        <v>743</v>
      </c>
    </row>
    <row r="925" ht="22.5" hidden="1" customHeight="1">
      <c r="A925" s="2" t="s">
        <v>744</v>
      </c>
      <c r="B925" s="2" t="s">
        <v>377</v>
      </c>
      <c r="C925" s="2" t="s">
        <v>378</v>
      </c>
      <c r="D925" s="8" t="s">
        <v>46</v>
      </c>
      <c r="E925" s="9" t="s">
        <v>18</v>
      </c>
      <c r="F925" s="33">
        <v>1.0</v>
      </c>
      <c r="G925" s="33">
        <v>750.0</v>
      </c>
      <c r="H925" s="5">
        <v>46113.0</v>
      </c>
      <c r="I925" s="2" t="s">
        <v>14</v>
      </c>
      <c r="J925" s="12" t="s">
        <v>745</v>
      </c>
    </row>
    <row r="926" ht="22.5" hidden="1" customHeight="1">
      <c r="A926" s="2" t="s">
        <v>306</v>
      </c>
      <c r="B926" s="2" t="s">
        <v>352</v>
      </c>
      <c r="C926" s="2">
        <v>5709.0</v>
      </c>
      <c r="D926" s="8" t="s">
        <v>12</v>
      </c>
      <c r="E926" s="9" t="s">
        <v>340</v>
      </c>
      <c r="F926" s="33">
        <v>1.0</v>
      </c>
      <c r="G926" s="33">
        <v>2350.0</v>
      </c>
      <c r="H926" s="5">
        <v>46114.0</v>
      </c>
      <c r="I926" s="2" t="s">
        <v>14</v>
      </c>
      <c r="J926" s="12" t="s">
        <v>746</v>
      </c>
    </row>
    <row r="927" ht="22.5" hidden="1" customHeight="1">
      <c r="A927" s="2" t="s">
        <v>747</v>
      </c>
      <c r="B927" s="2" t="s">
        <v>268</v>
      </c>
      <c r="C927" s="2" t="s">
        <v>269</v>
      </c>
      <c r="D927" s="8">
        <v>37.0</v>
      </c>
      <c r="E927" s="9" t="s">
        <v>18</v>
      </c>
      <c r="F927" s="33">
        <v>1.0</v>
      </c>
      <c r="G927" s="33">
        <v>1990.0</v>
      </c>
      <c r="H927" s="5">
        <v>46114.0</v>
      </c>
      <c r="I927" s="2" t="s">
        <v>14</v>
      </c>
      <c r="J927" s="12" t="s">
        <v>748</v>
      </c>
    </row>
    <row r="928" ht="22.5" hidden="1" customHeight="1">
      <c r="A928" s="2" t="s">
        <v>749</v>
      </c>
      <c r="B928" s="2" t="s">
        <v>587</v>
      </c>
      <c r="C928" s="2" t="s">
        <v>588</v>
      </c>
      <c r="D928" s="8" t="s">
        <v>22</v>
      </c>
      <c r="E928" s="9" t="s">
        <v>47</v>
      </c>
      <c r="F928" s="33">
        <v>1.0</v>
      </c>
      <c r="G928" s="33">
        <v>1990.0</v>
      </c>
      <c r="H928" s="5">
        <v>46114.0</v>
      </c>
      <c r="I928" s="2" t="s">
        <v>24</v>
      </c>
      <c r="J928" s="12" t="s">
        <v>750</v>
      </c>
    </row>
    <row r="929" ht="22.5" hidden="1" customHeight="1">
      <c r="A929" s="2" t="s">
        <v>751</v>
      </c>
      <c r="B929" s="2" t="s">
        <v>377</v>
      </c>
      <c r="C929" s="2" t="s">
        <v>378</v>
      </c>
      <c r="D929" s="8" t="s">
        <v>46</v>
      </c>
      <c r="E929" s="9" t="s">
        <v>18</v>
      </c>
      <c r="F929" s="33">
        <v>1.0</v>
      </c>
      <c r="G929" s="33">
        <v>750.0</v>
      </c>
      <c r="H929" s="5">
        <v>46114.0</v>
      </c>
      <c r="I929" s="2" t="s">
        <v>14</v>
      </c>
      <c r="J929" s="12" t="s">
        <v>752</v>
      </c>
    </row>
    <row r="930" ht="22.5" hidden="1" customHeight="1">
      <c r="A930" s="2" t="s">
        <v>751</v>
      </c>
      <c r="B930" s="2" t="s">
        <v>377</v>
      </c>
      <c r="C930" s="2" t="s">
        <v>378</v>
      </c>
      <c r="D930" s="8" t="s">
        <v>46</v>
      </c>
      <c r="E930" s="9" t="s">
        <v>47</v>
      </c>
      <c r="F930" s="33">
        <v>1.0</v>
      </c>
      <c r="G930" s="33">
        <v>750.0</v>
      </c>
      <c r="H930" s="5">
        <v>46114.0</v>
      </c>
      <c r="I930" s="2" t="s">
        <v>14</v>
      </c>
      <c r="J930" s="12" t="s">
        <v>752</v>
      </c>
    </row>
    <row r="931" ht="22.5" hidden="1" customHeight="1">
      <c r="A931" s="2" t="s">
        <v>751</v>
      </c>
      <c r="B931" s="2" t="s">
        <v>377</v>
      </c>
      <c r="C931" s="2" t="s">
        <v>378</v>
      </c>
      <c r="D931" s="8" t="s">
        <v>46</v>
      </c>
      <c r="E931" s="9" t="s">
        <v>23</v>
      </c>
      <c r="F931" s="33">
        <v>1.0</v>
      </c>
      <c r="G931" s="33">
        <v>750.0</v>
      </c>
      <c r="H931" s="5">
        <v>46114.0</v>
      </c>
      <c r="I931" s="2" t="s">
        <v>14</v>
      </c>
      <c r="J931" s="12" t="s">
        <v>752</v>
      </c>
    </row>
    <row r="932" ht="22.5" hidden="1" customHeight="1">
      <c r="A932" s="2" t="s">
        <v>753</v>
      </c>
      <c r="B932" s="2" t="s">
        <v>440</v>
      </c>
      <c r="C932" s="2" t="s">
        <v>441</v>
      </c>
      <c r="D932" s="8" t="s">
        <v>46</v>
      </c>
      <c r="E932" s="9" t="s">
        <v>447</v>
      </c>
      <c r="F932" s="33">
        <v>1.0</v>
      </c>
      <c r="G932" s="33">
        <v>1200.0</v>
      </c>
      <c r="H932" s="5">
        <v>46114.0</v>
      </c>
      <c r="I932" s="2" t="s">
        <v>14</v>
      </c>
      <c r="J932" s="12" t="s">
        <v>754</v>
      </c>
    </row>
    <row r="933" ht="22.5" hidden="1" customHeight="1">
      <c r="A933" s="2" t="s">
        <v>753</v>
      </c>
      <c r="B933" s="2" t="s">
        <v>377</v>
      </c>
      <c r="C933" s="2" t="s">
        <v>378</v>
      </c>
      <c r="D933" s="8" t="s">
        <v>46</v>
      </c>
      <c r="E933" s="9" t="s">
        <v>13</v>
      </c>
      <c r="F933" s="33">
        <v>1.0</v>
      </c>
      <c r="G933" s="33">
        <v>750.0</v>
      </c>
      <c r="H933" s="5">
        <v>46114.0</v>
      </c>
      <c r="I933" s="2" t="s">
        <v>14</v>
      </c>
      <c r="J933" s="12" t="s">
        <v>754</v>
      </c>
    </row>
    <row r="934" ht="22.5" hidden="1" customHeight="1">
      <c r="A934" s="2" t="s">
        <v>753</v>
      </c>
      <c r="B934" s="2" t="s">
        <v>377</v>
      </c>
      <c r="C934" s="2" t="s">
        <v>378</v>
      </c>
      <c r="D934" s="8" t="s">
        <v>46</v>
      </c>
      <c r="E934" s="9" t="s">
        <v>23</v>
      </c>
      <c r="F934" s="33">
        <v>1.0</v>
      </c>
      <c r="G934" s="33">
        <v>750.0</v>
      </c>
      <c r="H934" s="5">
        <v>46114.0</v>
      </c>
      <c r="I934" s="2" t="s">
        <v>14</v>
      </c>
      <c r="J934" s="12" t="s">
        <v>754</v>
      </c>
    </row>
    <row r="935" ht="22.5" hidden="1" customHeight="1">
      <c r="A935" s="2" t="s">
        <v>753</v>
      </c>
      <c r="B935" s="2" t="s">
        <v>377</v>
      </c>
      <c r="C935" s="2" t="s">
        <v>378</v>
      </c>
      <c r="D935" s="8" t="s">
        <v>46</v>
      </c>
      <c r="E935" s="9" t="s">
        <v>47</v>
      </c>
      <c r="F935" s="33">
        <v>1.0</v>
      </c>
      <c r="G935" s="33">
        <v>750.0</v>
      </c>
      <c r="H935" s="5">
        <v>46114.0</v>
      </c>
      <c r="I935" s="2" t="s">
        <v>14</v>
      </c>
      <c r="J935" s="12" t="s">
        <v>754</v>
      </c>
    </row>
    <row r="936" ht="22.5" hidden="1" customHeight="1">
      <c r="A936" s="2" t="s">
        <v>744</v>
      </c>
      <c r="B936" s="2" t="s">
        <v>377</v>
      </c>
      <c r="C936" s="2" t="s">
        <v>378</v>
      </c>
      <c r="D936" s="8" t="s">
        <v>46</v>
      </c>
      <c r="E936" s="9" t="s">
        <v>13</v>
      </c>
      <c r="F936" s="33">
        <v>1.0</v>
      </c>
      <c r="G936" s="33">
        <v>750.0</v>
      </c>
      <c r="H936" s="5">
        <v>46114.0</v>
      </c>
      <c r="I936" s="2" t="s">
        <v>14</v>
      </c>
      <c r="J936" s="12" t="s">
        <v>745</v>
      </c>
    </row>
    <row r="937" ht="22.5" hidden="1" customHeight="1">
      <c r="A937" s="2" t="s">
        <v>744</v>
      </c>
      <c r="B937" s="2" t="s">
        <v>755</v>
      </c>
      <c r="C937" s="2">
        <v>8558.0</v>
      </c>
      <c r="D937" s="8" t="s">
        <v>22</v>
      </c>
      <c r="E937" s="9" t="s">
        <v>13</v>
      </c>
      <c r="F937" s="33">
        <v>1.0</v>
      </c>
      <c r="G937" s="33">
        <v>1390.0</v>
      </c>
      <c r="H937" s="5">
        <v>46114.0</v>
      </c>
      <c r="I937" s="2" t="s">
        <v>14</v>
      </c>
      <c r="J937" s="12" t="s">
        <v>745</v>
      </c>
    </row>
    <row r="938" ht="22.5" hidden="1" customHeight="1">
      <c r="A938" s="2" t="s">
        <v>756</v>
      </c>
      <c r="B938" s="2" t="s">
        <v>268</v>
      </c>
      <c r="C938" s="2" t="s">
        <v>269</v>
      </c>
      <c r="D938" s="8">
        <v>35.0</v>
      </c>
      <c r="E938" s="9" t="s">
        <v>18</v>
      </c>
      <c r="F938" s="33">
        <v>1.0</v>
      </c>
      <c r="G938" s="33">
        <v>1990.0</v>
      </c>
      <c r="H938" s="5">
        <v>46114.0</v>
      </c>
      <c r="I938" s="2" t="s">
        <v>24</v>
      </c>
    </row>
    <row r="939" ht="22.5" hidden="1" customHeight="1">
      <c r="A939" s="2" t="s">
        <v>749</v>
      </c>
      <c r="B939" s="2" t="s">
        <v>516</v>
      </c>
      <c r="C939" s="2" t="s">
        <v>517</v>
      </c>
      <c r="D939" s="8" t="s">
        <v>46</v>
      </c>
      <c r="E939" s="9" t="s">
        <v>338</v>
      </c>
      <c r="F939" s="33">
        <v>2.0</v>
      </c>
      <c r="G939" s="33">
        <v>1390.0</v>
      </c>
      <c r="H939" s="5">
        <v>46115.0</v>
      </c>
      <c r="I939" s="2" t="s">
        <v>14</v>
      </c>
      <c r="J939" s="12" t="s">
        <v>750</v>
      </c>
    </row>
    <row r="940" ht="22.5" hidden="1" customHeight="1">
      <c r="A940" s="2" t="s">
        <v>757</v>
      </c>
      <c r="B940" s="2" t="s">
        <v>360</v>
      </c>
      <c r="C940" s="2" t="s">
        <v>361</v>
      </c>
      <c r="D940" s="8" t="s">
        <v>46</v>
      </c>
      <c r="E940" s="9" t="s">
        <v>758</v>
      </c>
      <c r="F940" s="33">
        <v>1.0</v>
      </c>
      <c r="G940" s="33">
        <v>1890.0</v>
      </c>
      <c r="H940" s="5">
        <v>46115.0</v>
      </c>
      <c r="I940" s="2" t="s">
        <v>14</v>
      </c>
      <c r="J940" s="12" t="s">
        <v>759</v>
      </c>
    </row>
    <row r="941" ht="22.5" hidden="1" customHeight="1">
      <c r="A941" s="2" t="s">
        <v>757</v>
      </c>
      <c r="B941" s="2" t="s">
        <v>360</v>
      </c>
      <c r="C941" s="2" t="s">
        <v>361</v>
      </c>
      <c r="D941" s="8" t="s">
        <v>46</v>
      </c>
      <c r="E941" s="9" t="s">
        <v>760</v>
      </c>
      <c r="F941" s="33">
        <v>1.0</v>
      </c>
      <c r="G941" s="33">
        <v>1890.0</v>
      </c>
      <c r="H941" s="5">
        <v>46115.0</v>
      </c>
      <c r="I941" s="2" t="s">
        <v>14</v>
      </c>
      <c r="J941" s="12" t="s">
        <v>759</v>
      </c>
    </row>
    <row r="942" ht="22.5" hidden="1" customHeight="1">
      <c r="A942" s="2" t="s">
        <v>761</v>
      </c>
      <c r="B942" s="2" t="s">
        <v>762</v>
      </c>
      <c r="C942" s="2" t="s">
        <v>763</v>
      </c>
      <c r="D942" s="8" t="s">
        <v>46</v>
      </c>
      <c r="E942" s="9" t="s">
        <v>764</v>
      </c>
      <c r="F942" s="33">
        <v>1.0</v>
      </c>
      <c r="G942" s="33">
        <v>1990.0</v>
      </c>
      <c r="H942" s="5">
        <v>46115.0</v>
      </c>
      <c r="I942" s="2" t="s">
        <v>14</v>
      </c>
      <c r="J942" s="12" t="s">
        <v>765</v>
      </c>
    </row>
    <row r="943" ht="22.5" hidden="1" customHeight="1">
      <c r="A943" s="2" t="s">
        <v>766</v>
      </c>
      <c r="B943" s="2" t="s">
        <v>762</v>
      </c>
      <c r="C943" s="2" t="s">
        <v>763</v>
      </c>
      <c r="D943" s="8" t="s">
        <v>46</v>
      </c>
      <c r="E943" s="9" t="s">
        <v>767</v>
      </c>
      <c r="F943" s="33">
        <v>1.0</v>
      </c>
      <c r="G943" s="33">
        <v>1990.0</v>
      </c>
      <c r="H943" s="5">
        <v>46115.0</v>
      </c>
      <c r="I943" s="2" t="s">
        <v>14</v>
      </c>
      <c r="J943" s="12" t="s">
        <v>768</v>
      </c>
    </row>
    <row r="944" ht="22.5" hidden="1" customHeight="1">
      <c r="A944" s="2" t="s">
        <v>769</v>
      </c>
      <c r="B944" s="2" t="s">
        <v>755</v>
      </c>
      <c r="C944" s="2">
        <v>8558.0</v>
      </c>
      <c r="D944" s="8" t="s">
        <v>22</v>
      </c>
      <c r="E944" s="9" t="s">
        <v>770</v>
      </c>
      <c r="F944" s="33">
        <v>1.0</v>
      </c>
      <c r="G944" s="33">
        <v>1390.0</v>
      </c>
      <c r="H944" s="5">
        <v>46116.0</v>
      </c>
      <c r="I944" s="2" t="s">
        <v>14</v>
      </c>
      <c r="J944" s="12" t="s">
        <v>771</v>
      </c>
    </row>
    <row r="945" ht="22.5" hidden="1" customHeight="1">
      <c r="A945" s="2" t="s">
        <v>142</v>
      </c>
      <c r="B945" s="2" t="s">
        <v>755</v>
      </c>
      <c r="C945" s="2">
        <v>8558.0</v>
      </c>
      <c r="D945" s="8" t="s">
        <v>22</v>
      </c>
      <c r="E945" s="9" t="s">
        <v>18</v>
      </c>
      <c r="F945" s="33">
        <v>1.0</v>
      </c>
      <c r="G945" s="33">
        <v>1390.0</v>
      </c>
      <c r="H945" s="5">
        <v>46116.0</v>
      </c>
      <c r="I945" s="2" t="s">
        <v>14</v>
      </c>
      <c r="J945" s="12" t="s">
        <v>709</v>
      </c>
    </row>
    <row r="946" ht="22.5" hidden="1" customHeight="1">
      <c r="A946" s="2" t="s">
        <v>142</v>
      </c>
      <c r="B946" s="2" t="s">
        <v>755</v>
      </c>
      <c r="C946" s="2">
        <v>8558.0</v>
      </c>
      <c r="D946" s="8" t="s">
        <v>22</v>
      </c>
      <c r="E946" s="9" t="s">
        <v>770</v>
      </c>
      <c r="F946" s="33">
        <v>1.0</v>
      </c>
      <c r="G946" s="33">
        <v>1390.0</v>
      </c>
      <c r="H946" s="5">
        <v>46116.0</v>
      </c>
      <c r="I946" s="2" t="s">
        <v>14</v>
      </c>
      <c r="J946" s="12" t="s">
        <v>709</v>
      </c>
    </row>
    <row r="947" ht="22.5" hidden="1" customHeight="1">
      <c r="A947" s="2" t="s">
        <v>772</v>
      </c>
      <c r="B947" s="2" t="s">
        <v>755</v>
      </c>
      <c r="C947" s="2">
        <v>8558.0</v>
      </c>
      <c r="D947" s="8" t="s">
        <v>22</v>
      </c>
      <c r="E947" s="9" t="s">
        <v>773</v>
      </c>
      <c r="F947" s="33">
        <v>1.0</v>
      </c>
      <c r="G947" s="33">
        <v>1390.0</v>
      </c>
      <c r="H947" s="5">
        <v>46116.0</v>
      </c>
      <c r="I947" s="2" t="s">
        <v>14</v>
      </c>
      <c r="J947" s="12" t="s">
        <v>774</v>
      </c>
    </row>
    <row r="948" ht="22.5" hidden="1" customHeight="1">
      <c r="A948" s="2" t="s">
        <v>775</v>
      </c>
      <c r="B948" s="2" t="s">
        <v>755</v>
      </c>
      <c r="C948" s="2">
        <v>8558.0</v>
      </c>
      <c r="D948" s="8" t="s">
        <v>12</v>
      </c>
      <c r="E948" s="9" t="s">
        <v>18</v>
      </c>
      <c r="F948" s="33">
        <v>1.0</v>
      </c>
      <c r="G948" s="33">
        <v>1390.0</v>
      </c>
      <c r="H948" s="5">
        <v>46116.0</v>
      </c>
      <c r="I948" s="2" t="s">
        <v>14</v>
      </c>
      <c r="J948" s="12" t="s">
        <v>776</v>
      </c>
    </row>
    <row r="949" ht="22.5" hidden="1" customHeight="1">
      <c r="A949" s="2" t="s">
        <v>775</v>
      </c>
      <c r="B949" s="2" t="s">
        <v>755</v>
      </c>
      <c r="C949" s="2">
        <v>8558.0</v>
      </c>
      <c r="D949" s="8" t="s">
        <v>12</v>
      </c>
      <c r="E949" s="9" t="s">
        <v>13</v>
      </c>
      <c r="F949" s="33">
        <v>1.0</v>
      </c>
      <c r="G949" s="33">
        <v>1390.0</v>
      </c>
      <c r="H949" s="5">
        <v>46116.0</v>
      </c>
      <c r="I949" s="2" t="s">
        <v>14</v>
      </c>
      <c r="J949" s="12" t="s">
        <v>776</v>
      </c>
    </row>
    <row r="950" ht="22.5" hidden="1" customHeight="1">
      <c r="A950" s="2" t="s">
        <v>777</v>
      </c>
      <c r="B950" s="2" t="s">
        <v>755</v>
      </c>
      <c r="C950" s="2">
        <v>8558.0</v>
      </c>
      <c r="D950" s="8" t="s">
        <v>22</v>
      </c>
      <c r="E950" s="9" t="s">
        <v>16</v>
      </c>
      <c r="F950" s="33">
        <v>1.0</v>
      </c>
      <c r="G950" s="33">
        <v>1390.0</v>
      </c>
      <c r="H950" s="5">
        <v>46116.0</v>
      </c>
      <c r="I950" s="2" t="s">
        <v>473</v>
      </c>
      <c r="J950" s="12" t="s">
        <v>778</v>
      </c>
    </row>
    <row r="951" ht="22.5" hidden="1" customHeight="1">
      <c r="A951" s="2" t="s">
        <v>777</v>
      </c>
      <c r="B951" s="2" t="s">
        <v>755</v>
      </c>
      <c r="C951" s="2">
        <v>8558.0</v>
      </c>
      <c r="D951" s="8" t="s">
        <v>22</v>
      </c>
      <c r="E951" s="9" t="s">
        <v>773</v>
      </c>
      <c r="F951" s="33">
        <v>1.0</v>
      </c>
      <c r="G951" s="33">
        <v>1390.0</v>
      </c>
      <c r="H951" s="5">
        <v>46116.0</v>
      </c>
      <c r="I951" s="2" t="s">
        <v>473</v>
      </c>
      <c r="J951" s="12" t="s">
        <v>778</v>
      </c>
    </row>
    <row r="952" ht="22.5" hidden="1" customHeight="1">
      <c r="A952" s="2" t="s">
        <v>779</v>
      </c>
      <c r="B952" s="2" t="s">
        <v>755</v>
      </c>
      <c r="C952" s="2">
        <v>8558.0</v>
      </c>
      <c r="D952" s="8" t="s">
        <v>22</v>
      </c>
      <c r="E952" s="9" t="s">
        <v>13</v>
      </c>
      <c r="F952" s="33">
        <v>1.0</v>
      </c>
      <c r="G952" s="33">
        <v>1390.0</v>
      </c>
      <c r="H952" s="5">
        <v>46116.0</v>
      </c>
      <c r="I952" s="2" t="s">
        <v>14</v>
      </c>
      <c r="J952" s="12" t="s">
        <v>780</v>
      </c>
    </row>
    <row r="953" ht="22.5" hidden="1" customHeight="1">
      <c r="A953" s="2" t="s">
        <v>779</v>
      </c>
      <c r="B953" s="2" t="s">
        <v>755</v>
      </c>
      <c r="C953" s="2">
        <v>8558.0</v>
      </c>
      <c r="D953" s="8" t="s">
        <v>22</v>
      </c>
      <c r="E953" s="9" t="s">
        <v>16</v>
      </c>
      <c r="F953" s="33">
        <v>1.0</v>
      </c>
      <c r="G953" s="33">
        <v>1390.0</v>
      </c>
      <c r="H953" s="5">
        <v>46116.0</v>
      </c>
      <c r="I953" s="2" t="s">
        <v>14</v>
      </c>
      <c r="J953" s="12" t="s">
        <v>780</v>
      </c>
    </row>
    <row r="954" ht="22.5" hidden="1" customHeight="1">
      <c r="A954" s="2" t="s">
        <v>781</v>
      </c>
      <c r="B954" s="2" t="s">
        <v>755</v>
      </c>
      <c r="C954" s="2">
        <v>8558.0</v>
      </c>
      <c r="D954" s="8" t="s">
        <v>12</v>
      </c>
      <c r="E954" s="9" t="s">
        <v>13</v>
      </c>
      <c r="F954" s="33">
        <v>2.0</v>
      </c>
      <c r="G954" s="33">
        <v>1390.0</v>
      </c>
      <c r="H954" s="5">
        <v>46116.0</v>
      </c>
      <c r="I954" s="2" t="s">
        <v>14</v>
      </c>
      <c r="J954" s="12" t="s">
        <v>782</v>
      </c>
    </row>
    <row r="955" ht="22.5" hidden="1" customHeight="1">
      <c r="A955" s="2" t="s">
        <v>385</v>
      </c>
      <c r="B955" s="2" t="s">
        <v>755</v>
      </c>
      <c r="C955" s="2">
        <v>8558.0</v>
      </c>
      <c r="D955" s="8" t="s">
        <v>22</v>
      </c>
      <c r="E955" s="9" t="s">
        <v>13</v>
      </c>
      <c r="F955" s="33">
        <v>1.0</v>
      </c>
      <c r="G955" s="33">
        <v>1390.0</v>
      </c>
      <c r="H955" s="5">
        <v>46116.0</v>
      </c>
      <c r="I955" s="2" t="s">
        <v>14</v>
      </c>
      <c r="J955" s="12" t="s">
        <v>497</v>
      </c>
    </row>
    <row r="956" ht="22.5" hidden="1" customHeight="1">
      <c r="A956" s="2" t="s">
        <v>385</v>
      </c>
      <c r="B956" s="2" t="s">
        <v>755</v>
      </c>
      <c r="C956" s="2">
        <v>8558.0</v>
      </c>
      <c r="D956" s="8" t="s">
        <v>22</v>
      </c>
      <c r="E956" s="9" t="s">
        <v>773</v>
      </c>
      <c r="F956" s="33">
        <v>1.0</v>
      </c>
      <c r="G956" s="33">
        <v>1390.0</v>
      </c>
      <c r="H956" s="5">
        <v>46116.0</v>
      </c>
      <c r="I956" s="2" t="s">
        <v>14</v>
      </c>
      <c r="J956" s="12" t="s">
        <v>497</v>
      </c>
    </row>
    <row r="957" ht="22.5" hidden="1" customHeight="1">
      <c r="A957" s="2" t="s">
        <v>783</v>
      </c>
      <c r="B957" s="2" t="s">
        <v>755</v>
      </c>
      <c r="C957" s="2">
        <v>8558.0</v>
      </c>
      <c r="D957" s="8" t="s">
        <v>22</v>
      </c>
      <c r="E957" s="9" t="s">
        <v>13</v>
      </c>
      <c r="F957" s="33">
        <v>1.0</v>
      </c>
      <c r="G957" s="33">
        <v>1390.0</v>
      </c>
      <c r="H957" s="5">
        <v>46116.0</v>
      </c>
      <c r="I957" s="2" t="s">
        <v>14</v>
      </c>
      <c r="J957" s="12" t="s">
        <v>784</v>
      </c>
    </row>
    <row r="958" ht="22.5" hidden="1" customHeight="1">
      <c r="A958" s="2" t="s">
        <v>783</v>
      </c>
      <c r="B958" s="2" t="s">
        <v>755</v>
      </c>
      <c r="C958" s="2">
        <v>8558.0</v>
      </c>
      <c r="D958" s="8" t="s">
        <v>22</v>
      </c>
      <c r="E958" s="9" t="s">
        <v>16</v>
      </c>
      <c r="F958" s="33">
        <v>1.0</v>
      </c>
      <c r="G958" s="33">
        <v>1390.0</v>
      </c>
      <c r="H958" s="5">
        <v>46116.0</v>
      </c>
      <c r="I958" s="2" t="s">
        <v>14</v>
      </c>
      <c r="J958" s="12" t="s">
        <v>784</v>
      </c>
    </row>
    <row r="959" ht="22.5" hidden="1" customHeight="1">
      <c r="A959" s="2" t="s">
        <v>785</v>
      </c>
      <c r="B959" s="2" t="s">
        <v>755</v>
      </c>
      <c r="C959" s="2">
        <v>8558.0</v>
      </c>
      <c r="D959" s="8" t="s">
        <v>22</v>
      </c>
      <c r="E959" s="9" t="s">
        <v>18</v>
      </c>
      <c r="F959" s="33">
        <v>1.0</v>
      </c>
      <c r="G959" s="33">
        <v>1390.0</v>
      </c>
      <c r="H959" s="5">
        <v>46116.0</v>
      </c>
      <c r="I959" s="2" t="s">
        <v>14</v>
      </c>
      <c r="J959" s="12" t="s">
        <v>786</v>
      </c>
    </row>
    <row r="960" ht="22.5" hidden="1" customHeight="1">
      <c r="A960" s="2" t="s">
        <v>785</v>
      </c>
      <c r="B960" s="2" t="s">
        <v>755</v>
      </c>
      <c r="C960" s="2">
        <v>8558.0</v>
      </c>
      <c r="D960" s="8" t="s">
        <v>22</v>
      </c>
      <c r="E960" s="9" t="s">
        <v>23</v>
      </c>
      <c r="F960" s="33">
        <v>1.0</v>
      </c>
      <c r="G960" s="33">
        <v>1390.0</v>
      </c>
      <c r="H960" s="5">
        <v>46116.0</v>
      </c>
      <c r="I960" s="2" t="s">
        <v>14</v>
      </c>
      <c r="J960" s="12" t="s">
        <v>786</v>
      </c>
    </row>
    <row r="961" ht="22.5" hidden="1" customHeight="1">
      <c r="A961" s="2" t="s">
        <v>749</v>
      </c>
      <c r="B961" s="2" t="s">
        <v>755</v>
      </c>
      <c r="C961" s="2">
        <v>8558.0</v>
      </c>
      <c r="D961" s="8" t="s">
        <v>12</v>
      </c>
      <c r="E961" s="9" t="s">
        <v>13</v>
      </c>
      <c r="F961" s="33">
        <v>1.0</v>
      </c>
      <c r="G961" s="33">
        <v>1390.0</v>
      </c>
      <c r="H961" s="5">
        <v>46116.0</v>
      </c>
      <c r="I961" s="2" t="s">
        <v>14</v>
      </c>
      <c r="J961" s="12" t="s">
        <v>750</v>
      </c>
    </row>
    <row r="962" ht="22.5" hidden="1" customHeight="1">
      <c r="A962" s="2" t="s">
        <v>749</v>
      </c>
      <c r="B962" s="2" t="s">
        <v>755</v>
      </c>
      <c r="C962" s="2">
        <v>8558.0</v>
      </c>
      <c r="D962" s="8" t="s">
        <v>12</v>
      </c>
      <c r="E962" s="9" t="s">
        <v>770</v>
      </c>
      <c r="F962" s="33">
        <v>1.0</v>
      </c>
      <c r="G962" s="33">
        <v>1390.0</v>
      </c>
      <c r="H962" s="5">
        <v>46116.0</v>
      </c>
      <c r="I962" s="2" t="s">
        <v>14</v>
      </c>
      <c r="J962" s="12" t="s">
        <v>750</v>
      </c>
    </row>
    <row r="963" ht="22.5" hidden="1" customHeight="1">
      <c r="A963" s="2" t="s">
        <v>787</v>
      </c>
      <c r="B963" s="2" t="s">
        <v>755</v>
      </c>
      <c r="C963" s="2">
        <v>8558.0</v>
      </c>
      <c r="D963" s="8" t="s">
        <v>12</v>
      </c>
      <c r="E963" s="9" t="s">
        <v>770</v>
      </c>
      <c r="F963" s="33">
        <v>1.0</v>
      </c>
      <c r="G963" s="33">
        <v>1390.0</v>
      </c>
      <c r="H963" s="5">
        <v>46116.0</v>
      </c>
      <c r="I963" s="2" t="s">
        <v>14</v>
      </c>
      <c r="J963" s="12" t="s">
        <v>788</v>
      </c>
    </row>
    <row r="964" ht="22.5" hidden="1" customHeight="1">
      <c r="A964" s="2" t="s">
        <v>787</v>
      </c>
      <c r="B964" s="2" t="s">
        <v>755</v>
      </c>
      <c r="C964" s="2">
        <v>8558.0</v>
      </c>
      <c r="D964" s="8" t="s">
        <v>12</v>
      </c>
      <c r="E964" s="9" t="s">
        <v>773</v>
      </c>
      <c r="F964" s="33">
        <v>1.0</v>
      </c>
      <c r="G964" s="33">
        <v>1390.0</v>
      </c>
      <c r="H964" s="5">
        <v>46116.0</v>
      </c>
      <c r="I964" s="2" t="s">
        <v>14</v>
      </c>
      <c r="J964" s="12" t="s">
        <v>788</v>
      </c>
    </row>
    <row r="965" ht="22.5" hidden="1" customHeight="1">
      <c r="A965" s="2" t="s">
        <v>263</v>
      </c>
      <c r="B965" s="2" t="s">
        <v>755</v>
      </c>
      <c r="C965" s="2">
        <v>8558.0</v>
      </c>
      <c r="D965" s="8" t="s">
        <v>22</v>
      </c>
      <c r="E965" s="9" t="s">
        <v>13</v>
      </c>
      <c r="F965" s="33">
        <v>1.0</v>
      </c>
      <c r="G965" s="33">
        <v>1390.0</v>
      </c>
      <c r="H965" s="5">
        <v>46116.0</v>
      </c>
      <c r="I965" s="2" t="s">
        <v>14</v>
      </c>
      <c r="J965" s="12" t="s">
        <v>789</v>
      </c>
    </row>
    <row r="966" ht="22.5" hidden="1" customHeight="1">
      <c r="A966" s="2" t="s">
        <v>263</v>
      </c>
      <c r="B966" s="2" t="s">
        <v>755</v>
      </c>
      <c r="C966" s="2">
        <v>8558.0</v>
      </c>
      <c r="D966" s="8" t="s">
        <v>22</v>
      </c>
      <c r="E966" s="9" t="s">
        <v>18</v>
      </c>
      <c r="F966" s="33">
        <v>1.0</v>
      </c>
      <c r="G966" s="33">
        <v>1390.0</v>
      </c>
      <c r="H966" s="5">
        <v>46116.0</v>
      </c>
      <c r="I966" s="2" t="s">
        <v>14</v>
      </c>
      <c r="J966" s="12" t="s">
        <v>789</v>
      </c>
    </row>
    <row r="967" ht="22.5" hidden="1" customHeight="1">
      <c r="A967" s="2" t="s">
        <v>263</v>
      </c>
      <c r="B967" s="2" t="s">
        <v>755</v>
      </c>
      <c r="C967" s="2">
        <v>8558.0</v>
      </c>
      <c r="D967" s="8" t="s">
        <v>22</v>
      </c>
      <c r="E967" s="9" t="s">
        <v>16</v>
      </c>
      <c r="F967" s="33">
        <v>1.0</v>
      </c>
      <c r="G967" s="33">
        <v>1390.0</v>
      </c>
      <c r="H967" s="5">
        <v>46116.0</v>
      </c>
      <c r="I967" s="2" t="s">
        <v>14</v>
      </c>
      <c r="J967" s="12" t="s">
        <v>789</v>
      </c>
    </row>
    <row r="968" ht="22.5" hidden="1" customHeight="1">
      <c r="A968" s="2" t="s">
        <v>547</v>
      </c>
      <c r="B968" s="2" t="s">
        <v>755</v>
      </c>
      <c r="C968" s="2">
        <v>8558.0</v>
      </c>
      <c r="D968" s="8" t="s">
        <v>12</v>
      </c>
      <c r="E968" s="9" t="s">
        <v>13</v>
      </c>
      <c r="F968" s="33">
        <v>1.0</v>
      </c>
      <c r="G968" s="33">
        <v>1390.0</v>
      </c>
      <c r="H968" s="5">
        <v>46116.0</v>
      </c>
      <c r="I968" s="2" t="s">
        <v>14</v>
      </c>
      <c r="J968" s="12" t="s">
        <v>548</v>
      </c>
    </row>
    <row r="969" ht="22.5" hidden="1" customHeight="1">
      <c r="A969" s="2" t="s">
        <v>547</v>
      </c>
      <c r="B969" s="2" t="s">
        <v>755</v>
      </c>
      <c r="C969" s="2">
        <v>8558.0</v>
      </c>
      <c r="D969" s="8" t="s">
        <v>12</v>
      </c>
      <c r="E969" s="9" t="s">
        <v>773</v>
      </c>
      <c r="F969" s="33">
        <v>1.0</v>
      </c>
      <c r="G969" s="33">
        <v>1390.0</v>
      </c>
      <c r="H969" s="5">
        <v>46116.0</v>
      </c>
      <c r="I969" s="2" t="s">
        <v>14</v>
      </c>
      <c r="J969" s="12" t="s">
        <v>548</v>
      </c>
    </row>
    <row r="970" ht="22.5" hidden="1" customHeight="1">
      <c r="A970" s="2" t="s">
        <v>508</v>
      </c>
      <c r="B970" s="2" t="s">
        <v>755</v>
      </c>
      <c r="C970" s="2">
        <v>8558.0</v>
      </c>
      <c r="D970" s="8" t="s">
        <v>22</v>
      </c>
      <c r="E970" s="9" t="s">
        <v>13</v>
      </c>
      <c r="F970" s="33">
        <v>1.0</v>
      </c>
      <c r="G970" s="33">
        <v>1390.0</v>
      </c>
      <c r="H970" s="5">
        <v>46116.0</v>
      </c>
      <c r="I970" s="2" t="s">
        <v>14</v>
      </c>
      <c r="J970" s="12" t="s">
        <v>509</v>
      </c>
    </row>
    <row r="971" ht="22.5" hidden="1" customHeight="1">
      <c r="A971" s="2" t="s">
        <v>508</v>
      </c>
      <c r="B971" s="2" t="s">
        <v>755</v>
      </c>
      <c r="C971" s="2">
        <v>8558.0</v>
      </c>
      <c r="D971" s="8" t="s">
        <v>22</v>
      </c>
      <c r="E971" s="9" t="s">
        <v>16</v>
      </c>
      <c r="F971" s="33">
        <v>1.0</v>
      </c>
      <c r="G971" s="33">
        <v>1390.0</v>
      </c>
      <c r="H971" s="5">
        <v>46116.0</v>
      </c>
      <c r="I971" s="2" t="s">
        <v>14</v>
      </c>
      <c r="J971" s="12" t="s">
        <v>509</v>
      </c>
    </row>
    <row r="972" ht="22.5" hidden="1" customHeight="1">
      <c r="A972" s="2" t="s">
        <v>150</v>
      </c>
      <c r="B972" s="2" t="s">
        <v>755</v>
      </c>
      <c r="C972" s="2">
        <v>8558.0</v>
      </c>
      <c r="D972" s="8" t="s">
        <v>12</v>
      </c>
      <c r="E972" s="9" t="s">
        <v>18</v>
      </c>
      <c r="F972" s="33">
        <v>1.0</v>
      </c>
      <c r="G972" s="33">
        <v>1390.0</v>
      </c>
      <c r="H972" s="5">
        <v>46116.0</v>
      </c>
      <c r="I972" s="2" t="s">
        <v>14</v>
      </c>
      <c r="J972" s="12" t="s">
        <v>790</v>
      </c>
    </row>
    <row r="973" ht="22.5" hidden="1" customHeight="1">
      <c r="A973" s="2" t="s">
        <v>150</v>
      </c>
      <c r="B973" s="2" t="s">
        <v>755</v>
      </c>
      <c r="C973" s="2">
        <v>8558.0</v>
      </c>
      <c r="D973" s="8" t="s">
        <v>12</v>
      </c>
      <c r="E973" s="9" t="s">
        <v>773</v>
      </c>
      <c r="F973" s="33">
        <v>1.0</v>
      </c>
      <c r="G973" s="33">
        <v>1390.0</v>
      </c>
      <c r="H973" s="5">
        <v>46116.0</v>
      </c>
      <c r="I973" s="2" t="s">
        <v>14</v>
      </c>
      <c r="J973" s="12" t="s">
        <v>790</v>
      </c>
    </row>
    <row r="974" ht="22.5" hidden="1" customHeight="1">
      <c r="A974" s="2" t="s">
        <v>423</v>
      </c>
      <c r="B974" s="2" t="s">
        <v>755</v>
      </c>
      <c r="C974" s="2">
        <v>8558.0</v>
      </c>
      <c r="D974" s="8" t="s">
        <v>12</v>
      </c>
      <c r="E974" s="9" t="s">
        <v>13</v>
      </c>
      <c r="F974" s="33">
        <v>1.0</v>
      </c>
      <c r="G974" s="33">
        <v>1390.0</v>
      </c>
      <c r="H974" s="5">
        <v>46116.0</v>
      </c>
      <c r="I974" s="2" t="s">
        <v>14</v>
      </c>
      <c r="J974" s="12" t="s">
        <v>791</v>
      </c>
    </row>
    <row r="975" ht="22.5" hidden="1" customHeight="1">
      <c r="A975" s="2" t="s">
        <v>423</v>
      </c>
      <c r="B975" s="2" t="s">
        <v>755</v>
      </c>
      <c r="C975" s="2">
        <v>8558.0</v>
      </c>
      <c r="D975" s="8" t="s">
        <v>12</v>
      </c>
      <c r="E975" s="9" t="s">
        <v>18</v>
      </c>
      <c r="F975" s="33">
        <v>1.0</v>
      </c>
      <c r="G975" s="33">
        <v>1390.0</v>
      </c>
      <c r="H975" s="5">
        <v>46116.0</v>
      </c>
      <c r="I975" s="2" t="s">
        <v>14</v>
      </c>
      <c r="J975" s="12" t="s">
        <v>791</v>
      </c>
    </row>
    <row r="976" ht="22.5" hidden="1" customHeight="1">
      <c r="A976" s="2" t="s">
        <v>490</v>
      </c>
      <c r="B976" s="2" t="s">
        <v>755</v>
      </c>
      <c r="C976" s="2">
        <v>8558.0</v>
      </c>
      <c r="D976" s="8" t="s">
        <v>22</v>
      </c>
      <c r="E976" s="9" t="s">
        <v>18</v>
      </c>
      <c r="F976" s="33">
        <v>1.0</v>
      </c>
      <c r="G976" s="33">
        <v>1390.0</v>
      </c>
      <c r="H976" s="5">
        <v>46116.0</v>
      </c>
      <c r="I976" s="2" t="s">
        <v>14</v>
      </c>
      <c r="J976" s="12" t="s">
        <v>491</v>
      </c>
    </row>
    <row r="977" ht="22.5" hidden="1" customHeight="1">
      <c r="A977" s="2" t="s">
        <v>490</v>
      </c>
      <c r="B977" s="2" t="s">
        <v>755</v>
      </c>
      <c r="C977" s="2">
        <v>8558.0</v>
      </c>
      <c r="D977" s="8" t="s">
        <v>22</v>
      </c>
      <c r="E977" s="9" t="s">
        <v>770</v>
      </c>
      <c r="F977" s="33">
        <v>1.0</v>
      </c>
      <c r="G977" s="33">
        <v>1390.0</v>
      </c>
      <c r="H977" s="5">
        <v>46116.0</v>
      </c>
      <c r="I977" s="2" t="s">
        <v>14</v>
      </c>
      <c r="J977" s="12" t="s">
        <v>491</v>
      </c>
    </row>
    <row r="978" ht="22.5" hidden="1" customHeight="1">
      <c r="A978" s="2" t="s">
        <v>490</v>
      </c>
      <c r="B978" s="2" t="s">
        <v>755</v>
      </c>
      <c r="C978" s="2">
        <v>8558.0</v>
      </c>
      <c r="D978" s="8" t="s">
        <v>22</v>
      </c>
      <c r="E978" s="9" t="s">
        <v>773</v>
      </c>
      <c r="F978" s="33">
        <v>1.0</v>
      </c>
      <c r="G978" s="33">
        <v>1390.0</v>
      </c>
      <c r="H978" s="35">
        <v>46116.0</v>
      </c>
      <c r="I978" s="2" t="s">
        <v>14</v>
      </c>
      <c r="J978" s="12" t="s">
        <v>491</v>
      </c>
    </row>
    <row r="979" ht="22.5" hidden="1" customHeight="1">
      <c r="A979" s="2" t="s">
        <v>297</v>
      </c>
      <c r="B979" s="2" t="s">
        <v>755</v>
      </c>
      <c r="C979" s="2">
        <v>8558.0</v>
      </c>
      <c r="D979" s="8" t="s">
        <v>22</v>
      </c>
      <c r="E979" s="9" t="s">
        <v>770</v>
      </c>
      <c r="F979" s="33">
        <v>1.0</v>
      </c>
      <c r="G979" s="33">
        <v>1390.0</v>
      </c>
      <c r="H979" s="35">
        <v>46116.0</v>
      </c>
      <c r="I979" s="2" t="s">
        <v>14</v>
      </c>
      <c r="J979" s="12" t="s">
        <v>792</v>
      </c>
    </row>
    <row r="980" ht="22.5" hidden="1" customHeight="1">
      <c r="A980" s="2" t="s">
        <v>297</v>
      </c>
      <c r="B980" s="2" t="s">
        <v>755</v>
      </c>
      <c r="C980" s="2">
        <v>8558.0</v>
      </c>
      <c r="D980" s="8" t="s">
        <v>22</v>
      </c>
      <c r="E980" s="9" t="s">
        <v>773</v>
      </c>
      <c r="F980" s="33">
        <v>1.0</v>
      </c>
      <c r="G980" s="33">
        <v>1390.0</v>
      </c>
      <c r="H980" s="35">
        <v>46116.0</v>
      </c>
      <c r="I980" s="2" t="s">
        <v>14</v>
      </c>
      <c r="J980" s="12" t="s">
        <v>792</v>
      </c>
    </row>
    <row r="981" ht="22.5" hidden="1" customHeight="1">
      <c r="A981" s="2" t="s">
        <v>793</v>
      </c>
      <c r="B981" s="2" t="s">
        <v>755</v>
      </c>
      <c r="C981" s="2">
        <v>8558.0</v>
      </c>
      <c r="D981" s="8" t="s">
        <v>22</v>
      </c>
      <c r="E981" s="9" t="s">
        <v>773</v>
      </c>
      <c r="F981" s="33">
        <v>1.0</v>
      </c>
      <c r="G981" s="33">
        <v>1390.0</v>
      </c>
      <c r="H981" s="35">
        <v>46116.0</v>
      </c>
      <c r="I981" s="2" t="s">
        <v>14</v>
      </c>
      <c r="J981" s="12" t="s">
        <v>794</v>
      </c>
    </row>
    <row r="982" ht="22.5" hidden="1" customHeight="1">
      <c r="A982" s="2" t="s">
        <v>795</v>
      </c>
      <c r="B982" s="2" t="s">
        <v>268</v>
      </c>
      <c r="C982" s="2" t="s">
        <v>269</v>
      </c>
      <c r="D982" s="8">
        <v>36.0</v>
      </c>
      <c r="E982" s="9" t="s">
        <v>18</v>
      </c>
      <c r="F982" s="33">
        <v>1.0</v>
      </c>
      <c r="G982" s="33">
        <v>1990.0</v>
      </c>
      <c r="H982" s="35">
        <v>46118.0</v>
      </c>
      <c r="I982" s="2" t="s">
        <v>14</v>
      </c>
      <c r="J982" s="12" t="s">
        <v>796</v>
      </c>
    </row>
    <row r="983" ht="22.5" hidden="1" customHeight="1">
      <c r="A983" s="2" t="s">
        <v>398</v>
      </c>
      <c r="B983" s="2" t="s">
        <v>268</v>
      </c>
      <c r="C983" s="2" t="s">
        <v>269</v>
      </c>
      <c r="D983" s="8">
        <v>40.0</v>
      </c>
      <c r="E983" s="9" t="s">
        <v>18</v>
      </c>
      <c r="F983" s="33">
        <v>1.0</v>
      </c>
      <c r="G983" s="33">
        <v>1990.0</v>
      </c>
      <c r="H983" s="35">
        <v>46118.0</v>
      </c>
      <c r="I983" s="2" t="s">
        <v>14</v>
      </c>
      <c r="J983" s="12" t="s">
        <v>797</v>
      </c>
    </row>
    <row r="984" ht="22.5" hidden="1" customHeight="1">
      <c r="A984" s="2" t="s">
        <v>798</v>
      </c>
      <c r="B984" s="2" t="s">
        <v>196</v>
      </c>
      <c r="C984" s="2">
        <v>8876.0</v>
      </c>
      <c r="D984" s="8" t="s">
        <v>22</v>
      </c>
      <c r="E984" s="9" t="s">
        <v>18</v>
      </c>
      <c r="F984" s="33">
        <v>1.0</v>
      </c>
      <c r="G984" s="33">
        <v>990.0</v>
      </c>
      <c r="H984" s="35">
        <v>46118.0</v>
      </c>
      <c r="I984" s="2" t="s">
        <v>14</v>
      </c>
      <c r="J984" s="12" t="s">
        <v>799</v>
      </c>
    </row>
    <row r="985" ht="22.5" hidden="1" customHeight="1">
      <c r="A985" s="2" t="s">
        <v>798</v>
      </c>
      <c r="B985" s="2" t="s">
        <v>196</v>
      </c>
      <c r="C985" s="2">
        <v>8876.0</v>
      </c>
      <c r="D985" s="8" t="s">
        <v>22</v>
      </c>
      <c r="E985" s="9" t="s">
        <v>23</v>
      </c>
      <c r="F985" s="33">
        <v>1.0</v>
      </c>
      <c r="G985" s="33">
        <v>990.0</v>
      </c>
      <c r="H985" s="35">
        <v>46118.0</v>
      </c>
      <c r="I985" s="2" t="s">
        <v>14</v>
      </c>
      <c r="J985" s="12" t="s">
        <v>799</v>
      </c>
    </row>
    <row r="986" ht="22.5" hidden="1" customHeight="1">
      <c r="A986" s="2" t="s">
        <v>800</v>
      </c>
      <c r="B986" s="2" t="s">
        <v>755</v>
      </c>
      <c r="C986" s="2">
        <v>8558.0</v>
      </c>
      <c r="D986" s="8" t="s">
        <v>12</v>
      </c>
      <c r="E986" s="9" t="s">
        <v>18</v>
      </c>
      <c r="F986" s="33">
        <v>1.0</v>
      </c>
      <c r="G986" s="33">
        <v>1390.0</v>
      </c>
      <c r="H986" s="35">
        <v>46118.0</v>
      </c>
      <c r="I986" s="2" t="s">
        <v>14</v>
      </c>
      <c r="J986" s="12" t="s">
        <v>801</v>
      </c>
    </row>
    <row r="987" ht="22.5" hidden="1" customHeight="1">
      <c r="A987" s="2" t="s">
        <v>800</v>
      </c>
      <c r="B987" s="2" t="s">
        <v>755</v>
      </c>
      <c r="C987" s="2">
        <v>8558.0</v>
      </c>
      <c r="D987" s="8" t="s">
        <v>12</v>
      </c>
      <c r="E987" s="9" t="s">
        <v>13</v>
      </c>
      <c r="F987" s="33">
        <v>1.0</v>
      </c>
      <c r="G987" s="33">
        <v>1390.0</v>
      </c>
      <c r="H987" s="35">
        <v>46118.0</v>
      </c>
      <c r="I987" s="2" t="s">
        <v>14</v>
      </c>
      <c r="J987" s="12" t="s">
        <v>801</v>
      </c>
    </row>
    <row r="988" ht="22.5" hidden="1" customHeight="1">
      <c r="A988" s="2" t="s">
        <v>800</v>
      </c>
      <c r="B988" s="2" t="s">
        <v>196</v>
      </c>
      <c r="C988" s="2">
        <v>8876.0</v>
      </c>
      <c r="D988" s="8" t="s">
        <v>12</v>
      </c>
      <c r="E988" s="9" t="s">
        <v>18</v>
      </c>
      <c r="F988" s="33">
        <v>1.0</v>
      </c>
      <c r="G988" s="33">
        <v>990.0</v>
      </c>
      <c r="H988" s="35">
        <v>46118.0</v>
      </c>
      <c r="I988" s="2" t="s">
        <v>14</v>
      </c>
      <c r="J988" s="12" t="s">
        <v>801</v>
      </c>
    </row>
    <row r="989" ht="22.5" hidden="1" customHeight="1">
      <c r="A989" s="2" t="s">
        <v>800</v>
      </c>
      <c r="B989" s="2" t="s">
        <v>196</v>
      </c>
      <c r="C989" s="2">
        <v>8876.0</v>
      </c>
      <c r="D989" s="8" t="s">
        <v>12</v>
      </c>
      <c r="E989" s="9" t="s">
        <v>13</v>
      </c>
      <c r="F989" s="33">
        <v>1.0</v>
      </c>
      <c r="G989" s="33">
        <v>990.0</v>
      </c>
      <c r="H989" s="35">
        <v>46118.0</v>
      </c>
      <c r="I989" s="2" t="s">
        <v>14</v>
      </c>
      <c r="J989" s="12" t="s">
        <v>801</v>
      </c>
    </row>
    <row r="990" ht="22.5" hidden="1" customHeight="1">
      <c r="A990" s="2" t="s">
        <v>802</v>
      </c>
      <c r="B990" s="2" t="s">
        <v>352</v>
      </c>
      <c r="C990" s="2">
        <v>5709.0</v>
      </c>
      <c r="D990" s="8" t="s">
        <v>22</v>
      </c>
      <c r="E990" s="9" t="s">
        <v>340</v>
      </c>
      <c r="F990" s="33">
        <v>1.0</v>
      </c>
      <c r="G990" s="33">
        <v>2350.0</v>
      </c>
      <c r="H990" s="35">
        <v>46118.0</v>
      </c>
      <c r="I990" s="2" t="s">
        <v>473</v>
      </c>
      <c r="J990" s="12" t="s">
        <v>803</v>
      </c>
    </row>
    <row r="991" ht="22.5" hidden="1" customHeight="1">
      <c r="A991" s="2" t="s">
        <v>802</v>
      </c>
      <c r="B991" s="2" t="s">
        <v>268</v>
      </c>
      <c r="C991" s="2" t="s">
        <v>269</v>
      </c>
      <c r="D991" s="8">
        <v>37.0</v>
      </c>
      <c r="E991" s="9" t="s">
        <v>18</v>
      </c>
      <c r="F991" s="33">
        <v>1.0</v>
      </c>
      <c r="G991" s="33">
        <v>1990.0</v>
      </c>
      <c r="H991" s="35">
        <v>46118.0</v>
      </c>
      <c r="I991" s="2" t="s">
        <v>473</v>
      </c>
      <c r="J991" s="12" t="s">
        <v>803</v>
      </c>
    </row>
    <row r="992" ht="22.5" hidden="1" customHeight="1">
      <c r="A992" s="2" t="s">
        <v>804</v>
      </c>
      <c r="B992" s="2" t="s">
        <v>377</v>
      </c>
      <c r="C992" s="2" t="s">
        <v>378</v>
      </c>
      <c r="D992" s="8" t="s">
        <v>46</v>
      </c>
      <c r="E992" s="9" t="s">
        <v>18</v>
      </c>
      <c r="F992" s="33">
        <v>1.0</v>
      </c>
      <c r="G992" s="33">
        <v>750.0</v>
      </c>
      <c r="H992" s="35">
        <v>46118.0</v>
      </c>
      <c r="I992" s="2" t="s">
        <v>14</v>
      </c>
      <c r="J992" s="12" t="s">
        <v>805</v>
      </c>
    </row>
    <row r="993" ht="22.5" hidden="1" customHeight="1">
      <c r="A993" s="2" t="s">
        <v>804</v>
      </c>
      <c r="B993" s="2" t="s">
        <v>377</v>
      </c>
      <c r="C993" s="2" t="s">
        <v>378</v>
      </c>
      <c r="D993" s="8" t="s">
        <v>46</v>
      </c>
      <c r="E993" s="9" t="s">
        <v>13</v>
      </c>
      <c r="F993" s="33">
        <v>1.0</v>
      </c>
      <c r="G993" s="33">
        <v>750.0</v>
      </c>
      <c r="H993" s="35">
        <v>46118.0</v>
      </c>
      <c r="I993" s="2" t="s">
        <v>14</v>
      </c>
      <c r="J993" s="12" t="s">
        <v>805</v>
      </c>
    </row>
    <row r="994" ht="22.5" hidden="1" customHeight="1">
      <c r="A994" s="2" t="s">
        <v>806</v>
      </c>
      <c r="B994" s="2" t="s">
        <v>360</v>
      </c>
      <c r="C994" s="2" t="s">
        <v>361</v>
      </c>
      <c r="D994" s="8" t="s">
        <v>46</v>
      </c>
      <c r="E994" s="9" t="s">
        <v>758</v>
      </c>
      <c r="F994" s="33">
        <v>1.0</v>
      </c>
      <c r="G994" s="33">
        <v>1890.0</v>
      </c>
      <c r="H994" s="35">
        <v>46118.0</v>
      </c>
      <c r="I994" s="2" t="s">
        <v>14</v>
      </c>
      <c r="J994" s="12" t="s">
        <v>807</v>
      </c>
    </row>
    <row r="995" ht="22.5" hidden="1" customHeight="1">
      <c r="A995" s="2" t="s">
        <v>806</v>
      </c>
      <c r="B995" s="2" t="s">
        <v>360</v>
      </c>
      <c r="C995" s="2" t="s">
        <v>361</v>
      </c>
      <c r="D995" s="8" t="s">
        <v>46</v>
      </c>
      <c r="E995" s="9" t="s">
        <v>760</v>
      </c>
      <c r="F995" s="33">
        <v>1.0</v>
      </c>
      <c r="G995" s="33">
        <v>1890.0</v>
      </c>
      <c r="H995" s="35">
        <v>46118.0</v>
      </c>
      <c r="I995" s="2" t="s">
        <v>14</v>
      </c>
      <c r="J995" s="12" t="s">
        <v>807</v>
      </c>
    </row>
    <row r="996" ht="22.5" hidden="1" customHeight="1">
      <c r="A996" s="2" t="s">
        <v>806</v>
      </c>
      <c r="B996" s="2" t="s">
        <v>352</v>
      </c>
      <c r="C996" s="2">
        <v>5709.0</v>
      </c>
      <c r="D996" s="8" t="s">
        <v>12</v>
      </c>
      <c r="E996" s="9" t="s">
        <v>340</v>
      </c>
      <c r="F996" s="33">
        <v>1.0</v>
      </c>
      <c r="G996" s="33">
        <v>2350.0</v>
      </c>
      <c r="H996" s="35">
        <v>46118.0</v>
      </c>
      <c r="I996" s="2" t="s">
        <v>24</v>
      </c>
      <c r="J996" s="12" t="s">
        <v>807</v>
      </c>
    </row>
    <row r="997" ht="22.5" hidden="1" customHeight="1">
      <c r="A997" s="2" t="s">
        <v>808</v>
      </c>
      <c r="B997" s="2" t="s">
        <v>755</v>
      </c>
      <c r="C997" s="2">
        <v>8558.0</v>
      </c>
      <c r="D997" s="8" t="s">
        <v>22</v>
      </c>
      <c r="E997" s="9" t="s">
        <v>18</v>
      </c>
      <c r="F997" s="33">
        <v>1.0</v>
      </c>
      <c r="G997" s="33">
        <v>1390.0</v>
      </c>
      <c r="H997" s="35">
        <v>46118.0</v>
      </c>
      <c r="I997" s="2" t="s">
        <v>14</v>
      </c>
    </row>
    <row r="998" ht="22.5" hidden="1" customHeight="1">
      <c r="A998" s="2" t="s">
        <v>808</v>
      </c>
      <c r="B998" s="2" t="s">
        <v>755</v>
      </c>
      <c r="C998" s="2">
        <v>8558.0</v>
      </c>
      <c r="D998" s="8" t="s">
        <v>22</v>
      </c>
      <c r="E998" s="9" t="s">
        <v>773</v>
      </c>
      <c r="F998" s="33">
        <v>1.0</v>
      </c>
      <c r="G998" s="33">
        <v>1390.0</v>
      </c>
      <c r="H998" s="35">
        <v>46118.0</v>
      </c>
      <c r="I998" s="2" t="s">
        <v>14</v>
      </c>
    </row>
    <row r="999" ht="22.5" hidden="1" customHeight="1">
      <c r="A999" s="2" t="s">
        <v>809</v>
      </c>
      <c r="B999" s="2" t="s">
        <v>377</v>
      </c>
      <c r="C999" s="2" t="s">
        <v>378</v>
      </c>
      <c r="D999" s="8" t="s">
        <v>46</v>
      </c>
      <c r="E999" s="9" t="s">
        <v>47</v>
      </c>
      <c r="F999" s="33">
        <v>1.0</v>
      </c>
      <c r="G999" s="33">
        <v>750.0</v>
      </c>
      <c r="H999" s="35">
        <v>46118.0</v>
      </c>
      <c r="I999" s="2" t="s">
        <v>14</v>
      </c>
      <c r="J999" s="12" t="s">
        <v>810</v>
      </c>
    </row>
    <row r="1000" ht="22.5" hidden="1" customHeight="1">
      <c r="A1000" s="2" t="s">
        <v>809</v>
      </c>
      <c r="B1000" s="2" t="s">
        <v>377</v>
      </c>
      <c r="C1000" s="2" t="s">
        <v>378</v>
      </c>
      <c r="D1000" s="8" t="s">
        <v>46</v>
      </c>
      <c r="E1000" s="9" t="s">
        <v>23</v>
      </c>
      <c r="F1000" s="33">
        <v>1.0</v>
      </c>
      <c r="G1000" s="33">
        <v>750.0</v>
      </c>
      <c r="H1000" s="35">
        <v>46118.0</v>
      </c>
      <c r="I1000" s="2" t="s">
        <v>14</v>
      </c>
      <c r="J1000" s="12" t="s">
        <v>810</v>
      </c>
    </row>
    <row r="1001" ht="22.5" hidden="1" customHeight="1">
      <c r="A1001" s="2" t="s">
        <v>809</v>
      </c>
      <c r="B1001" s="2" t="s">
        <v>268</v>
      </c>
      <c r="C1001" s="2" t="s">
        <v>269</v>
      </c>
      <c r="D1001" s="8">
        <v>38.0</v>
      </c>
      <c r="E1001" s="9" t="s">
        <v>18</v>
      </c>
      <c r="F1001" s="33">
        <v>1.0</v>
      </c>
      <c r="G1001" s="33">
        <v>1990.0</v>
      </c>
      <c r="H1001" s="35">
        <v>46118.0</v>
      </c>
      <c r="I1001" s="2" t="s">
        <v>14</v>
      </c>
      <c r="J1001" s="12" t="s">
        <v>810</v>
      </c>
    </row>
    <row r="1002" ht="22.5" hidden="1" customHeight="1">
      <c r="A1002" s="2" t="s">
        <v>627</v>
      </c>
      <c r="B1002" s="2" t="s">
        <v>440</v>
      </c>
      <c r="C1002" s="2" t="s">
        <v>441</v>
      </c>
      <c r="D1002" s="8" t="s">
        <v>46</v>
      </c>
      <c r="E1002" s="9" t="s">
        <v>447</v>
      </c>
      <c r="F1002" s="33">
        <v>1.0</v>
      </c>
      <c r="G1002" s="33">
        <v>1200.0</v>
      </c>
      <c r="H1002" s="35">
        <v>46118.0</v>
      </c>
      <c r="I1002" s="2" t="s">
        <v>14</v>
      </c>
      <c r="J1002" s="12" t="s">
        <v>628</v>
      </c>
    </row>
    <row r="1003" ht="22.5" hidden="1" customHeight="1">
      <c r="A1003" s="2" t="s">
        <v>811</v>
      </c>
      <c r="B1003" s="2" t="s">
        <v>268</v>
      </c>
      <c r="C1003" s="2" t="s">
        <v>269</v>
      </c>
      <c r="D1003" s="8">
        <v>38.0</v>
      </c>
      <c r="E1003" s="9" t="s">
        <v>18</v>
      </c>
      <c r="F1003" s="33">
        <v>1.0</v>
      </c>
      <c r="G1003" s="33">
        <v>1990.0</v>
      </c>
      <c r="H1003" s="35">
        <v>46118.0</v>
      </c>
      <c r="I1003" s="2" t="s">
        <v>14</v>
      </c>
      <c r="J1003" s="12" t="s">
        <v>812</v>
      </c>
    </row>
    <row r="1004" ht="22.5" hidden="1" customHeight="1">
      <c r="A1004" s="2" t="s">
        <v>811</v>
      </c>
      <c r="B1004" s="2" t="s">
        <v>375</v>
      </c>
      <c r="C1004" s="2" t="s">
        <v>376</v>
      </c>
      <c r="D1004" s="8">
        <v>38.0</v>
      </c>
      <c r="E1004" s="9" t="s">
        <v>18</v>
      </c>
      <c r="F1004" s="33">
        <v>1.0</v>
      </c>
      <c r="G1004" s="33">
        <v>2350.0</v>
      </c>
      <c r="H1004" s="35">
        <v>46118.0</v>
      </c>
      <c r="I1004" s="2" t="s">
        <v>14</v>
      </c>
      <c r="J1004" s="12" t="s">
        <v>812</v>
      </c>
    </row>
    <row r="1005" ht="22.5" hidden="1" customHeight="1">
      <c r="A1005" s="2" t="s">
        <v>813</v>
      </c>
      <c r="B1005" s="2" t="s">
        <v>196</v>
      </c>
      <c r="C1005" s="2">
        <v>8876.0</v>
      </c>
      <c r="D1005" s="8" t="s">
        <v>12</v>
      </c>
      <c r="E1005" s="9" t="s">
        <v>13</v>
      </c>
      <c r="F1005" s="33">
        <v>1.0</v>
      </c>
      <c r="G1005" s="33">
        <v>990.0</v>
      </c>
      <c r="H1005" s="35">
        <v>46118.0</v>
      </c>
      <c r="I1005" s="2" t="s">
        <v>14</v>
      </c>
      <c r="J1005" s="12" t="s">
        <v>814</v>
      </c>
    </row>
    <row r="1006" ht="22.5" hidden="1" customHeight="1">
      <c r="A1006" s="2" t="s">
        <v>813</v>
      </c>
      <c r="B1006" s="2" t="s">
        <v>152</v>
      </c>
      <c r="C1006" s="2">
        <v>8319.0</v>
      </c>
      <c r="D1006" s="8" t="s">
        <v>12</v>
      </c>
      <c r="E1006" s="9" t="s">
        <v>58</v>
      </c>
      <c r="F1006" s="33">
        <v>1.0</v>
      </c>
      <c r="G1006" s="33">
        <v>1800.0</v>
      </c>
      <c r="H1006" s="35">
        <v>46118.0</v>
      </c>
      <c r="I1006" s="2" t="s">
        <v>14</v>
      </c>
      <c r="J1006" s="12" t="s">
        <v>814</v>
      </c>
    </row>
    <row r="1007" ht="22.5" hidden="1" customHeight="1">
      <c r="A1007" s="2" t="s">
        <v>813</v>
      </c>
      <c r="B1007" s="2" t="s">
        <v>726</v>
      </c>
      <c r="C1007" s="2">
        <v>9091.0</v>
      </c>
      <c r="D1007" s="8" t="s">
        <v>12</v>
      </c>
      <c r="E1007" s="9" t="s">
        <v>58</v>
      </c>
      <c r="F1007" s="33">
        <v>1.0</v>
      </c>
      <c r="G1007" s="33">
        <v>1950.0</v>
      </c>
      <c r="H1007" s="35">
        <v>46118.0</v>
      </c>
      <c r="I1007" s="2" t="s">
        <v>14</v>
      </c>
      <c r="J1007" s="12" t="s">
        <v>814</v>
      </c>
    </row>
    <row r="1008" ht="22.5" hidden="1" customHeight="1">
      <c r="A1008" s="2" t="s">
        <v>815</v>
      </c>
      <c r="B1008" s="2" t="s">
        <v>440</v>
      </c>
      <c r="C1008" s="2" t="s">
        <v>441</v>
      </c>
      <c r="D1008" s="8" t="s">
        <v>46</v>
      </c>
      <c r="E1008" s="9" t="s">
        <v>447</v>
      </c>
      <c r="F1008" s="33">
        <v>1.0</v>
      </c>
      <c r="G1008" s="33">
        <v>1200.0</v>
      </c>
      <c r="H1008" s="35">
        <v>46118.0</v>
      </c>
      <c r="I1008" s="2" t="s">
        <v>14</v>
      </c>
      <c r="J1008" s="12" t="s">
        <v>816</v>
      </c>
    </row>
    <row r="1009" ht="22.5" hidden="1" customHeight="1">
      <c r="A1009" s="2" t="s">
        <v>815</v>
      </c>
      <c r="B1009" s="2" t="s">
        <v>377</v>
      </c>
      <c r="C1009" s="2" t="s">
        <v>378</v>
      </c>
      <c r="D1009" s="8" t="s">
        <v>46</v>
      </c>
      <c r="E1009" s="9" t="s">
        <v>18</v>
      </c>
      <c r="F1009" s="33">
        <v>1.0</v>
      </c>
      <c r="G1009" s="33">
        <v>750.0</v>
      </c>
      <c r="H1009" s="35">
        <v>46118.0</v>
      </c>
      <c r="I1009" s="2" t="s">
        <v>14</v>
      </c>
      <c r="J1009" s="12" t="s">
        <v>816</v>
      </c>
    </row>
    <row r="1010" ht="22.5" hidden="1" customHeight="1">
      <c r="A1010" s="2" t="s">
        <v>815</v>
      </c>
      <c r="B1010" s="2" t="s">
        <v>377</v>
      </c>
      <c r="C1010" s="2" t="s">
        <v>378</v>
      </c>
      <c r="D1010" s="8" t="s">
        <v>46</v>
      </c>
      <c r="E1010" s="9" t="s">
        <v>23</v>
      </c>
      <c r="F1010" s="33">
        <v>1.0</v>
      </c>
      <c r="G1010" s="33">
        <v>750.0</v>
      </c>
      <c r="H1010" s="35">
        <v>46118.0</v>
      </c>
      <c r="I1010" s="2" t="s">
        <v>14</v>
      </c>
      <c r="J1010" s="12" t="s">
        <v>816</v>
      </c>
    </row>
    <row r="1011" ht="22.5" hidden="1" customHeight="1">
      <c r="A1011" s="2" t="s">
        <v>817</v>
      </c>
      <c r="B1011" s="2" t="s">
        <v>196</v>
      </c>
      <c r="C1011" s="2">
        <v>8876.0</v>
      </c>
      <c r="D1011" s="8" t="s">
        <v>12</v>
      </c>
      <c r="E1011" s="9" t="s">
        <v>18</v>
      </c>
      <c r="F1011" s="33">
        <v>2.0</v>
      </c>
      <c r="G1011" s="33">
        <v>990.0</v>
      </c>
      <c r="H1011" s="35">
        <v>46118.0</v>
      </c>
      <c r="I1011" s="2" t="s">
        <v>14</v>
      </c>
      <c r="J1011" s="12" t="s">
        <v>818</v>
      </c>
    </row>
    <row r="1012" ht="22.5" hidden="1" customHeight="1">
      <c r="A1012" s="2" t="s">
        <v>817</v>
      </c>
      <c r="B1012" s="2" t="s">
        <v>196</v>
      </c>
      <c r="C1012" s="2">
        <v>8876.0</v>
      </c>
      <c r="D1012" s="8" t="s">
        <v>12</v>
      </c>
      <c r="E1012" s="9" t="s">
        <v>13</v>
      </c>
      <c r="F1012" s="33">
        <v>1.0</v>
      </c>
      <c r="G1012" s="33">
        <v>990.0</v>
      </c>
      <c r="H1012" s="35">
        <v>46118.0</v>
      </c>
      <c r="I1012" s="2" t="s">
        <v>14</v>
      </c>
      <c r="J1012" s="12" t="s">
        <v>818</v>
      </c>
    </row>
    <row r="1013" ht="22.5" hidden="1" customHeight="1">
      <c r="A1013" s="2" t="s">
        <v>817</v>
      </c>
      <c r="B1013" s="2" t="s">
        <v>223</v>
      </c>
      <c r="C1013" s="2">
        <v>7957.0</v>
      </c>
      <c r="D1013" s="8" t="s">
        <v>22</v>
      </c>
      <c r="E1013" s="9" t="s">
        <v>18</v>
      </c>
      <c r="F1013" s="33">
        <v>1.0</v>
      </c>
      <c r="G1013" s="33">
        <v>1400.0</v>
      </c>
      <c r="H1013" s="35">
        <v>46118.0</v>
      </c>
      <c r="I1013" s="2" t="s">
        <v>14</v>
      </c>
      <c r="J1013" s="12" t="s">
        <v>818</v>
      </c>
    </row>
    <row r="1014" ht="22.5" hidden="1" customHeight="1">
      <c r="A1014" s="2" t="s">
        <v>817</v>
      </c>
      <c r="B1014" s="2" t="s">
        <v>223</v>
      </c>
      <c r="C1014" s="2">
        <v>7957.0</v>
      </c>
      <c r="D1014" s="8" t="s">
        <v>22</v>
      </c>
      <c r="E1014" s="9" t="s">
        <v>13</v>
      </c>
      <c r="F1014" s="33">
        <v>1.0</v>
      </c>
      <c r="G1014" s="33">
        <v>1400.0</v>
      </c>
      <c r="H1014" s="35">
        <v>46118.0</v>
      </c>
      <c r="I1014" s="2" t="s">
        <v>14</v>
      </c>
      <c r="J1014" s="12" t="s">
        <v>818</v>
      </c>
    </row>
    <row r="1015" ht="22.5" hidden="1" customHeight="1">
      <c r="A1015" s="2" t="s">
        <v>817</v>
      </c>
      <c r="B1015" s="2" t="s">
        <v>223</v>
      </c>
      <c r="C1015" s="2">
        <v>7957.0</v>
      </c>
      <c r="D1015" s="8" t="s">
        <v>22</v>
      </c>
      <c r="E1015" s="9" t="s">
        <v>23</v>
      </c>
      <c r="F1015" s="33">
        <v>1.0</v>
      </c>
      <c r="G1015" s="33">
        <v>1400.0</v>
      </c>
      <c r="H1015" s="35">
        <v>46118.0</v>
      </c>
      <c r="I1015" s="2" t="s">
        <v>14</v>
      </c>
      <c r="J1015" s="12" t="s">
        <v>818</v>
      </c>
    </row>
    <row r="1016" ht="22.5" hidden="1" customHeight="1">
      <c r="A1016" s="2" t="s">
        <v>817</v>
      </c>
      <c r="B1016" s="2" t="s">
        <v>726</v>
      </c>
      <c r="C1016" s="2">
        <v>9091.0</v>
      </c>
      <c r="D1016" s="8" t="s">
        <v>22</v>
      </c>
      <c r="E1016" s="9" t="s">
        <v>58</v>
      </c>
      <c r="F1016" s="33">
        <v>1.0</v>
      </c>
      <c r="G1016" s="33">
        <v>1950.0</v>
      </c>
      <c r="H1016" s="35">
        <v>46118.0</v>
      </c>
      <c r="I1016" s="2" t="s">
        <v>14</v>
      </c>
      <c r="J1016" s="12" t="s">
        <v>818</v>
      </c>
    </row>
    <row r="1017" ht="22.5" hidden="1" customHeight="1">
      <c r="A1017" s="2" t="s">
        <v>817</v>
      </c>
      <c r="B1017" s="2" t="s">
        <v>726</v>
      </c>
      <c r="C1017" s="2">
        <v>9091.0</v>
      </c>
      <c r="D1017" s="8" t="s">
        <v>22</v>
      </c>
      <c r="E1017" s="9" t="s">
        <v>13</v>
      </c>
      <c r="F1017" s="33">
        <v>1.0</v>
      </c>
      <c r="G1017" s="33">
        <v>1950.0</v>
      </c>
      <c r="H1017" s="35">
        <v>46118.0</v>
      </c>
      <c r="I1017" s="2" t="s">
        <v>14</v>
      </c>
      <c r="J1017" s="12" t="s">
        <v>818</v>
      </c>
    </row>
    <row r="1018" ht="22.5" hidden="1" customHeight="1">
      <c r="A1018" s="2" t="s">
        <v>819</v>
      </c>
      <c r="B1018" s="2" t="s">
        <v>375</v>
      </c>
      <c r="C1018" s="2" t="s">
        <v>376</v>
      </c>
      <c r="D1018" s="8">
        <v>38.0</v>
      </c>
      <c r="E1018" s="9" t="s">
        <v>26</v>
      </c>
      <c r="F1018" s="33">
        <v>1.0</v>
      </c>
      <c r="G1018" s="33">
        <v>2350.0</v>
      </c>
      <c r="H1018" s="35">
        <v>46118.0</v>
      </c>
      <c r="I1018" s="2" t="s">
        <v>14</v>
      </c>
      <c r="J1018" s="12" t="s">
        <v>820</v>
      </c>
    </row>
    <row r="1019" ht="22.5" hidden="1" customHeight="1">
      <c r="A1019" s="2" t="s">
        <v>819</v>
      </c>
      <c r="B1019" s="2" t="s">
        <v>97</v>
      </c>
      <c r="C1019" s="2">
        <v>8748.0</v>
      </c>
      <c r="D1019" s="8" t="s">
        <v>22</v>
      </c>
      <c r="E1019" s="9" t="s">
        <v>58</v>
      </c>
      <c r="F1019" s="33">
        <v>1.0</v>
      </c>
      <c r="G1019" s="33">
        <v>1800.0</v>
      </c>
      <c r="H1019" s="35">
        <v>46118.0</v>
      </c>
      <c r="I1019" s="2" t="s">
        <v>14</v>
      </c>
      <c r="J1019" s="12" t="s">
        <v>820</v>
      </c>
    </row>
    <row r="1020" ht="22.5" hidden="1" customHeight="1">
      <c r="A1020" s="2" t="s">
        <v>785</v>
      </c>
      <c r="B1020" s="2" t="s">
        <v>516</v>
      </c>
      <c r="C1020" s="2" t="s">
        <v>517</v>
      </c>
      <c r="D1020" s="8" t="s">
        <v>46</v>
      </c>
      <c r="E1020" s="9" t="s">
        <v>338</v>
      </c>
      <c r="F1020" s="33">
        <v>2.0</v>
      </c>
      <c r="G1020" s="33">
        <v>1390.0</v>
      </c>
      <c r="H1020" s="35">
        <v>46118.0</v>
      </c>
      <c r="I1020" s="2" t="s">
        <v>14</v>
      </c>
      <c r="J1020" s="12" t="s">
        <v>786</v>
      </c>
    </row>
    <row r="1021" ht="22.5" hidden="1" customHeight="1">
      <c r="A1021" s="2" t="s">
        <v>821</v>
      </c>
      <c r="B1021" s="2" t="s">
        <v>352</v>
      </c>
      <c r="C1021" s="2">
        <v>5709.0</v>
      </c>
      <c r="D1021" s="8" t="s">
        <v>12</v>
      </c>
      <c r="E1021" s="9" t="s">
        <v>340</v>
      </c>
      <c r="F1021" s="33">
        <v>1.0</v>
      </c>
      <c r="G1021" s="33">
        <v>2350.0</v>
      </c>
      <c r="H1021" s="35">
        <v>46118.0</v>
      </c>
      <c r="I1021" s="2" t="s">
        <v>14</v>
      </c>
      <c r="J1021" s="12" t="s">
        <v>822</v>
      </c>
    </row>
    <row r="1022" ht="22.5" hidden="1" customHeight="1">
      <c r="A1022" s="2" t="s">
        <v>821</v>
      </c>
      <c r="B1022" s="2" t="s">
        <v>377</v>
      </c>
      <c r="C1022" s="2" t="s">
        <v>378</v>
      </c>
      <c r="D1022" s="8" t="s">
        <v>46</v>
      </c>
      <c r="E1022" s="9" t="s">
        <v>47</v>
      </c>
      <c r="F1022" s="33">
        <v>2.0</v>
      </c>
      <c r="G1022" s="33">
        <v>750.0</v>
      </c>
      <c r="H1022" s="35">
        <v>46118.0</v>
      </c>
      <c r="I1022" s="2" t="s">
        <v>14</v>
      </c>
      <c r="J1022" s="12" t="s">
        <v>822</v>
      </c>
    </row>
    <row r="1023" ht="22.5" hidden="1" customHeight="1">
      <c r="A1023" s="2" t="s">
        <v>821</v>
      </c>
      <c r="B1023" s="2" t="s">
        <v>377</v>
      </c>
      <c r="C1023" s="2" t="s">
        <v>378</v>
      </c>
      <c r="D1023" s="8" t="s">
        <v>46</v>
      </c>
      <c r="E1023" s="9" t="s">
        <v>13</v>
      </c>
      <c r="F1023" s="33">
        <v>1.0</v>
      </c>
      <c r="G1023" s="33">
        <v>750.0</v>
      </c>
      <c r="H1023" s="35">
        <v>46118.0</v>
      </c>
      <c r="I1023" s="2" t="s">
        <v>14</v>
      </c>
      <c r="J1023" s="12" t="s">
        <v>822</v>
      </c>
    </row>
    <row r="1024" ht="22.5" hidden="1" customHeight="1">
      <c r="A1024" s="2" t="s">
        <v>821</v>
      </c>
      <c r="B1024" s="2" t="s">
        <v>377</v>
      </c>
      <c r="C1024" s="2" t="s">
        <v>378</v>
      </c>
      <c r="D1024" s="8" t="s">
        <v>46</v>
      </c>
      <c r="E1024" s="9" t="s">
        <v>23</v>
      </c>
      <c r="F1024" s="33">
        <v>1.0</v>
      </c>
      <c r="G1024" s="33">
        <v>750.0</v>
      </c>
      <c r="H1024" s="35">
        <v>46118.0</v>
      </c>
      <c r="I1024" s="2" t="s">
        <v>14</v>
      </c>
      <c r="J1024" s="12" t="s">
        <v>822</v>
      </c>
    </row>
    <row r="1025" ht="22.5" hidden="1" customHeight="1">
      <c r="A1025" s="2" t="s">
        <v>148</v>
      </c>
      <c r="B1025" s="2" t="s">
        <v>755</v>
      </c>
      <c r="C1025" s="2">
        <v>8558.0</v>
      </c>
      <c r="D1025" s="8" t="s">
        <v>12</v>
      </c>
      <c r="E1025" s="9" t="s">
        <v>16</v>
      </c>
      <c r="F1025" s="33">
        <v>1.0</v>
      </c>
      <c r="G1025" s="33">
        <v>1390.0</v>
      </c>
      <c r="H1025" s="35">
        <v>46118.0</v>
      </c>
      <c r="I1025" s="2" t="s">
        <v>14</v>
      </c>
      <c r="J1025" s="12" t="s">
        <v>823</v>
      </c>
    </row>
    <row r="1026" ht="22.5" hidden="1" customHeight="1">
      <c r="A1026" s="2" t="s">
        <v>148</v>
      </c>
      <c r="B1026" s="2" t="s">
        <v>755</v>
      </c>
      <c r="C1026" s="2">
        <v>8558.0</v>
      </c>
      <c r="D1026" s="8" t="s">
        <v>12</v>
      </c>
      <c r="E1026" s="9" t="s">
        <v>13</v>
      </c>
      <c r="F1026" s="33">
        <v>1.0</v>
      </c>
      <c r="G1026" s="33">
        <v>1390.0</v>
      </c>
      <c r="H1026" s="35">
        <v>46118.0</v>
      </c>
      <c r="I1026" s="2" t="s">
        <v>14</v>
      </c>
      <c r="J1026" s="12" t="s">
        <v>823</v>
      </c>
    </row>
    <row r="1027" ht="22.5" hidden="1" customHeight="1">
      <c r="A1027" s="2" t="s">
        <v>332</v>
      </c>
      <c r="B1027" s="2" t="s">
        <v>824</v>
      </c>
      <c r="C1027" s="2">
        <v>9258.0</v>
      </c>
      <c r="D1027" s="8" t="s">
        <v>22</v>
      </c>
      <c r="E1027" s="9" t="s">
        <v>58</v>
      </c>
      <c r="F1027" s="33">
        <v>1.0</v>
      </c>
      <c r="G1027" s="33">
        <v>2450.0</v>
      </c>
      <c r="H1027" s="35">
        <v>46118.0</v>
      </c>
      <c r="I1027" s="2" t="s">
        <v>14</v>
      </c>
      <c r="J1027" s="12" t="s">
        <v>500</v>
      </c>
    </row>
    <row r="1028" ht="22.5" hidden="1" customHeight="1">
      <c r="A1028" s="2" t="s">
        <v>825</v>
      </c>
      <c r="B1028" s="2" t="s">
        <v>826</v>
      </c>
      <c r="C1028" s="2">
        <v>8825.0</v>
      </c>
      <c r="D1028" s="8" t="s">
        <v>12</v>
      </c>
      <c r="E1028" s="9" t="s">
        <v>18</v>
      </c>
      <c r="F1028" s="33">
        <v>1.0</v>
      </c>
      <c r="G1028" s="33">
        <v>1450.0</v>
      </c>
      <c r="H1028" s="35">
        <v>46118.0</v>
      </c>
      <c r="I1028" s="2" t="s">
        <v>14</v>
      </c>
      <c r="J1028" s="12" t="s">
        <v>827</v>
      </c>
    </row>
    <row r="1029" ht="22.5" hidden="1" customHeight="1">
      <c r="A1029" s="2" t="s">
        <v>828</v>
      </c>
      <c r="B1029" s="2" t="s">
        <v>826</v>
      </c>
      <c r="C1029" s="2">
        <v>8825.0</v>
      </c>
      <c r="D1029" s="8" t="s">
        <v>12</v>
      </c>
      <c r="E1029" s="9" t="s">
        <v>13</v>
      </c>
      <c r="F1029" s="33">
        <v>1.0</v>
      </c>
      <c r="G1029" s="33">
        <v>1450.0</v>
      </c>
      <c r="H1029" s="35">
        <v>46118.0</v>
      </c>
      <c r="I1029" s="2" t="s">
        <v>14</v>
      </c>
      <c r="J1029" s="12" t="s">
        <v>829</v>
      </c>
    </row>
    <row r="1030" ht="22.5" hidden="1" customHeight="1">
      <c r="A1030" s="2" t="s">
        <v>830</v>
      </c>
      <c r="B1030" s="2" t="s">
        <v>826</v>
      </c>
      <c r="C1030" s="2">
        <v>8825.0</v>
      </c>
      <c r="D1030" s="8" t="s">
        <v>12</v>
      </c>
      <c r="E1030" s="9" t="s">
        <v>18</v>
      </c>
      <c r="F1030" s="33">
        <v>1.0</v>
      </c>
      <c r="G1030" s="33">
        <v>1450.0</v>
      </c>
      <c r="H1030" s="35">
        <v>46118.0</v>
      </c>
      <c r="I1030" s="2" t="s">
        <v>14</v>
      </c>
      <c r="J1030" s="12" t="s">
        <v>831</v>
      </c>
    </row>
    <row r="1031" ht="22.5" hidden="1" customHeight="1">
      <c r="A1031" s="2" t="s">
        <v>832</v>
      </c>
      <c r="B1031" s="2" t="s">
        <v>826</v>
      </c>
      <c r="C1031" s="2">
        <v>8825.0</v>
      </c>
      <c r="D1031" s="8" t="s">
        <v>12</v>
      </c>
      <c r="E1031" s="9" t="s">
        <v>18</v>
      </c>
      <c r="F1031" s="33">
        <v>1.0</v>
      </c>
      <c r="G1031" s="33">
        <v>1450.0</v>
      </c>
      <c r="H1031" s="35">
        <v>46118.0</v>
      </c>
      <c r="I1031" s="2" t="s">
        <v>14</v>
      </c>
      <c r="J1031" s="12" t="s">
        <v>833</v>
      </c>
    </row>
    <row r="1032" ht="22.5" hidden="1" customHeight="1">
      <c r="A1032" s="2" t="s">
        <v>204</v>
      </c>
      <c r="B1032" s="2" t="s">
        <v>826</v>
      </c>
      <c r="C1032" s="2">
        <v>8825.0</v>
      </c>
      <c r="D1032" s="8" t="s">
        <v>22</v>
      </c>
      <c r="E1032" s="9" t="s">
        <v>18</v>
      </c>
      <c r="F1032" s="33">
        <v>1.0</v>
      </c>
      <c r="G1032" s="33">
        <v>1450.0</v>
      </c>
      <c r="H1032" s="35">
        <v>46118.0</v>
      </c>
      <c r="I1032" s="2" t="s">
        <v>14</v>
      </c>
      <c r="J1032" s="12" t="s">
        <v>834</v>
      </c>
    </row>
    <row r="1033" ht="22.5" hidden="1" customHeight="1">
      <c r="A1033" s="2" t="s">
        <v>769</v>
      </c>
      <c r="B1033" s="2" t="s">
        <v>826</v>
      </c>
      <c r="C1033" s="2">
        <v>8825.0</v>
      </c>
      <c r="D1033" s="8" t="s">
        <v>22</v>
      </c>
      <c r="E1033" s="9" t="s">
        <v>18</v>
      </c>
      <c r="F1033" s="33">
        <v>1.0</v>
      </c>
      <c r="G1033" s="33">
        <v>1450.0</v>
      </c>
      <c r="H1033" s="35">
        <v>46118.0</v>
      </c>
      <c r="I1033" s="2" t="s">
        <v>14</v>
      </c>
      <c r="J1033" s="12" t="s">
        <v>771</v>
      </c>
    </row>
    <row r="1034" ht="22.5" hidden="1" customHeight="1">
      <c r="A1034" s="2" t="s">
        <v>769</v>
      </c>
      <c r="B1034" s="2" t="s">
        <v>377</v>
      </c>
      <c r="C1034" s="2" t="s">
        <v>378</v>
      </c>
      <c r="D1034" s="8" t="s">
        <v>46</v>
      </c>
      <c r="E1034" s="9" t="s">
        <v>13</v>
      </c>
      <c r="F1034" s="33">
        <v>1.0</v>
      </c>
      <c r="G1034" s="33">
        <v>750.0</v>
      </c>
      <c r="H1034" s="35">
        <v>46118.0</v>
      </c>
      <c r="I1034" s="2" t="s">
        <v>14</v>
      </c>
      <c r="J1034" s="12" t="s">
        <v>771</v>
      </c>
    </row>
    <row r="1035" ht="22.5" hidden="1" customHeight="1">
      <c r="A1035" s="2" t="s">
        <v>769</v>
      </c>
      <c r="B1035" s="2" t="s">
        <v>377</v>
      </c>
      <c r="C1035" s="2" t="s">
        <v>378</v>
      </c>
      <c r="D1035" s="8" t="s">
        <v>46</v>
      </c>
      <c r="E1035" s="9" t="s">
        <v>47</v>
      </c>
      <c r="F1035" s="33">
        <v>1.0</v>
      </c>
      <c r="G1035" s="33">
        <v>750.0</v>
      </c>
      <c r="H1035" s="35">
        <v>46118.0</v>
      </c>
      <c r="I1035" s="2" t="s">
        <v>14</v>
      </c>
      <c r="J1035" s="12" t="s">
        <v>771</v>
      </c>
    </row>
    <row r="1036" ht="22.5" hidden="1" customHeight="1">
      <c r="A1036" s="2" t="s">
        <v>835</v>
      </c>
      <c r="B1036" s="2" t="s">
        <v>377</v>
      </c>
      <c r="C1036" s="2" t="s">
        <v>378</v>
      </c>
      <c r="D1036" s="8" t="s">
        <v>46</v>
      </c>
      <c r="E1036" s="9" t="s">
        <v>23</v>
      </c>
      <c r="F1036" s="33">
        <v>1.0</v>
      </c>
      <c r="G1036" s="33">
        <v>750.0</v>
      </c>
      <c r="H1036" s="35">
        <v>46118.0</v>
      </c>
      <c r="I1036" s="2" t="s">
        <v>14</v>
      </c>
      <c r="J1036" s="12" t="s">
        <v>836</v>
      </c>
    </row>
    <row r="1037" ht="22.5" hidden="1" customHeight="1">
      <c r="A1037" s="2" t="s">
        <v>837</v>
      </c>
      <c r="B1037" s="2" t="s">
        <v>377</v>
      </c>
      <c r="C1037" s="2" t="s">
        <v>378</v>
      </c>
      <c r="D1037" s="8" t="s">
        <v>46</v>
      </c>
      <c r="E1037" s="9" t="s">
        <v>13</v>
      </c>
      <c r="F1037" s="33">
        <v>1.0</v>
      </c>
      <c r="G1037" s="33">
        <v>750.0</v>
      </c>
      <c r="H1037" s="35">
        <v>46118.0</v>
      </c>
      <c r="I1037" s="2" t="s">
        <v>14</v>
      </c>
      <c r="J1037" s="12" t="s">
        <v>838</v>
      </c>
    </row>
    <row r="1038" ht="22.5" hidden="1" customHeight="1">
      <c r="A1038" s="2" t="s">
        <v>837</v>
      </c>
      <c r="B1038" s="2" t="s">
        <v>377</v>
      </c>
      <c r="C1038" s="2" t="s">
        <v>378</v>
      </c>
      <c r="D1038" s="8" t="s">
        <v>46</v>
      </c>
      <c r="E1038" s="9" t="s">
        <v>18</v>
      </c>
      <c r="F1038" s="33">
        <v>1.0</v>
      </c>
      <c r="G1038" s="33">
        <v>750.0</v>
      </c>
      <c r="H1038" s="35">
        <v>46118.0</v>
      </c>
      <c r="I1038" s="2" t="s">
        <v>14</v>
      </c>
      <c r="J1038" s="12" t="s">
        <v>838</v>
      </c>
    </row>
    <row r="1039" ht="22.5" hidden="1" customHeight="1">
      <c r="A1039" s="2" t="s">
        <v>839</v>
      </c>
      <c r="B1039" s="2" t="s">
        <v>377</v>
      </c>
      <c r="C1039" s="2" t="s">
        <v>378</v>
      </c>
      <c r="D1039" s="8" t="s">
        <v>46</v>
      </c>
      <c r="E1039" s="9" t="s">
        <v>18</v>
      </c>
      <c r="F1039" s="33">
        <v>1.0</v>
      </c>
      <c r="G1039" s="33">
        <v>750.0</v>
      </c>
      <c r="H1039" s="35">
        <v>46118.0</v>
      </c>
      <c r="I1039" s="2" t="s">
        <v>14</v>
      </c>
      <c r="J1039" s="12" t="s">
        <v>840</v>
      </c>
    </row>
    <row r="1040" ht="22.5" hidden="1" customHeight="1">
      <c r="A1040" s="2" t="s">
        <v>839</v>
      </c>
      <c r="B1040" s="2" t="s">
        <v>377</v>
      </c>
      <c r="C1040" s="2" t="s">
        <v>378</v>
      </c>
      <c r="D1040" s="8" t="s">
        <v>46</v>
      </c>
      <c r="E1040" s="9" t="s">
        <v>13</v>
      </c>
      <c r="F1040" s="33">
        <v>1.0</v>
      </c>
      <c r="G1040" s="33">
        <v>750.0</v>
      </c>
      <c r="H1040" s="35">
        <v>46118.0</v>
      </c>
      <c r="I1040" s="2" t="s">
        <v>14</v>
      </c>
      <c r="J1040" s="12" t="s">
        <v>840</v>
      </c>
    </row>
    <row r="1041" ht="22.5" hidden="1" customHeight="1">
      <c r="A1041" s="2" t="s">
        <v>841</v>
      </c>
      <c r="B1041" s="2" t="s">
        <v>377</v>
      </c>
      <c r="C1041" s="2" t="s">
        <v>378</v>
      </c>
      <c r="D1041" s="8" t="s">
        <v>46</v>
      </c>
      <c r="E1041" s="9" t="s">
        <v>18</v>
      </c>
      <c r="F1041" s="33">
        <v>1.0</v>
      </c>
      <c r="G1041" s="33">
        <v>750.0</v>
      </c>
      <c r="H1041" s="35">
        <v>46118.0</v>
      </c>
      <c r="I1041" s="2" t="s">
        <v>14</v>
      </c>
      <c r="J1041" s="12" t="s">
        <v>842</v>
      </c>
    </row>
    <row r="1042" ht="22.5" hidden="1" customHeight="1">
      <c r="A1042" s="2" t="s">
        <v>841</v>
      </c>
      <c r="B1042" s="2" t="s">
        <v>377</v>
      </c>
      <c r="C1042" s="2" t="s">
        <v>378</v>
      </c>
      <c r="D1042" s="8" t="s">
        <v>46</v>
      </c>
      <c r="E1042" s="9" t="s">
        <v>23</v>
      </c>
      <c r="F1042" s="33">
        <v>1.0</v>
      </c>
      <c r="G1042" s="33">
        <v>750.0</v>
      </c>
      <c r="H1042" s="35">
        <v>46118.0</v>
      </c>
      <c r="I1042" s="2" t="s">
        <v>14</v>
      </c>
      <c r="J1042" s="12" t="s">
        <v>842</v>
      </c>
    </row>
    <row r="1043" ht="22.5" hidden="1" customHeight="1">
      <c r="A1043" s="2" t="s">
        <v>843</v>
      </c>
      <c r="B1043" s="2" t="s">
        <v>377</v>
      </c>
      <c r="C1043" s="2" t="s">
        <v>378</v>
      </c>
      <c r="D1043" s="8" t="s">
        <v>46</v>
      </c>
      <c r="E1043" s="9" t="s">
        <v>18</v>
      </c>
      <c r="F1043" s="33">
        <v>1.0</v>
      </c>
      <c r="G1043" s="33">
        <v>750.0</v>
      </c>
      <c r="H1043" s="35">
        <v>46118.0</v>
      </c>
      <c r="I1043" s="2" t="s">
        <v>14</v>
      </c>
      <c r="J1043" s="12" t="s">
        <v>844</v>
      </c>
    </row>
    <row r="1044" ht="22.5" hidden="1" customHeight="1">
      <c r="A1044" s="2" t="s">
        <v>843</v>
      </c>
      <c r="B1044" s="2" t="s">
        <v>377</v>
      </c>
      <c r="C1044" s="2" t="s">
        <v>378</v>
      </c>
      <c r="D1044" s="8" t="s">
        <v>46</v>
      </c>
      <c r="E1044" s="9" t="s">
        <v>47</v>
      </c>
      <c r="F1044" s="33">
        <v>1.0</v>
      </c>
      <c r="G1044" s="33">
        <v>750.0</v>
      </c>
      <c r="H1044" s="35">
        <v>46118.0</v>
      </c>
      <c r="I1044" s="2" t="s">
        <v>14</v>
      </c>
      <c r="J1044" s="12" t="s">
        <v>844</v>
      </c>
    </row>
    <row r="1045" ht="22.5" hidden="1" customHeight="1">
      <c r="A1045" s="2" t="s">
        <v>843</v>
      </c>
      <c r="B1045" s="2" t="s">
        <v>377</v>
      </c>
      <c r="C1045" s="2" t="s">
        <v>378</v>
      </c>
      <c r="D1045" s="8" t="s">
        <v>46</v>
      </c>
      <c r="E1045" s="9" t="s">
        <v>13</v>
      </c>
      <c r="F1045" s="33">
        <v>1.0</v>
      </c>
      <c r="G1045" s="33">
        <v>750.0</v>
      </c>
      <c r="H1045" s="35">
        <v>46118.0</v>
      </c>
      <c r="I1045" s="2" t="s">
        <v>14</v>
      </c>
      <c r="J1045" s="12" t="s">
        <v>844</v>
      </c>
    </row>
    <row r="1046" ht="22.5" hidden="1" customHeight="1">
      <c r="A1046" s="2" t="s">
        <v>843</v>
      </c>
      <c r="B1046" s="2" t="s">
        <v>377</v>
      </c>
      <c r="C1046" s="2" t="s">
        <v>378</v>
      </c>
      <c r="D1046" s="8" t="s">
        <v>46</v>
      </c>
      <c r="E1046" s="9" t="s">
        <v>23</v>
      </c>
      <c r="F1046" s="33">
        <v>1.0</v>
      </c>
      <c r="G1046" s="33">
        <v>750.0</v>
      </c>
      <c r="H1046" s="35">
        <v>46118.0</v>
      </c>
      <c r="I1046" s="2" t="s">
        <v>14</v>
      </c>
      <c r="J1046" s="12" t="s">
        <v>844</v>
      </c>
    </row>
    <row r="1047" ht="22.5" hidden="1" customHeight="1">
      <c r="A1047" s="2" t="s">
        <v>845</v>
      </c>
      <c r="B1047" s="2" t="s">
        <v>377</v>
      </c>
      <c r="C1047" s="2" t="s">
        <v>378</v>
      </c>
      <c r="D1047" s="8" t="s">
        <v>46</v>
      </c>
      <c r="E1047" s="9" t="s">
        <v>18</v>
      </c>
      <c r="F1047" s="33">
        <v>1.0</v>
      </c>
      <c r="G1047" s="33">
        <v>750.0</v>
      </c>
      <c r="H1047" s="35">
        <v>46118.0</v>
      </c>
      <c r="I1047" s="2" t="s">
        <v>14</v>
      </c>
      <c r="J1047" s="12" t="s">
        <v>846</v>
      </c>
    </row>
    <row r="1048" ht="22.5" hidden="1" customHeight="1">
      <c r="A1048" s="2" t="s">
        <v>845</v>
      </c>
      <c r="B1048" s="2" t="s">
        <v>377</v>
      </c>
      <c r="C1048" s="2" t="s">
        <v>378</v>
      </c>
      <c r="D1048" s="8" t="s">
        <v>46</v>
      </c>
      <c r="E1048" s="9" t="s">
        <v>13</v>
      </c>
      <c r="F1048" s="33">
        <v>1.0</v>
      </c>
      <c r="G1048" s="33">
        <v>750.0</v>
      </c>
      <c r="H1048" s="35">
        <v>46118.0</v>
      </c>
      <c r="I1048" s="2" t="s">
        <v>14</v>
      </c>
      <c r="J1048" s="12" t="s">
        <v>846</v>
      </c>
    </row>
    <row r="1049" ht="22.5" hidden="1" customHeight="1">
      <c r="A1049" s="2" t="s">
        <v>845</v>
      </c>
      <c r="B1049" s="2" t="s">
        <v>377</v>
      </c>
      <c r="C1049" s="2" t="s">
        <v>378</v>
      </c>
      <c r="D1049" s="8" t="s">
        <v>46</v>
      </c>
      <c r="E1049" s="9" t="s">
        <v>23</v>
      </c>
      <c r="F1049" s="33">
        <v>1.0</v>
      </c>
      <c r="G1049" s="33">
        <v>750.0</v>
      </c>
      <c r="H1049" s="35">
        <v>46118.0</v>
      </c>
      <c r="I1049" s="2" t="s">
        <v>14</v>
      </c>
      <c r="J1049" s="12" t="s">
        <v>846</v>
      </c>
    </row>
    <row r="1050" ht="22.5" hidden="1" customHeight="1">
      <c r="A1050" s="2" t="s">
        <v>847</v>
      </c>
      <c r="B1050" s="2" t="s">
        <v>377</v>
      </c>
      <c r="C1050" s="2" t="s">
        <v>378</v>
      </c>
      <c r="D1050" s="8" t="s">
        <v>46</v>
      </c>
      <c r="E1050" s="9" t="s">
        <v>18</v>
      </c>
      <c r="F1050" s="33">
        <v>1.0</v>
      </c>
      <c r="G1050" s="33">
        <v>750.0</v>
      </c>
      <c r="H1050" s="35">
        <v>46118.0</v>
      </c>
      <c r="I1050" s="2" t="s">
        <v>14</v>
      </c>
      <c r="J1050" s="12" t="s">
        <v>848</v>
      </c>
    </row>
    <row r="1051" ht="22.5" hidden="1" customHeight="1">
      <c r="A1051" s="2" t="s">
        <v>847</v>
      </c>
      <c r="B1051" s="2" t="s">
        <v>377</v>
      </c>
      <c r="C1051" s="2" t="s">
        <v>378</v>
      </c>
      <c r="D1051" s="8" t="s">
        <v>46</v>
      </c>
      <c r="E1051" s="9" t="s">
        <v>13</v>
      </c>
      <c r="F1051" s="33">
        <v>1.0</v>
      </c>
      <c r="G1051" s="33">
        <v>750.0</v>
      </c>
      <c r="H1051" s="35">
        <v>46118.0</v>
      </c>
      <c r="I1051" s="2" t="s">
        <v>14</v>
      </c>
      <c r="J1051" s="12" t="s">
        <v>848</v>
      </c>
    </row>
    <row r="1052" ht="22.5" hidden="1" customHeight="1">
      <c r="A1052" s="2" t="s">
        <v>847</v>
      </c>
      <c r="B1052" s="2" t="s">
        <v>377</v>
      </c>
      <c r="C1052" s="2" t="s">
        <v>378</v>
      </c>
      <c r="D1052" s="8" t="s">
        <v>46</v>
      </c>
      <c r="E1052" s="9" t="s">
        <v>23</v>
      </c>
      <c r="F1052" s="33">
        <v>1.0</v>
      </c>
      <c r="G1052" s="33">
        <v>750.0</v>
      </c>
      <c r="H1052" s="35">
        <v>46118.0</v>
      </c>
      <c r="I1052" s="2" t="s">
        <v>14</v>
      </c>
      <c r="J1052" s="12" t="s">
        <v>848</v>
      </c>
    </row>
    <row r="1053" ht="22.5" hidden="1" customHeight="1">
      <c r="A1053" s="2" t="s">
        <v>847</v>
      </c>
      <c r="B1053" s="2" t="s">
        <v>377</v>
      </c>
      <c r="C1053" s="2" t="s">
        <v>378</v>
      </c>
      <c r="D1053" s="8" t="s">
        <v>46</v>
      </c>
      <c r="E1053" s="9" t="s">
        <v>47</v>
      </c>
      <c r="F1053" s="33">
        <v>1.0</v>
      </c>
      <c r="G1053" s="33">
        <v>750.0</v>
      </c>
      <c r="H1053" s="35">
        <v>46118.0</v>
      </c>
      <c r="I1053" s="2" t="s">
        <v>14</v>
      </c>
      <c r="J1053" s="12" t="s">
        <v>848</v>
      </c>
    </row>
    <row r="1054" ht="22.5" hidden="1" customHeight="1">
      <c r="A1054" s="2" t="s">
        <v>849</v>
      </c>
      <c r="B1054" s="2" t="s">
        <v>377</v>
      </c>
      <c r="C1054" s="2" t="s">
        <v>378</v>
      </c>
      <c r="D1054" s="8" t="s">
        <v>46</v>
      </c>
      <c r="E1054" s="9" t="s">
        <v>18</v>
      </c>
      <c r="F1054" s="33">
        <v>1.0</v>
      </c>
      <c r="G1054" s="33">
        <v>750.0</v>
      </c>
      <c r="H1054" s="35">
        <v>46118.0</v>
      </c>
      <c r="I1054" s="2" t="s">
        <v>14</v>
      </c>
      <c r="J1054" s="12" t="s">
        <v>850</v>
      </c>
    </row>
    <row r="1055" ht="22.5" hidden="1" customHeight="1">
      <c r="A1055" s="2" t="s">
        <v>849</v>
      </c>
      <c r="B1055" s="2" t="s">
        <v>377</v>
      </c>
      <c r="C1055" s="2" t="s">
        <v>378</v>
      </c>
      <c r="D1055" s="8" t="s">
        <v>46</v>
      </c>
      <c r="E1055" s="9" t="s">
        <v>23</v>
      </c>
      <c r="F1055" s="33">
        <v>1.0</v>
      </c>
      <c r="G1055" s="33">
        <v>750.0</v>
      </c>
      <c r="H1055" s="35">
        <v>46118.0</v>
      </c>
      <c r="I1055" s="2" t="s">
        <v>14</v>
      </c>
      <c r="J1055" s="12" t="s">
        <v>850</v>
      </c>
    </row>
    <row r="1056" ht="22.5" hidden="1" customHeight="1">
      <c r="A1056" s="2" t="s">
        <v>851</v>
      </c>
      <c r="B1056" s="2" t="s">
        <v>377</v>
      </c>
      <c r="C1056" s="2" t="s">
        <v>378</v>
      </c>
      <c r="D1056" s="8" t="s">
        <v>46</v>
      </c>
      <c r="E1056" s="9" t="s">
        <v>18</v>
      </c>
      <c r="F1056" s="33">
        <v>1.0</v>
      </c>
      <c r="G1056" s="33">
        <v>750.0</v>
      </c>
      <c r="H1056" s="35">
        <v>46118.0</v>
      </c>
      <c r="I1056" s="2" t="s">
        <v>14</v>
      </c>
      <c r="J1056" s="12" t="s">
        <v>852</v>
      </c>
    </row>
    <row r="1057" ht="22.5" hidden="1" customHeight="1">
      <c r="A1057" s="2" t="s">
        <v>851</v>
      </c>
      <c r="B1057" s="2" t="s">
        <v>377</v>
      </c>
      <c r="C1057" s="2" t="s">
        <v>378</v>
      </c>
      <c r="D1057" s="8" t="s">
        <v>46</v>
      </c>
      <c r="E1057" s="9" t="s">
        <v>23</v>
      </c>
      <c r="F1057" s="33">
        <v>1.0</v>
      </c>
      <c r="G1057" s="33">
        <v>750.0</v>
      </c>
      <c r="H1057" s="35">
        <v>46118.0</v>
      </c>
      <c r="I1057" s="2" t="s">
        <v>14</v>
      </c>
      <c r="J1057" s="12" t="s">
        <v>852</v>
      </c>
    </row>
    <row r="1058" ht="22.5" hidden="1" customHeight="1">
      <c r="A1058" s="2" t="s">
        <v>142</v>
      </c>
      <c r="B1058" s="2" t="s">
        <v>726</v>
      </c>
      <c r="C1058" s="2">
        <v>9091.0</v>
      </c>
      <c r="D1058" s="8" t="s">
        <v>12</v>
      </c>
      <c r="E1058" s="9" t="s">
        <v>58</v>
      </c>
      <c r="F1058" s="33">
        <v>1.0</v>
      </c>
      <c r="G1058" s="33">
        <v>1950.0</v>
      </c>
      <c r="H1058" s="35">
        <v>46118.0</v>
      </c>
      <c r="I1058" s="2" t="s">
        <v>14</v>
      </c>
      <c r="J1058" s="12" t="s">
        <v>709</v>
      </c>
    </row>
    <row r="1059" ht="22.5" hidden="1" customHeight="1">
      <c r="A1059" s="2" t="s">
        <v>142</v>
      </c>
      <c r="B1059" s="2" t="s">
        <v>726</v>
      </c>
      <c r="C1059" s="2">
        <v>9091.0</v>
      </c>
      <c r="D1059" s="8" t="s">
        <v>12</v>
      </c>
      <c r="E1059" s="9" t="s">
        <v>13</v>
      </c>
      <c r="F1059" s="33">
        <v>1.0</v>
      </c>
      <c r="G1059" s="33">
        <v>1950.0</v>
      </c>
      <c r="H1059" s="35">
        <v>46118.0</v>
      </c>
      <c r="I1059" s="2" t="s">
        <v>14</v>
      </c>
      <c r="J1059" s="12" t="s">
        <v>709</v>
      </c>
    </row>
    <row r="1060" ht="22.5" hidden="1" customHeight="1">
      <c r="A1060" s="2" t="s">
        <v>853</v>
      </c>
      <c r="B1060" s="2" t="s">
        <v>726</v>
      </c>
      <c r="C1060" s="2">
        <v>9091.0</v>
      </c>
      <c r="D1060" s="8" t="s">
        <v>12</v>
      </c>
      <c r="E1060" s="9" t="s">
        <v>58</v>
      </c>
      <c r="F1060" s="33">
        <v>1.0</v>
      </c>
      <c r="G1060" s="33">
        <v>1950.0</v>
      </c>
      <c r="H1060" s="35">
        <v>46118.0</v>
      </c>
      <c r="I1060" s="2" t="s">
        <v>14</v>
      </c>
      <c r="J1060" s="12" t="s">
        <v>854</v>
      </c>
    </row>
    <row r="1061" ht="22.5" hidden="1" customHeight="1">
      <c r="A1061" s="2" t="s">
        <v>855</v>
      </c>
      <c r="B1061" s="2" t="s">
        <v>726</v>
      </c>
      <c r="C1061" s="2">
        <v>9091.0</v>
      </c>
      <c r="D1061" s="8" t="s">
        <v>12</v>
      </c>
      <c r="E1061" s="9" t="s">
        <v>58</v>
      </c>
      <c r="F1061" s="33">
        <v>1.0</v>
      </c>
      <c r="G1061" s="33">
        <v>1950.0</v>
      </c>
      <c r="H1061" s="35">
        <v>46118.0</v>
      </c>
      <c r="I1061" s="2" t="s">
        <v>14</v>
      </c>
      <c r="J1061" s="12" t="s">
        <v>856</v>
      </c>
    </row>
    <row r="1062" ht="22.5" hidden="1" customHeight="1">
      <c r="A1062" s="2" t="s">
        <v>857</v>
      </c>
      <c r="B1062" s="2" t="s">
        <v>726</v>
      </c>
      <c r="C1062" s="2">
        <v>9091.0</v>
      </c>
      <c r="D1062" s="8" t="s">
        <v>75</v>
      </c>
      <c r="E1062" s="9" t="s">
        <v>58</v>
      </c>
      <c r="F1062" s="33">
        <v>1.0</v>
      </c>
      <c r="G1062" s="33">
        <v>1950.0</v>
      </c>
      <c r="H1062" s="35">
        <v>46118.0</v>
      </c>
      <c r="I1062" s="2" t="s">
        <v>14</v>
      </c>
      <c r="J1062" s="12" t="s">
        <v>858</v>
      </c>
    </row>
    <row r="1063" ht="22.5" hidden="1" customHeight="1">
      <c r="A1063" s="2" t="s">
        <v>857</v>
      </c>
      <c r="B1063" s="2" t="s">
        <v>726</v>
      </c>
      <c r="C1063" s="2">
        <v>9091.0</v>
      </c>
      <c r="D1063" s="8" t="s">
        <v>75</v>
      </c>
      <c r="E1063" s="9" t="s">
        <v>13</v>
      </c>
      <c r="F1063" s="33">
        <v>1.0</v>
      </c>
      <c r="G1063" s="33">
        <v>1950.0</v>
      </c>
      <c r="H1063" s="35">
        <v>46118.0</v>
      </c>
      <c r="I1063" s="2" t="s">
        <v>14</v>
      </c>
      <c r="J1063" s="12" t="s">
        <v>858</v>
      </c>
    </row>
    <row r="1064" ht="22.5" hidden="1" customHeight="1">
      <c r="A1064" s="2" t="s">
        <v>859</v>
      </c>
      <c r="B1064" s="2" t="s">
        <v>726</v>
      </c>
      <c r="C1064" s="2">
        <v>9091.0</v>
      </c>
      <c r="D1064" s="8" t="s">
        <v>12</v>
      </c>
      <c r="E1064" s="9" t="s">
        <v>58</v>
      </c>
      <c r="F1064" s="33">
        <v>1.0</v>
      </c>
      <c r="G1064" s="33">
        <v>1950.0</v>
      </c>
      <c r="H1064" s="35">
        <v>46118.0</v>
      </c>
      <c r="I1064" s="2" t="s">
        <v>14</v>
      </c>
      <c r="J1064" s="12" t="s">
        <v>860</v>
      </c>
    </row>
    <row r="1065" ht="22.5" hidden="1" customHeight="1">
      <c r="A1065" s="2" t="s">
        <v>861</v>
      </c>
      <c r="B1065" s="2" t="s">
        <v>726</v>
      </c>
      <c r="C1065" s="2">
        <v>9091.0</v>
      </c>
      <c r="D1065" s="8" t="s">
        <v>22</v>
      </c>
      <c r="E1065" s="9" t="s">
        <v>58</v>
      </c>
      <c r="F1065" s="33">
        <v>1.0</v>
      </c>
      <c r="G1065" s="33">
        <v>1950.0</v>
      </c>
      <c r="H1065" s="35">
        <v>46118.0</v>
      </c>
      <c r="I1065" s="2" t="s">
        <v>14</v>
      </c>
      <c r="J1065" s="12" t="s">
        <v>862</v>
      </c>
    </row>
    <row r="1066" ht="22.5" hidden="1" customHeight="1">
      <c r="A1066" s="2" t="s">
        <v>390</v>
      </c>
      <c r="B1066" s="2" t="s">
        <v>726</v>
      </c>
      <c r="C1066" s="2">
        <v>9091.0</v>
      </c>
      <c r="D1066" s="8" t="s">
        <v>12</v>
      </c>
      <c r="E1066" s="9" t="s">
        <v>58</v>
      </c>
      <c r="F1066" s="33">
        <v>1.0</v>
      </c>
      <c r="G1066" s="33">
        <v>1950.0</v>
      </c>
      <c r="H1066" s="35">
        <v>46118.0</v>
      </c>
      <c r="I1066" s="2" t="s">
        <v>14</v>
      </c>
      <c r="J1066" s="12" t="s">
        <v>863</v>
      </c>
    </row>
    <row r="1067" ht="22.5" hidden="1" customHeight="1">
      <c r="A1067" s="2" t="s">
        <v>390</v>
      </c>
      <c r="B1067" s="2" t="s">
        <v>726</v>
      </c>
      <c r="C1067" s="2">
        <v>9091.0</v>
      </c>
      <c r="D1067" s="8" t="s">
        <v>12</v>
      </c>
      <c r="E1067" s="9" t="s">
        <v>13</v>
      </c>
      <c r="F1067" s="33">
        <v>1.0</v>
      </c>
      <c r="G1067" s="33">
        <v>1950.0</v>
      </c>
      <c r="H1067" s="35">
        <v>46118.0</v>
      </c>
      <c r="I1067" s="2" t="s">
        <v>14</v>
      </c>
      <c r="J1067" s="12" t="s">
        <v>863</v>
      </c>
    </row>
    <row r="1068" ht="22.5" hidden="1" customHeight="1">
      <c r="A1068" s="2" t="s">
        <v>712</v>
      </c>
      <c r="B1068" s="2" t="s">
        <v>726</v>
      </c>
      <c r="C1068" s="2">
        <v>9091.0</v>
      </c>
      <c r="D1068" s="8" t="s">
        <v>22</v>
      </c>
      <c r="E1068" s="9" t="s">
        <v>58</v>
      </c>
      <c r="F1068" s="33">
        <v>1.0</v>
      </c>
      <c r="G1068" s="33">
        <v>1950.0</v>
      </c>
      <c r="H1068" s="35">
        <v>46118.0</v>
      </c>
      <c r="I1068" s="2" t="s">
        <v>14</v>
      </c>
      <c r="J1068" s="12" t="s">
        <v>713</v>
      </c>
    </row>
    <row r="1069" ht="22.5" hidden="1" customHeight="1">
      <c r="A1069" s="2" t="s">
        <v>31</v>
      </c>
      <c r="B1069" s="2" t="s">
        <v>726</v>
      </c>
      <c r="C1069" s="2">
        <v>9091.0</v>
      </c>
      <c r="D1069" s="8" t="s">
        <v>12</v>
      </c>
      <c r="E1069" s="9" t="s">
        <v>58</v>
      </c>
      <c r="F1069" s="33">
        <v>1.0</v>
      </c>
      <c r="G1069" s="33">
        <v>1950.0</v>
      </c>
      <c r="H1069" s="35">
        <v>46118.0</v>
      </c>
      <c r="I1069" s="2" t="s">
        <v>14</v>
      </c>
      <c r="J1069" s="12" t="s">
        <v>864</v>
      </c>
    </row>
    <row r="1070" ht="22.5" hidden="1" customHeight="1">
      <c r="A1070" s="2" t="s">
        <v>865</v>
      </c>
      <c r="B1070" s="2" t="s">
        <v>726</v>
      </c>
      <c r="C1070" s="2">
        <v>9091.0</v>
      </c>
      <c r="D1070" s="8" t="s">
        <v>12</v>
      </c>
      <c r="E1070" s="9" t="s">
        <v>58</v>
      </c>
      <c r="F1070" s="33">
        <v>1.0</v>
      </c>
      <c r="G1070" s="33">
        <v>1950.0</v>
      </c>
      <c r="H1070" s="35">
        <v>46118.0</v>
      </c>
      <c r="I1070" s="2" t="s">
        <v>24</v>
      </c>
      <c r="J1070" s="12" t="s">
        <v>866</v>
      </c>
    </row>
    <row r="1071" ht="22.5" hidden="1" customHeight="1">
      <c r="A1071" s="2" t="s">
        <v>214</v>
      </c>
      <c r="B1071" s="2" t="s">
        <v>726</v>
      </c>
      <c r="C1071" s="2">
        <v>9091.0</v>
      </c>
      <c r="D1071" s="8" t="s">
        <v>75</v>
      </c>
      <c r="E1071" s="9" t="s">
        <v>13</v>
      </c>
      <c r="F1071" s="33">
        <v>1.0</v>
      </c>
      <c r="G1071" s="33">
        <v>1950.0</v>
      </c>
      <c r="H1071" s="35">
        <v>46118.0</v>
      </c>
      <c r="I1071" s="2" t="s">
        <v>14</v>
      </c>
      <c r="J1071" s="12" t="s">
        <v>867</v>
      </c>
    </row>
    <row r="1072" ht="22.5" hidden="1" customHeight="1">
      <c r="A1072" s="2" t="s">
        <v>248</v>
      </c>
      <c r="B1072" s="2" t="s">
        <v>726</v>
      </c>
      <c r="C1072" s="2">
        <v>9091.0</v>
      </c>
      <c r="D1072" s="8" t="s">
        <v>12</v>
      </c>
      <c r="E1072" s="9" t="s">
        <v>13</v>
      </c>
      <c r="F1072" s="33">
        <v>1.0</v>
      </c>
      <c r="G1072" s="33">
        <v>1950.0</v>
      </c>
      <c r="H1072" s="35">
        <v>46118.0</v>
      </c>
      <c r="I1072" s="2" t="s">
        <v>14</v>
      </c>
      <c r="J1072" s="12" t="s">
        <v>868</v>
      </c>
    </row>
    <row r="1073" ht="22.5" hidden="1" customHeight="1">
      <c r="A1073" s="2" t="s">
        <v>795</v>
      </c>
      <c r="B1073" s="2" t="s">
        <v>726</v>
      </c>
      <c r="C1073" s="2">
        <v>9091.0</v>
      </c>
      <c r="D1073" s="8" t="s">
        <v>22</v>
      </c>
      <c r="E1073" s="9" t="s">
        <v>13</v>
      </c>
      <c r="F1073" s="33">
        <v>1.0</v>
      </c>
      <c r="G1073" s="33">
        <v>1950.0</v>
      </c>
      <c r="H1073" s="35">
        <v>46118.0</v>
      </c>
      <c r="I1073" s="2" t="s">
        <v>14</v>
      </c>
      <c r="J1073" s="12" t="s">
        <v>796</v>
      </c>
    </row>
    <row r="1074" ht="22.5" hidden="1" customHeight="1">
      <c r="A1074" s="2" t="s">
        <v>720</v>
      </c>
      <c r="B1074" s="2" t="s">
        <v>726</v>
      </c>
      <c r="C1074" s="2">
        <v>9091.0</v>
      </c>
      <c r="D1074" s="8" t="s">
        <v>12</v>
      </c>
      <c r="E1074" s="9" t="s">
        <v>58</v>
      </c>
      <c r="F1074" s="33">
        <v>1.0</v>
      </c>
      <c r="G1074" s="33">
        <v>1950.0</v>
      </c>
      <c r="H1074" s="35">
        <v>46118.0</v>
      </c>
      <c r="I1074" s="2" t="s">
        <v>14</v>
      </c>
      <c r="J1074" s="12" t="s">
        <v>869</v>
      </c>
    </row>
    <row r="1075" ht="22.5" hidden="1" customHeight="1">
      <c r="A1075" s="2" t="s">
        <v>870</v>
      </c>
      <c r="B1075" s="2" t="s">
        <v>726</v>
      </c>
      <c r="C1075" s="2">
        <v>9091.0</v>
      </c>
      <c r="D1075" s="8" t="s">
        <v>12</v>
      </c>
      <c r="E1075" s="9" t="s">
        <v>58</v>
      </c>
      <c r="F1075" s="33">
        <v>1.0</v>
      </c>
      <c r="G1075" s="33">
        <v>1950.0</v>
      </c>
      <c r="H1075" s="35">
        <v>46118.0</v>
      </c>
      <c r="I1075" s="2" t="s">
        <v>14</v>
      </c>
      <c r="J1075" s="12" t="s">
        <v>871</v>
      </c>
    </row>
    <row r="1076" ht="22.5" hidden="1" customHeight="1">
      <c r="A1076" s="2" t="s">
        <v>156</v>
      </c>
      <c r="B1076" s="2" t="s">
        <v>730</v>
      </c>
      <c r="C1076" s="2">
        <v>8116.0</v>
      </c>
      <c r="D1076" s="8" t="s">
        <v>22</v>
      </c>
      <c r="E1076" s="9" t="s">
        <v>58</v>
      </c>
      <c r="F1076" s="33">
        <v>1.0</v>
      </c>
      <c r="G1076" s="33">
        <v>2490.0</v>
      </c>
      <c r="H1076" s="35">
        <v>46118.0</v>
      </c>
      <c r="I1076" s="2" t="s">
        <v>14</v>
      </c>
      <c r="J1076" s="12" t="s">
        <v>478</v>
      </c>
    </row>
    <row r="1077" ht="22.5" hidden="1" customHeight="1">
      <c r="A1077" s="2" t="s">
        <v>248</v>
      </c>
      <c r="B1077" s="2" t="s">
        <v>730</v>
      </c>
      <c r="C1077" s="2">
        <v>8116.0</v>
      </c>
      <c r="D1077" s="8" t="s">
        <v>22</v>
      </c>
      <c r="E1077" s="9" t="s">
        <v>58</v>
      </c>
      <c r="F1077" s="33">
        <v>1.0</v>
      </c>
      <c r="G1077" s="33">
        <v>2490.0</v>
      </c>
      <c r="H1077" s="35">
        <v>46118.0</v>
      </c>
      <c r="I1077" s="2" t="s">
        <v>14</v>
      </c>
      <c r="J1077" s="12" t="s">
        <v>868</v>
      </c>
    </row>
    <row r="1078" ht="22.5" hidden="1" customHeight="1">
      <c r="A1078" s="2" t="s">
        <v>872</v>
      </c>
      <c r="B1078" s="2" t="s">
        <v>730</v>
      </c>
      <c r="C1078" s="2">
        <v>8116.0</v>
      </c>
      <c r="D1078" s="8" t="s">
        <v>12</v>
      </c>
      <c r="E1078" s="9" t="s">
        <v>13</v>
      </c>
      <c r="F1078" s="33">
        <v>1.0</v>
      </c>
      <c r="G1078" s="33">
        <v>2490.0</v>
      </c>
      <c r="H1078" s="35">
        <v>46118.0</v>
      </c>
      <c r="I1078" s="2" t="s">
        <v>14</v>
      </c>
      <c r="J1078" s="2"/>
    </row>
    <row r="1079" ht="22.5" hidden="1" customHeight="1">
      <c r="A1079" s="2" t="s">
        <v>265</v>
      </c>
      <c r="B1079" s="2" t="s">
        <v>730</v>
      </c>
      <c r="C1079" s="2">
        <v>8116.0</v>
      </c>
      <c r="D1079" s="8" t="s">
        <v>12</v>
      </c>
      <c r="E1079" s="9" t="s">
        <v>13</v>
      </c>
      <c r="F1079" s="33">
        <v>1.0</v>
      </c>
      <c r="G1079" s="33">
        <v>2490.0</v>
      </c>
      <c r="H1079" s="35">
        <v>46118.0</v>
      </c>
      <c r="I1079" s="2" t="s">
        <v>14</v>
      </c>
      <c r="J1079" s="12" t="s">
        <v>873</v>
      </c>
    </row>
    <row r="1080" ht="22.5" hidden="1" customHeight="1">
      <c r="A1080" s="2" t="s">
        <v>95</v>
      </c>
      <c r="B1080" s="2" t="s">
        <v>730</v>
      </c>
      <c r="C1080" s="2">
        <v>8116.0</v>
      </c>
      <c r="D1080" s="8" t="s">
        <v>75</v>
      </c>
      <c r="E1080" s="9" t="s">
        <v>58</v>
      </c>
      <c r="F1080" s="33">
        <v>1.0</v>
      </c>
      <c r="G1080" s="33">
        <v>2490.0</v>
      </c>
      <c r="H1080" s="35">
        <v>46118.0</v>
      </c>
      <c r="I1080" s="2" t="s">
        <v>14</v>
      </c>
      <c r="J1080" s="12" t="s">
        <v>874</v>
      </c>
    </row>
    <row r="1081" ht="22.5" hidden="1" customHeight="1">
      <c r="A1081" s="2" t="s">
        <v>875</v>
      </c>
      <c r="B1081" s="2" t="s">
        <v>730</v>
      </c>
      <c r="C1081" s="2">
        <v>8116.0</v>
      </c>
      <c r="D1081" s="8" t="s">
        <v>12</v>
      </c>
      <c r="E1081" s="9" t="s">
        <v>13</v>
      </c>
      <c r="F1081" s="33">
        <v>1.0</v>
      </c>
      <c r="G1081" s="33">
        <v>2490.0</v>
      </c>
      <c r="H1081" s="35">
        <v>46118.0</v>
      </c>
      <c r="I1081" s="2" t="s">
        <v>14</v>
      </c>
      <c r="J1081" s="12" t="s">
        <v>876</v>
      </c>
    </row>
    <row r="1082" ht="22.5" hidden="1" customHeight="1">
      <c r="A1082" s="2" t="s">
        <v>772</v>
      </c>
      <c r="B1082" s="2" t="s">
        <v>755</v>
      </c>
      <c r="C1082" s="2">
        <v>8558.0</v>
      </c>
      <c r="D1082" s="8" t="s">
        <v>22</v>
      </c>
      <c r="E1082" s="9" t="s">
        <v>770</v>
      </c>
      <c r="F1082" s="33">
        <v>1.0</v>
      </c>
      <c r="G1082" s="33">
        <v>1390.0</v>
      </c>
      <c r="H1082" s="35">
        <v>46118.0</v>
      </c>
      <c r="I1082" s="2" t="s">
        <v>14</v>
      </c>
      <c r="J1082" s="12" t="s">
        <v>774</v>
      </c>
    </row>
    <row r="1083" ht="22.5" hidden="1" customHeight="1">
      <c r="A1083" s="2" t="s">
        <v>412</v>
      </c>
      <c r="B1083" s="2" t="s">
        <v>755</v>
      </c>
      <c r="C1083" s="2">
        <v>8558.0</v>
      </c>
      <c r="D1083" s="8" t="s">
        <v>12</v>
      </c>
      <c r="E1083" s="9" t="s">
        <v>16</v>
      </c>
      <c r="F1083" s="33">
        <v>1.0</v>
      </c>
      <c r="G1083" s="33">
        <v>1390.0</v>
      </c>
      <c r="H1083" s="35">
        <v>46118.0</v>
      </c>
      <c r="I1083" s="2" t="s">
        <v>14</v>
      </c>
      <c r="J1083" s="12" t="s">
        <v>413</v>
      </c>
    </row>
    <row r="1084" ht="22.5" hidden="1" customHeight="1">
      <c r="A1084" s="2" t="s">
        <v>51</v>
      </c>
      <c r="B1084" s="2" t="s">
        <v>824</v>
      </c>
      <c r="C1084" s="2">
        <v>9258.0</v>
      </c>
      <c r="D1084" s="8" t="s">
        <v>12</v>
      </c>
      <c r="E1084" s="9" t="s">
        <v>58</v>
      </c>
      <c r="F1084" s="33">
        <v>1.0</v>
      </c>
      <c r="G1084" s="33">
        <v>2450.0</v>
      </c>
      <c r="H1084" s="35">
        <v>46118.0</v>
      </c>
      <c r="I1084" s="2" t="s">
        <v>14</v>
      </c>
      <c r="J1084" s="12" t="s">
        <v>877</v>
      </c>
    </row>
    <row r="1085" ht="22.5" hidden="1" customHeight="1">
      <c r="A1085" s="2" t="s">
        <v>878</v>
      </c>
      <c r="B1085" s="2" t="s">
        <v>268</v>
      </c>
      <c r="C1085" s="2" t="s">
        <v>269</v>
      </c>
      <c r="D1085" s="8">
        <v>37.0</v>
      </c>
      <c r="E1085" s="9" t="s">
        <v>18</v>
      </c>
      <c r="F1085" s="33">
        <v>1.0</v>
      </c>
      <c r="G1085" s="33">
        <v>1990.0</v>
      </c>
      <c r="H1085" s="35">
        <v>46118.0</v>
      </c>
      <c r="I1085" s="2" t="s">
        <v>14</v>
      </c>
      <c r="J1085" s="12" t="s">
        <v>879</v>
      </c>
    </row>
    <row r="1086" ht="22.5" hidden="1" customHeight="1">
      <c r="A1086" s="2" t="s">
        <v>228</v>
      </c>
      <c r="B1086" s="2" t="s">
        <v>824</v>
      </c>
      <c r="C1086" s="2">
        <v>9258.0</v>
      </c>
      <c r="D1086" s="8" t="s">
        <v>12</v>
      </c>
      <c r="E1086" s="9" t="s">
        <v>58</v>
      </c>
      <c r="F1086" s="33">
        <v>1.0</v>
      </c>
      <c r="G1086" s="33">
        <v>2450.0</v>
      </c>
      <c r="H1086" s="35">
        <v>46118.0</v>
      </c>
      <c r="I1086" s="2" t="s">
        <v>14</v>
      </c>
      <c r="J1086" s="12" t="s">
        <v>880</v>
      </c>
    </row>
    <row r="1087" ht="22.5" hidden="1" customHeight="1">
      <c r="A1087" s="2" t="s">
        <v>249</v>
      </c>
      <c r="B1087" s="2" t="s">
        <v>223</v>
      </c>
      <c r="C1087" s="2">
        <v>7957.0</v>
      </c>
      <c r="D1087" s="8" t="s">
        <v>12</v>
      </c>
      <c r="E1087" s="9" t="s">
        <v>13</v>
      </c>
      <c r="F1087" s="33">
        <v>2.0</v>
      </c>
      <c r="G1087" s="33">
        <v>1400.0</v>
      </c>
      <c r="H1087" s="35">
        <v>46118.0</v>
      </c>
      <c r="I1087" s="2" t="s">
        <v>14</v>
      </c>
      <c r="J1087" s="12" t="s">
        <v>881</v>
      </c>
    </row>
    <row r="1088" ht="22.5" hidden="1" customHeight="1">
      <c r="A1088" s="2" t="s">
        <v>249</v>
      </c>
      <c r="B1088" s="2" t="s">
        <v>223</v>
      </c>
      <c r="C1088" s="2">
        <v>7957.0</v>
      </c>
      <c r="D1088" s="8" t="s">
        <v>12</v>
      </c>
      <c r="E1088" s="9" t="s">
        <v>23</v>
      </c>
      <c r="F1088" s="33">
        <v>1.0</v>
      </c>
      <c r="G1088" s="33">
        <v>1400.0</v>
      </c>
      <c r="H1088" s="35">
        <v>46118.0</v>
      </c>
      <c r="I1088" s="2" t="s">
        <v>14</v>
      </c>
      <c r="J1088" s="12" t="s">
        <v>881</v>
      </c>
    </row>
    <row r="1089" ht="22.5" hidden="1" customHeight="1">
      <c r="A1089" s="2" t="s">
        <v>249</v>
      </c>
      <c r="B1089" s="2" t="s">
        <v>223</v>
      </c>
      <c r="C1089" s="2">
        <v>7957.0</v>
      </c>
      <c r="D1089" s="8" t="s">
        <v>12</v>
      </c>
      <c r="E1089" s="9" t="s">
        <v>18</v>
      </c>
      <c r="F1089" s="33">
        <v>1.0</v>
      </c>
      <c r="G1089" s="33">
        <v>1400.0</v>
      </c>
      <c r="H1089" s="35">
        <v>46118.0</v>
      </c>
      <c r="I1089" s="2" t="s">
        <v>14</v>
      </c>
      <c r="J1089" s="12" t="s">
        <v>881</v>
      </c>
    </row>
    <row r="1090" ht="22.5" hidden="1" customHeight="1">
      <c r="A1090" s="2" t="s">
        <v>274</v>
      </c>
      <c r="B1090" s="2" t="s">
        <v>824</v>
      </c>
      <c r="C1090" s="2">
        <v>9258.0</v>
      </c>
      <c r="D1090" s="8" t="s">
        <v>22</v>
      </c>
      <c r="E1090" s="9" t="s">
        <v>58</v>
      </c>
      <c r="F1090" s="33">
        <v>1.0</v>
      </c>
      <c r="G1090" s="33">
        <v>2450.0</v>
      </c>
      <c r="H1090" s="35">
        <v>46118.0</v>
      </c>
      <c r="I1090" s="2" t="s">
        <v>14</v>
      </c>
      <c r="J1090" s="12" t="s">
        <v>882</v>
      </c>
    </row>
    <row r="1091" ht="22.5" hidden="1" customHeight="1">
      <c r="A1091" s="2" t="s">
        <v>274</v>
      </c>
      <c r="B1091" s="2" t="s">
        <v>726</v>
      </c>
      <c r="C1091" s="2">
        <v>9091.0</v>
      </c>
      <c r="D1091" s="8" t="s">
        <v>75</v>
      </c>
      <c r="E1091" s="9" t="s">
        <v>58</v>
      </c>
      <c r="F1091" s="33">
        <v>1.0</v>
      </c>
      <c r="G1091" s="33">
        <v>1950.0</v>
      </c>
      <c r="H1091" s="35">
        <v>46118.0</v>
      </c>
      <c r="I1091" s="2" t="s">
        <v>14</v>
      </c>
      <c r="J1091" s="12" t="s">
        <v>882</v>
      </c>
    </row>
    <row r="1092" ht="22.5" hidden="1" customHeight="1">
      <c r="A1092" s="2" t="s">
        <v>665</v>
      </c>
      <c r="B1092" s="2" t="s">
        <v>377</v>
      </c>
      <c r="C1092" s="2" t="s">
        <v>378</v>
      </c>
      <c r="D1092" s="8" t="s">
        <v>46</v>
      </c>
      <c r="E1092" s="9" t="s">
        <v>18</v>
      </c>
      <c r="F1092" s="33">
        <v>1.0</v>
      </c>
      <c r="G1092" s="33">
        <v>750.0</v>
      </c>
      <c r="H1092" s="35">
        <v>46119.0</v>
      </c>
      <c r="I1092" s="2" t="s">
        <v>14</v>
      </c>
      <c r="J1092" s="12" t="s">
        <v>666</v>
      </c>
    </row>
    <row r="1093" ht="22.5" hidden="1" customHeight="1">
      <c r="A1093" s="2" t="s">
        <v>665</v>
      </c>
      <c r="B1093" s="2" t="s">
        <v>377</v>
      </c>
      <c r="C1093" s="2" t="s">
        <v>378</v>
      </c>
      <c r="D1093" s="8" t="s">
        <v>46</v>
      </c>
      <c r="E1093" s="9" t="s">
        <v>13</v>
      </c>
      <c r="F1093" s="33">
        <v>1.0</v>
      </c>
      <c r="G1093" s="33">
        <v>750.0</v>
      </c>
      <c r="H1093" s="35">
        <v>46119.0</v>
      </c>
      <c r="I1093" s="2" t="s">
        <v>14</v>
      </c>
      <c r="J1093" s="12" t="s">
        <v>666</v>
      </c>
    </row>
    <row r="1094" ht="22.5" hidden="1" customHeight="1">
      <c r="A1094" s="2" t="s">
        <v>665</v>
      </c>
      <c r="B1094" s="2" t="s">
        <v>377</v>
      </c>
      <c r="C1094" s="2" t="s">
        <v>378</v>
      </c>
      <c r="D1094" s="8" t="s">
        <v>46</v>
      </c>
      <c r="E1094" s="9" t="s">
        <v>47</v>
      </c>
      <c r="F1094" s="33">
        <v>1.0</v>
      </c>
      <c r="G1094" s="33">
        <v>750.0</v>
      </c>
      <c r="H1094" s="35">
        <v>46119.0</v>
      </c>
      <c r="I1094" s="2" t="s">
        <v>14</v>
      </c>
      <c r="J1094" s="12" t="s">
        <v>666</v>
      </c>
    </row>
    <row r="1095" ht="22.5" hidden="1" customHeight="1">
      <c r="A1095" s="2" t="s">
        <v>665</v>
      </c>
      <c r="B1095" s="2" t="s">
        <v>377</v>
      </c>
      <c r="C1095" s="2" t="s">
        <v>378</v>
      </c>
      <c r="D1095" s="8" t="s">
        <v>46</v>
      </c>
      <c r="E1095" s="9" t="s">
        <v>23</v>
      </c>
      <c r="F1095" s="33">
        <v>1.0</v>
      </c>
      <c r="G1095" s="33">
        <v>750.0</v>
      </c>
      <c r="H1095" s="35">
        <v>46119.0</v>
      </c>
      <c r="I1095" s="2" t="s">
        <v>14</v>
      </c>
      <c r="J1095" s="12" t="s">
        <v>666</v>
      </c>
    </row>
    <row r="1096" ht="22.5" hidden="1" customHeight="1">
      <c r="A1096" s="2" t="s">
        <v>359</v>
      </c>
      <c r="B1096" s="2" t="s">
        <v>375</v>
      </c>
      <c r="C1096" s="2" t="s">
        <v>376</v>
      </c>
      <c r="D1096" s="8">
        <v>36.0</v>
      </c>
      <c r="E1096" s="9" t="s">
        <v>18</v>
      </c>
      <c r="F1096" s="33">
        <v>1.0</v>
      </c>
      <c r="G1096" s="33">
        <v>2350.0</v>
      </c>
      <c r="H1096" s="35">
        <v>46121.0</v>
      </c>
      <c r="I1096" s="2" t="s">
        <v>14</v>
      </c>
      <c r="J1096" s="2"/>
    </row>
    <row r="1097" ht="22.5" hidden="1" customHeight="1">
      <c r="A1097" s="2" t="s">
        <v>202</v>
      </c>
      <c r="B1097" s="2" t="s">
        <v>377</v>
      </c>
      <c r="C1097" s="2" t="s">
        <v>378</v>
      </c>
      <c r="D1097" s="8" t="s">
        <v>46</v>
      </c>
      <c r="E1097" s="9" t="s">
        <v>18</v>
      </c>
      <c r="F1097" s="33">
        <v>1.0</v>
      </c>
      <c r="G1097" s="33">
        <v>750.0</v>
      </c>
      <c r="H1097" s="35">
        <v>46121.0</v>
      </c>
      <c r="I1097" s="2" t="s">
        <v>14</v>
      </c>
      <c r="J1097" s="12" t="s">
        <v>883</v>
      </c>
    </row>
    <row r="1098" ht="22.5" hidden="1" customHeight="1">
      <c r="A1098" s="2" t="s">
        <v>202</v>
      </c>
      <c r="B1098" s="2" t="s">
        <v>377</v>
      </c>
      <c r="C1098" s="2" t="s">
        <v>378</v>
      </c>
      <c r="D1098" s="8" t="s">
        <v>46</v>
      </c>
      <c r="E1098" s="9" t="s">
        <v>13</v>
      </c>
      <c r="F1098" s="33">
        <v>1.0</v>
      </c>
      <c r="G1098" s="33">
        <v>750.0</v>
      </c>
      <c r="H1098" s="35">
        <v>46121.0</v>
      </c>
      <c r="I1098" s="2" t="s">
        <v>14</v>
      </c>
      <c r="J1098" s="12" t="s">
        <v>883</v>
      </c>
    </row>
    <row r="1099" ht="22.5" hidden="1" customHeight="1">
      <c r="A1099" s="2" t="s">
        <v>202</v>
      </c>
      <c r="B1099" s="2" t="s">
        <v>377</v>
      </c>
      <c r="C1099" s="2" t="s">
        <v>378</v>
      </c>
      <c r="D1099" s="8" t="s">
        <v>46</v>
      </c>
      <c r="E1099" s="9" t="s">
        <v>47</v>
      </c>
      <c r="F1099" s="33">
        <v>1.0</v>
      </c>
      <c r="G1099" s="33">
        <v>750.0</v>
      </c>
      <c r="H1099" s="35">
        <v>46121.0</v>
      </c>
      <c r="I1099" s="2" t="s">
        <v>14</v>
      </c>
      <c r="J1099" s="12" t="s">
        <v>883</v>
      </c>
    </row>
    <row r="1100" ht="22.5" hidden="1" customHeight="1">
      <c r="A1100" s="2" t="s">
        <v>202</v>
      </c>
      <c r="B1100" s="2" t="s">
        <v>377</v>
      </c>
      <c r="C1100" s="2" t="s">
        <v>378</v>
      </c>
      <c r="D1100" s="8" t="s">
        <v>46</v>
      </c>
      <c r="E1100" s="9" t="s">
        <v>23</v>
      </c>
      <c r="F1100" s="33">
        <v>1.0</v>
      </c>
      <c r="G1100" s="33">
        <v>750.0</v>
      </c>
      <c r="H1100" s="35">
        <v>46121.0</v>
      </c>
      <c r="I1100" s="2" t="s">
        <v>14</v>
      </c>
      <c r="J1100" s="12" t="s">
        <v>883</v>
      </c>
    </row>
    <row r="1101" ht="22.5" hidden="1" customHeight="1">
      <c r="A1101" s="2" t="s">
        <v>503</v>
      </c>
      <c r="B1101" s="2" t="s">
        <v>97</v>
      </c>
      <c r="C1101" s="2">
        <v>8748.0</v>
      </c>
      <c r="D1101" s="8" t="s">
        <v>12</v>
      </c>
      <c r="E1101" s="9" t="s">
        <v>58</v>
      </c>
      <c r="F1101" s="33">
        <v>1.0</v>
      </c>
      <c r="G1101" s="33">
        <v>1800.0</v>
      </c>
      <c r="H1101" s="35">
        <v>46123.0</v>
      </c>
      <c r="I1101" s="2" t="s">
        <v>14</v>
      </c>
      <c r="J1101" s="12" t="s">
        <v>504</v>
      </c>
    </row>
    <row r="1102" ht="22.5" hidden="1" customHeight="1">
      <c r="A1102" s="2" t="s">
        <v>884</v>
      </c>
      <c r="B1102" s="2" t="s">
        <v>268</v>
      </c>
      <c r="C1102" s="2" t="s">
        <v>269</v>
      </c>
      <c r="D1102" s="8">
        <v>37.0</v>
      </c>
      <c r="E1102" s="9" t="s">
        <v>18</v>
      </c>
      <c r="F1102" s="33">
        <v>1.0</v>
      </c>
      <c r="G1102" s="33">
        <v>1990.0</v>
      </c>
      <c r="H1102" s="35">
        <v>46123.0</v>
      </c>
      <c r="I1102" s="2" t="s">
        <v>14</v>
      </c>
      <c r="J1102" s="12" t="s">
        <v>885</v>
      </c>
    </row>
    <row r="1103" ht="22.5" hidden="1" customHeight="1">
      <c r="A1103" s="2" t="s">
        <v>886</v>
      </c>
      <c r="B1103" s="2" t="s">
        <v>377</v>
      </c>
      <c r="C1103" s="2" t="s">
        <v>378</v>
      </c>
      <c r="D1103" s="8" t="s">
        <v>46</v>
      </c>
      <c r="E1103" s="9" t="s">
        <v>47</v>
      </c>
      <c r="F1103" s="33">
        <v>1.0</v>
      </c>
      <c r="G1103" s="33">
        <v>750.0</v>
      </c>
      <c r="H1103" s="35">
        <v>46123.0</v>
      </c>
      <c r="I1103" s="2" t="s">
        <v>14</v>
      </c>
      <c r="J1103" s="12" t="s">
        <v>887</v>
      </c>
    </row>
    <row r="1104" ht="22.5" hidden="1" customHeight="1">
      <c r="A1104" s="2" t="s">
        <v>886</v>
      </c>
      <c r="B1104" s="2" t="s">
        <v>377</v>
      </c>
      <c r="C1104" s="2" t="s">
        <v>378</v>
      </c>
      <c r="D1104" s="8" t="s">
        <v>46</v>
      </c>
      <c r="E1104" s="9" t="s">
        <v>23</v>
      </c>
      <c r="F1104" s="33">
        <v>1.0</v>
      </c>
      <c r="G1104" s="33">
        <v>750.0</v>
      </c>
      <c r="H1104" s="35">
        <v>46123.0</v>
      </c>
      <c r="I1104" s="2" t="s">
        <v>14</v>
      </c>
      <c r="J1104" s="12" t="s">
        <v>887</v>
      </c>
    </row>
    <row r="1105" ht="22.5" hidden="1" customHeight="1">
      <c r="A1105" s="2" t="s">
        <v>63</v>
      </c>
      <c r="B1105" s="2" t="s">
        <v>440</v>
      </c>
      <c r="C1105" s="2" t="s">
        <v>441</v>
      </c>
      <c r="D1105" s="8" t="s">
        <v>46</v>
      </c>
      <c r="E1105" s="9" t="s">
        <v>47</v>
      </c>
      <c r="F1105" s="33">
        <v>1.0</v>
      </c>
      <c r="G1105" s="33">
        <v>1200.0</v>
      </c>
      <c r="H1105" s="35">
        <v>46123.0</v>
      </c>
      <c r="I1105" s="2" t="s">
        <v>14</v>
      </c>
      <c r="J1105" s="12" t="s">
        <v>602</v>
      </c>
    </row>
    <row r="1106" ht="22.5" hidden="1" customHeight="1">
      <c r="A1106" s="2" t="s">
        <v>888</v>
      </c>
      <c r="B1106" s="2" t="s">
        <v>762</v>
      </c>
      <c r="C1106" s="2" t="s">
        <v>763</v>
      </c>
      <c r="D1106" s="8" t="s">
        <v>46</v>
      </c>
      <c r="E1106" s="9" t="s">
        <v>889</v>
      </c>
      <c r="F1106" s="33">
        <v>1.0</v>
      </c>
      <c r="G1106" s="33">
        <v>1990.0</v>
      </c>
      <c r="H1106" s="35">
        <v>46124.0</v>
      </c>
      <c r="I1106" s="2" t="s">
        <v>14</v>
      </c>
      <c r="J1106" s="12" t="s">
        <v>890</v>
      </c>
    </row>
    <row r="1107" ht="22.5" hidden="1" customHeight="1">
      <c r="A1107" s="2" t="s">
        <v>891</v>
      </c>
      <c r="B1107" s="2" t="s">
        <v>892</v>
      </c>
      <c r="C1107" s="2" t="s">
        <v>893</v>
      </c>
      <c r="D1107" s="8">
        <v>37.0</v>
      </c>
      <c r="E1107" s="9" t="s">
        <v>47</v>
      </c>
      <c r="F1107" s="33">
        <v>1.0</v>
      </c>
      <c r="G1107" s="33">
        <v>2200.0</v>
      </c>
      <c r="H1107" s="35">
        <v>46124.0</v>
      </c>
      <c r="I1107" s="2" t="s">
        <v>14</v>
      </c>
      <c r="J1107" s="12" t="s">
        <v>894</v>
      </c>
    </row>
    <row r="1108" ht="22.5" hidden="1" customHeight="1">
      <c r="A1108" s="2" t="s">
        <v>895</v>
      </c>
      <c r="B1108" s="2" t="s">
        <v>268</v>
      </c>
      <c r="C1108" s="2" t="s">
        <v>269</v>
      </c>
      <c r="D1108" s="8">
        <v>38.0</v>
      </c>
      <c r="E1108" s="9" t="s">
        <v>47</v>
      </c>
      <c r="F1108" s="33">
        <v>1.0</v>
      </c>
      <c r="G1108" s="33">
        <v>1990.0</v>
      </c>
      <c r="H1108" s="35">
        <v>46124.0</v>
      </c>
      <c r="I1108" s="2" t="s">
        <v>14</v>
      </c>
      <c r="J1108" s="12" t="s">
        <v>896</v>
      </c>
    </row>
    <row r="1109" ht="22.5" hidden="1" customHeight="1">
      <c r="A1109" s="2" t="s">
        <v>895</v>
      </c>
      <c r="B1109" s="2" t="s">
        <v>336</v>
      </c>
      <c r="C1109" s="2">
        <v>81813.0</v>
      </c>
      <c r="D1109" s="8" t="s">
        <v>46</v>
      </c>
      <c r="E1109" s="9" t="s">
        <v>340</v>
      </c>
      <c r="F1109" s="33">
        <v>1.0</v>
      </c>
      <c r="G1109" s="33">
        <v>1100.0</v>
      </c>
      <c r="H1109" s="35">
        <v>46124.0</v>
      </c>
      <c r="I1109" s="2" t="s">
        <v>14</v>
      </c>
      <c r="J1109" s="12" t="s">
        <v>896</v>
      </c>
    </row>
    <row r="1110" ht="22.5" hidden="1" customHeight="1">
      <c r="A1110" s="2" t="s">
        <v>895</v>
      </c>
      <c r="B1110" s="2" t="s">
        <v>336</v>
      </c>
      <c r="C1110" s="2">
        <v>81813.0</v>
      </c>
      <c r="D1110" s="8" t="s">
        <v>46</v>
      </c>
      <c r="E1110" s="9" t="s">
        <v>338</v>
      </c>
      <c r="F1110" s="33">
        <v>1.0</v>
      </c>
      <c r="G1110" s="33">
        <v>1100.0</v>
      </c>
      <c r="H1110" s="35">
        <v>46124.0</v>
      </c>
      <c r="I1110" s="2" t="s">
        <v>14</v>
      </c>
      <c r="J1110" s="12" t="s">
        <v>896</v>
      </c>
    </row>
    <row r="1111" ht="22.5" hidden="1" customHeight="1">
      <c r="A1111" s="2" t="s">
        <v>895</v>
      </c>
      <c r="B1111" s="2" t="s">
        <v>377</v>
      </c>
      <c r="C1111" s="2" t="s">
        <v>378</v>
      </c>
      <c r="D1111" s="8" t="s">
        <v>46</v>
      </c>
      <c r="E1111" s="9" t="s">
        <v>18</v>
      </c>
      <c r="F1111" s="33">
        <v>1.0</v>
      </c>
      <c r="G1111" s="33">
        <v>750.0</v>
      </c>
      <c r="H1111" s="35">
        <v>46124.0</v>
      </c>
      <c r="I1111" s="2" t="s">
        <v>14</v>
      </c>
      <c r="J1111" s="12" t="s">
        <v>896</v>
      </c>
    </row>
    <row r="1112" ht="22.5" hidden="1" customHeight="1">
      <c r="A1112" s="2" t="s">
        <v>895</v>
      </c>
      <c r="B1112" s="2" t="s">
        <v>377</v>
      </c>
      <c r="C1112" s="2" t="s">
        <v>378</v>
      </c>
      <c r="D1112" s="8" t="s">
        <v>46</v>
      </c>
      <c r="E1112" s="9" t="s">
        <v>13</v>
      </c>
      <c r="F1112" s="33">
        <v>1.0</v>
      </c>
      <c r="G1112" s="33">
        <v>750.0</v>
      </c>
      <c r="H1112" s="35">
        <v>46124.0</v>
      </c>
      <c r="I1112" s="2" t="s">
        <v>14</v>
      </c>
      <c r="J1112" s="12" t="s">
        <v>896</v>
      </c>
    </row>
    <row r="1113" ht="22.5" hidden="1" customHeight="1">
      <c r="A1113" s="2" t="s">
        <v>895</v>
      </c>
      <c r="B1113" s="2" t="s">
        <v>377</v>
      </c>
      <c r="C1113" s="2" t="s">
        <v>378</v>
      </c>
      <c r="D1113" s="8" t="s">
        <v>46</v>
      </c>
      <c r="E1113" s="9" t="s">
        <v>23</v>
      </c>
      <c r="F1113" s="33">
        <v>1.0</v>
      </c>
      <c r="G1113" s="33">
        <v>750.0</v>
      </c>
      <c r="H1113" s="35">
        <v>46124.0</v>
      </c>
      <c r="I1113" s="2" t="s">
        <v>14</v>
      </c>
      <c r="J1113" s="12" t="s">
        <v>896</v>
      </c>
    </row>
    <row r="1114" ht="22.5" hidden="1" customHeight="1">
      <c r="A1114" s="2" t="s">
        <v>895</v>
      </c>
      <c r="B1114" s="2" t="s">
        <v>377</v>
      </c>
      <c r="C1114" s="2" t="s">
        <v>378</v>
      </c>
      <c r="D1114" s="8" t="s">
        <v>46</v>
      </c>
      <c r="E1114" s="9" t="s">
        <v>47</v>
      </c>
      <c r="F1114" s="33">
        <v>1.0</v>
      </c>
      <c r="G1114" s="33">
        <v>750.0</v>
      </c>
      <c r="H1114" s="35">
        <v>46124.0</v>
      </c>
      <c r="I1114" s="2" t="s">
        <v>14</v>
      </c>
      <c r="J1114" s="12" t="s">
        <v>896</v>
      </c>
    </row>
    <row r="1115" ht="22.5" hidden="1" customHeight="1">
      <c r="A1115" s="2" t="s">
        <v>897</v>
      </c>
      <c r="B1115" s="2" t="s">
        <v>892</v>
      </c>
      <c r="C1115" s="2" t="s">
        <v>893</v>
      </c>
      <c r="D1115" s="8">
        <v>38.0</v>
      </c>
      <c r="E1115" s="9" t="s">
        <v>18</v>
      </c>
      <c r="F1115" s="33">
        <v>1.0</v>
      </c>
      <c r="G1115" s="33">
        <v>2200.0</v>
      </c>
      <c r="H1115" s="35">
        <v>46124.0</v>
      </c>
      <c r="I1115" s="2" t="s">
        <v>14</v>
      </c>
      <c r="J1115" s="12" t="s">
        <v>898</v>
      </c>
    </row>
    <row r="1116" ht="22.5" hidden="1" customHeight="1">
      <c r="A1116" s="2" t="s">
        <v>832</v>
      </c>
      <c r="B1116" s="2" t="s">
        <v>824</v>
      </c>
      <c r="C1116" s="2">
        <v>9258.0</v>
      </c>
      <c r="D1116" s="8" t="s">
        <v>12</v>
      </c>
      <c r="E1116" s="9" t="s">
        <v>58</v>
      </c>
      <c r="F1116" s="33">
        <v>1.0</v>
      </c>
      <c r="G1116" s="33">
        <v>2450.0</v>
      </c>
      <c r="H1116" s="35">
        <v>46124.0</v>
      </c>
      <c r="I1116" s="2" t="s">
        <v>14</v>
      </c>
      <c r="J1116" s="12" t="s">
        <v>833</v>
      </c>
    </row>
    <row r="1117" ht="22.5" hidden="1" customHeight="1">
      <c r="A1117" s="2" t="s">
        <v>449</v>
      </c>
      <c r="B1117" s="2" t="s">
        <v>892</v>
      </c>
      <c r="C1117" s="2" t="s">
        <v>893</v>
      </c>
      <c r="D1117" s="8">
        <v>40.0</v>
      </c>
      <c r="E1117" s="9" t="s">
        <v>18</v>
      </c>
      <c r="F1117" s="33">
        <v>1.0</v>
      </c>
      <c r="G1117" s="33">
        <v>2200.0</v>
      </c>
      <c r="H1117" s="35">
        <v>46124.0</v>
      </c>
      <c r="I1117" s="2" t="s">
        <v>14</v>
      </c>
      <c r="J1117" s="12" t="s">
        <v>899</v>
      </c>
    </row>
    <row r="1118" ht="22.5" hidden="1" customHeight="1">
      <c r="A1118" s="2" t="s">
        <v>121</v>
      </c>
      <c r="B1118" s="2" t="s">
        <v>726</v>
      </c>
      <c r="C1118" s="2">
        <v>9091.0</v>
      </c>
      <c r="D1118" s="8" t="s">
        <v>22</v>
      </c>
      <c r="E1118" s="9" t="s">
        <v>13</v>
      </c>
      <c r="F1118" s="33">
        <v>1.0</v>
      </c>
      <c r="G1118" s="33">
        <v>1950.0</v>
      </c>
      <c r="H1118" s="35">
        <v>46124.0</v>
      </c>
      <c r="I1118" s="2" t="s">
        <v>14</v>
      </c>
      <c r="J1118" s="12" t="s">
        <v>900</v>
      </c>
    </row>
    <row r="1119" ht="22.5" hidden="1" customHeight="1">
      <c r="A1119" s="2" t="s">
        <v>901</v>
      </c>
      <c r="B1119" s="2" t="s">
        <v>892</v>
      </c>
      <c r="C1119" s="2" t="s">
        <v>893</v>
      </c>
      <c r="D1119" s="8">
        <v>37.0</v>
      </c>
      <c r="E1119" s="9" t="s">
        <v>47</v>
      </c>
      <c r="F1119" s="33">
        <v>1.0</v>
      </c>
      <c r="G1119" s="33">
        <v>2200.0</v>
      </c>
      <c r="H1119" s="35">
        <v>46124.0</v>
      </c>
      <c r="I1119" s="2" t="s">
        <v>14</v>
      </c>
      <c r="J1119" s="12" t="s">
        <v>902</v>
      </c>
    </row>
    <row r="1120" ht="22.5" hidden="1" customHeight="1">
      <c r="A1120" s="2" t="s">
        <v>901</v>
      </c>
      <c r="B1120" s="2" t="s">
        <v>268</v>
      </c>
      <c r="C1120" s="2" t="s">
        <v>269</v>
      </c>
      <c r="D1120" s="8">
        <v>37.0</v>
      </c>
      <c r="E1120" s="9" t="s">
        <v>18</v>
      </c>
      <c r="F1120" s="33">
        <v>1.0</v>
      </c>
      <c r="G1120" s="33">
        <v>1990.0</v>
      </c>
      <c r="H1120" s="35">
        <v>46124.0</v>
      </c>
      <c r="I1120" s="2" t="s">
        <v>14</v>
      </c>
      <c r="J1120" s="12" t="s">
        <v>902</v>
      </c>
    </row>
    <row r="1121" ht="22.5" hidden="1" customHeight="1">
      <c r="A1121" s="2" t="s">
        <v>903</v>
      </c>
      <c r="B1121" s="2" t="s">
        <v>377</v>
      </c>
      <c r="C1121" s="2" t="s">
        <v>378</v>
      </c>
      <c r="D1121" s="8" t="s">
        <v>46</v>
      </c>
      <c r="E1121" s="9" t="s">
        <v>13</v>
      </c>
      <c r="F1121" s="33">
        <v>2.0</v>
      </c>
      <c r="G1121" s="33">
        <v>750.0</v>
      </c>
      <c r="H1121" s="35">
        <v>46124.0</v>
      </c>
      <c r="I1121" s="2" t="s">
        <v>14</v>
      </c>
      <c r="J1121" s="12" t="s">
        <v>904</v>
      </c>
    </row>
    <row r="1122" ht="22.5" hidden="1" customHeight="1">
      <c r="A1122" s="2" t="s">
        <v>903</v>
      </c>
      <c r="B1122" s="2" t="s">
        <v>377</v>
      </c>
      <c r="C1122" s="2" t="s">
        <v>378</v>
      </c>
      <c r="D1122" s="8" t="s">
        <v>46</v>
      </c>
      <c r="E1122" s="9" t="s">
        <v>18</v>
      </c>
      <c r="F1122" s="33">
        <v>2.0</v>
      </c>
      <c r="G1122" s="33">
        <v>750.0</v>
      </c>
      <c r="H1122" s="35">
        <v>46124.0</v>
      </c>
      <c r="I1122" s="2" t="s">
        <v>14</v>
      </c>
      <c r="J1122" s="12" t="s">
        <v>904</v>
      </c>
    </row>
    <row r="1123" ht="22.5" hidden="1" customHeight="1">
      <c r="A1123" s="2" t="s">
        <v>903</v>
      </c>
      <c r="B1123" s="2" t="s">
        <v>196</v>
      </c>
      <c r="C1123" s="2">
        <v>8876.0</v>
      </c>
      <c r="D1123" s="8" t="s">
        <v>12</v>
      </c>
      <c r="E1123" s="9" t="s">
        <v>18</v>
      </c>
      <c r="F1123" s="33">
        <v>1.0</v>
      </c>
      <c r="G1123" s="33">
        <v>1190.0</v>
      </c>
      <c r="H1123" s="35">
        <v>46124.0</v>
      </c>
      <c r="I1123" s="2" t="s">
        <v>14</v>
      </c>
      <c r="J1123" s="12" t="s">
        <v>904</v>
      </c>
    </row>
    <row r="1124" ht="22.5" hidden="1" customHeight="1">
      <c r="A1124" s="2" t="s">
        <v>903</v>
      </c>
      <c r="B1124" s="2" t="s">
        <v>516</v>
      </c>
      <c r="C1124" s="2" t="s">
        <v>517</v>
      </c>
      <c r="D1124" s="8" t="s">
        <v>46</v>
      </c>
      <c r="E1124" s="9" t="s">
        <v>338</v>
      </c>
      <c r="F1124" s="33">
        <v>1.0</v>
      </c>
      <c r="G1124" s="33">
        <v>1390.0</v>
      </c>
      <c r="H1124" s="35">
        <v>46124.0</v>
      </c>
      <c r="I1124" s="2" t="s">
        <v>14</v>
      </c>
      <c r="J1124" s="12" t="s">
        <v>904</v>
      </c>
    </row>
    <row r="1125" ht="22.5" hidden="1" customHeight="1">
      <c r="A1125" s="2" t="s">
        <v>905</v>
      </c>
      <c r="B1125" s="2" t="s">
        <v>892</v>
      </c>
      <c r="C1125" s="2" t="s">
        <v>893</v>
      </c>
      <c r="D1125" s="8">
        <v>37.0</v>
      </c>
      <c r="E1125" s="9" t="s">
        <v>18</v>
      </c>
      <c r="F1125" s="33">
        <v>1.0</v>
      </c>
      <c r="G1125" s="33">
        <v>2200.0</v>
      </c>
      <c r="H1125" s="35">
        <v>46124.0</v>
      </c>
      <c r="I1125" s="2" t="s">
        <v>14</v>
      </c>
      <c r="J1125" s="12" t="s">
        <v>906</v>
      </c>
    </row>
    <row r="1126" ht="22.5" hidden="1" customHeight="1">
      <c r="A1126" s="2" t="s">
        <v>69</v>
      </c>
      <c r="B1126" s="2" t="s">
        <v>377</v>
      </c>
      <c r="C1126" s="2" t="s">
        <v>378</v>
      </c>
      <c r="D1126" s="8" t="s">
        <v>46</v>
      </c>
      <c r="E1126" s="9" t="s">
        <v>47</v>
      </c>
      <c r="F1126" s="33">
        <v>1.0</v>
      </c>
      <c r="G1126" s="33">
        <v>750.0</v>
      </c>
      <c r="H1126" s="35">
        <v>46124.0</v>
      </c>
      <c r="I1126" s="2" t="s">
        <v>473</v>
      </c>
      <c r="J1126" s="12" t="s">
        <v>907</v>
      </c>
    </row>
    <row r="1127" ht="22.5" hidden="1" customHeight="1">
      <c r="A1127" s="2" t="s">
        <v>69</v>
      </c>
      <c r="B1127" s="2" t="s">
        <v>377</v>
      </c>
      <c r="C1127" s="2" t="s">
        <v>378</v>
      </c>
      <c r="D1127" s="8" t="s">
        <v>46</v>
      </c>
      <c r="E1127" s="9" t="s">
        <v>13</v>
      </c>
      <c r="F1127" s="33">
        <v>1.0</v>
      </c>
      <c r="G1127" s="33">
        <v>750.0</v>
      </c>
      <c r="H1127" s="35">
        <v>46124.0</v>
      </c>
      <c r="I1127" s="2" t="s">
        <v>473</v>
      </c>
      <c r="J1127" s="12" t="s">
        <v>907</v>
      </c>
    </row>
    <row r="1128" ht="22.5" hidden="1" customHeight="1">
      <c r="A1128" s="2" t="s">
        <v>908</v>
      </c>
      <c r="B1128" s="2" t="s">
        <v>762</v>
      </c>
      <c r="C1128" s="2" t="s">
        <v>763</v>
      </c>
      <c r="D1128" s="8" t="s">
        <v>46</v>
      </c>
      <c r="E1128" s="9" t="s">
        <v>909</v>
      </c>
      <c r="F1128" s="33">
        <v>1.0</v>
      </c>
      <c r="G1128" s="33">
        <v>1990.0</v>
      </c>
      <c r="H1128" s="35">
        <v>46125.0</v>
      </c>
      <c r="I1128" s="2" t="s">
        <v>14</v>
      </c>
      <c r="J1128" s="12" t="s">
        <v>910</v>
      </c>
    </row>
    <row r="1129" ht="22.5" hidden="1" customHeight="1">
      <c r="A1129" s="2" t="s">
        <v>911</v>
      </c>
      <c r="B1129" s="2" t="s">
        <v>97</v>
      </c>
      <c r="C1129" s="2">
        <v>8748.0</v>
      </c>
      <c r="D1129" s="8" t="s">
        <v>12</v>
      </c>
      <c r="E1129" s="9" t="s">
        <v>58</v>
      </c>
      <c r="F1129" s="33">
        <v>1.0</v>
      </c>
      <c r="G1129" s="33">
        <v>1800.0</v>
      </c>
      <c r="H1129" s="35">
        <v>46125.0</v>
      </c>
      <c r="I1129" s="2" t="s">
        <v>14</v>
      </c>
      <c r="J1129" s="2"/>
    </row>
    <row r="1130" ht="22.5" hidden="1" customHeight="1">
      <c r="A1130" s="2" t="s">
        <v>839</v>
      </c>
      <c r="B1130" s="2" t="s">
        <v>912</v>
      </c>
      <c r="C1130" s="2" t="s">
        <v>913</v>
      </c>
      <c r="D1130" s="8" t="s">
        <v>75</v>
      </c>
      <c r="E1130" s="9" t="s">
        <v>914</v>
      </c>
      <c r="F1130" s="33">
        <v>1.0</v>
      </c>
      <c r="G1130" s="33">
        <v>1650.0</v>
      </c>
      <c r="H1130" s="35">
        <v>46125.0</v>
      </c>
      <c r="I1130" s="2" t="s">
        <v>14</v>
      </c>
      <c r="J1130" s="12" t="s">
        <v>840</v>
      </c>
    </row>
    <row r="1131" ht="22.5" hidden="1" customHeight="1">
      <c r="A1131" s="2" t="s">
        <v>769</v>
      </c>
      <c r="B1131" s="2" t="s">
        <v>912</v>
      </c>
      <c r="C1131" s="2" t="s">
        <v>913</v>
      </c>
      <c r="D1131" s="8" t="s">
        <v>75</v>
      </c>
      <c r="E1131" s="9" t="s">
        <v>338</v>
      </c>
      <c r="F1131" s="33">
        <v>1.0</v>
      </c>
      <c r="G1131" s="33">
        <v>1650.0</v>
      </c>
      <c r="H1131" s="35">
        <v>46125.0</v>
      </c>
      <c r="I1131" s="2" t="s">
        <v>14</v>
      </c>
      <c r="J1131" s="12" t="s">
        <v>771</v>
      </c>
    </row>
    <row r="1132" ht="22.5" hidden="1" customHeight="1">
      <c r="A1132" s="2" t="s">
        <v>769</v>
      </c>
      <c r="B1132" s="2" t="s">
        <v>912</v>
      </c>
      <c r="C1132" s="2" t="s">
        <v>913</v>
      </c>
      <c r="D1132" s="8" t="s">
        <v>75</v>
      </c>
      <c r="E1132" s="9" t="s">
        <v>16</v>
      </c>
      <c r="F1132" s="33">
        <v>1.0</v>
      </c>
      <c r="G1132" s="33">
        <v>1650.0</v>
      </c>
      <c r="H1132" s="35">
        <v>46125.0</v>
      </c>
      <c r="I1132" s="2" t="s">
        <v>14</v>
      </c>
      <c r="J1132" s="12" t="s">
        <v>771</v>
      </c>
    </row>
    <row r="1133" ht="22.5" hidden="1" customHeight="1">
      <c r="A1133" s="2" t="s">
        <v>449</v>
      </c>
      <c r="B1133" s="2" t="s">
        <v>915</v>
      </c>
      <c r="C1133" s="2" t="s">
        <v>916</v>
      </c>
      <c r="D1133" s="8">
        <v>39.0</v>
      </c>
      <c r="E1133" s="9" t="s">
        <v>47</v>
      </c>
      <c r="F1133" s="33">
        <v>1.0</v>
      </c>
      <c r="G1133" s="33">
        <v>1950.0</v>
      </c>
      <c r="H1133" s="35">
        <v>46125.0</v>
      </c>
      <c r="I1133" s="2" t="s">
        <v>14</v>
      </c>
      <c r="J1133" s="12" t="s">
        <v>450</v>
      </c>
    </row>
    <row r="1134" ht="22.5" hidden="1" customHeight="1">
      <c r="A1134" s="2" t="s">
        <v>917</v>
      </c>
      <c r="B1134" s="2" t="s">
        <v>726</v>
      </c>
      <c r="C1134" s="2">
        <v>9091.0</v>
      </c>
      <c r="D1134" s="8" t="s">
        <v>22</v>
      </c>
      <c r="E1134" s="9" t="s">
        <v>58</v>
      </c>
      <c r="F1134" s="33">
        <v>1.0</v>
      </c>
      <c r="G1134" s="33">
        <v>1950.0</v>
      </c>
      <c r="H1134" s="35">
        <v>46125.0</v>
      </c>
      <c r="I1134" s="2" t="s">
        <v>14</v>
      </c>
      <c r="J1134" s="12" t="s">
        <v>918</v>
      </c>
    </row>
    <row r="1135" ht="22.5" hidden="1" customHeight="1">
      <c r="A1135" s="2" t="s">
        <v>917</v>
      </c>
      <c r="B1135" s="2" t="s">
        <v>762</v>
      </c>
      <c r="C1135" s="2" t="s">
        <v>763</v>
      </c>
      <c r="D1135" s="8" t="s">
        <v>46</v>
      </c>
      <c r="E1135" s="9" t="s">
        <v>919</v>
      </c>
      <c r="F1135" s="33">
        <v>1.0</v>
      </c>
      <c r="G1135" s="33">
        <v>1.0</v>
      </c>
      <c r="H1135" s="35">
        <v>46125.0</v>
      </c>
      <c r="I1135" s="2" t="s">
        <v>14</v>
      </c>
      <c r="J1135" s="12" t="s">
        <v>918</v>
      </c>
    </row>
    <row r="1136" ht="22.5" hidden="1" customHeight="1">
      <c r="A1136" s="2" t="s">
        <v>325</v>
      </c>
      <c r="B1136" s="2" t="s">
        <v>377</v>
      </c>
      <c r="C1136" s="2" t="s">
        <v>378</v>
      </c>
      <c r="D1136" s="8" t="s">
        <v>46</v>
      </c>
      <c r="E1136" s="9" t="s">
        <v>13</v>
      </c>
      <c r="F1136" s="33">
        <v>1.0</v>
      </c>
      <c r="G1136" s="33">
        <v>750.0</v>
      </c>
      <c r="H1136" s="35">
        <v>46125.0</v>
      </c>
      <c r="I1136" s="2" t="s">
        <v>14</v>
      </c>
      <c r="J1136" s="12" t="s">
        <v>920</v>
      </c>
    </row>
    <row r="1137" ht="22.5" hidden="1" customHeight="1">
      <c r="A1137" s="2" t="s">
        <v>325</v>
      </c>
      <c r="B1137" s="2" t="s">
        <v>377</v>
      </c>
      <c r="C1137" s="2" t="s">
        <v>378</v>
      </c>
      <c r="D1137" s="8" t="s">
        <v>46</v>
      </c>
      <c r="E1137" s="9" t="s">
        <v>23</v>
      </c>
      <c r="F1137" s="33">
        <v>1.0</v>
      </c>
      <c r="G1137" s="33">
        <v>750.0</v>
      </c>
      <c r="H1137" s="35">
        <v>46125.0</v>
      </c>
      <c r="I1137" s="2" t="s">
        <v>14</v>
      </c>
      <c r="J1137" s="12" t="s">
        <v>920</v>
      </c>
    </row>
    <row r="1138" ht="22.5" hidden="1" customHeight="1">
      <c r="A1138" s="2" t="s">
        <v>921</v>
      </c>
      <c r="B1138" s="2" t="s">
        <v>336</v>
      </c>
      <c r="C1138" s="2">
        <v>81813.0</v>
      </c>
      <c r="D1138" s="8" t="s">
        <v>46</v>
      </c>
      <c r="E1138" s="9" t="s">
        <v>13</v>
      </c>
      <c r="F1138" s="33">
        <v>1.0</v>
      </c>
      <c r="G1138" s="33">
        <v>1100.0</v>
      </c>
      <c r="H1138" s="35">
        <v>46125.0</v>
      </c>
      <c r="I1138" s="2" t="s">
        <v>14</v>
      </c>
      <c r="J1138" s="12" t="s">
        <v>922</v>
      </c>
    </row>
    <row r="1139" ht="22.5" hidden="1" customHeight="1">
      <c r="A1139" s="2" t="s">
        <v>921</v>
      </c>
      <c r="B1139" s="2" t="s">
        <v>336</v>
      </c>
      <c r="C1139" s="2">
        <v>81813.0</v>
      </c>
      <c r="D1139" s="8" t="s">
        <v>46</v>
      </c>
      <c r="E1139" s="9" t="s">
        <v>16</v>
      </c>
      <c r="F1139" s="33">
        <v>1.0</v>
      </c>
      <c r="G1139" s="33">
        <v>1100.0</v>
      </c>
      <c r="H1139" s="35">
        <v>46125.0</v>
      </c>
      <c r="I1139" s="2" t="s">
        <v>14</v>
      </c>
      <c r="J1139" s="12" t="s">
        <v>922</v>
      </c>
    </row>
    <row r="1140" ht="22.5" hidden="1" customHeight="1">
      <c r="A1140" s="2" t="s">
        <v>921</v>
      </c>
      <c r="B1140" s="2" t="s">
        <v>440</v>
      </c>
      <c r="C1140" s="2" t="s">
        <v>441</v>
      </c>
      <c r="D1140" s="8" t="s">
        <v>46</v>
      </c>
      <c r="E1140" s="9" t="s">
        <v>26</v>
      </c>
      <c r="F1140" s="33">
        <v>1.0</v>
      </c>
      <c r="G1140" s="33">
        <v>1200.0</v>
      </c>
      <c r="H1140" s="35">
        <v>46125.0</v>
      </c>
      <c r="I1140" s="2" t="s">
        <v>14</v>
      </c>
      <c r="J1140" s="12" t="s">
        <v>922</v>
      </c>
    </row>
    <row r="1141" ht="22.5" hidden="1" customHeight="1">
      <c r="A1141" s="2" t="s">
        <v>921</v>
      </c>
      <c r="B1141" s="2" t="s">
        <v>182</v>
      </c>
      <c r="C1141" s="2">
        <v>9369.0</v>
      </c>
      <c r="D1141" s="8" t="s">
        <v>12</v>
      </c>
      <c r="E1141" s="9" t="s">
        <v>58</v>
      </c>
      <c r="F1141" s="33">
        <v>1.0</v>
      </c>
      <c r="G1141" s="33">
        <v>2400.0</v>
      </c>
      <c r="H1141" s="35">
        <v>46125.0</v>
      </c>
      <c r="I1141" s="2" t="s">
        <v>14</v>
      </c>
      <c r="J1141" s="12" t="s">
        <v>922</v>
      </c>
    </row>
    <row r="1142" ht="22.5" hidden="1" customHeight="1">
      <c r="A1142" s="2" t="s">
        <v>921</v>
      </c>
      <c r="B1142" s="2" t="s">
        <v>97</v>
      </c>
      <c r="C1142" s="2">
        <v>8748.0</v>
      </c>
      <c r="D1142" s="8" t="s">
        <v>12</v>
      </c>
      <c r="E1142" s="9" t="s">
        <v>58</v>
      </c>
      <c r="F1142" s="33">
        <v>1.0</v>
      </c>
      <c r="G1142" s="33">
        <v>1800.0</v>
      </c>
      <c r="H1142" s="35">
        <v>46125.0</v>
      </c>
      <c r="I1142" s="2" t="s">
        <v>14</v>
      </c>
      <c r="J1142" s="12" t="s">
        <v>922</v>
      </c>
    </row>
    <row r="1143" ht="22.5" hidden="1" customHeight="1">
      <c r="A1143" s="2" t="s">
        <v>921</v>
      </c>
      <c r="B1143" s="2" t="s">
        <v>892</v>
      </c>
      <c r="C1143" s="2" t="s">
        <v>893</v>
      </c>
      <c r="D1143" s="8">
        <v>37.0</v>
      </c>
      <c r="E1143" s="9" t="s">
        <v>47</v>
      </c>
      <c r="F1143" s="33">
        <v>1.0</v>
      </c>
      <c r="G1143" s="33">
        <v>2200.0</v>
      </c>
      <c r="H1143" s="35">
        <v>46125.0</v>
      </c>
      <c r="I1143" s="2" t="s">
        <v>14</v>
      </c>
      <c r="J1143" s="12" t="s">
        <v>922</v>
      </c>
    </row>
    <row r="1144" ht="22.5" hidden="1" customHeight="1">
      <c r="A1144" s="2" t="s">
        <v>923</v>
      </c>
      <c r="B1144" s="2" t="s">
        <v>892</v>
      </c>
      <c r="C1144" s="2" t="s">
        <v>893</v>
      </c>
      <c r="D1144" s="8">
        <v>39.0</v>
      </c>
      <c r="E1144" s="9" t="s">
        <v>47</v>
      </c>
      <c r="F1144" s="33">
        <v>1.0</v>
      </c>
      <c r="G1144" s="33">
        <v>2200.0</v>
      </c>
      <c r="H1144" s="35">
        <v>46125.0</v>
      </c>
      <c r="I1144" s="2" t="s">
        <v>14</v>
      </c>
      <c r="J1144" s="12" t="s">
        <v>924</v>
      </c>
    </row>
    <row r="1145" ht="22.5" hidden="1" customHeight="1">
      <c r="A1145" s="2" t="s">
        <v>923</v>
      </c>
      <c r="B1145" s="2" t="s">
        <v>762</v>
      </c>
      <c r="C1145" s="2" t="s">
        <v>763</v>
      </c>
      <c r="D1145" s="8" t="s">
        <v>46</v>
      </c>
      <c r="E1145" s="9" t="s">
        <v>925</v>
      </c>
      <c r="F1145" s="33">
        <v>1.0</v>
      </c>
      <c r="G1145" s="33">
        <v>1.0</v>
      </c>
      <c r="H1145" s="35">
        <v>46125.0</v>
      </c>
      <c r="I1145" s="2" t="s">
        <v>14</v>
      </c>
      <c r="J1145" s="12" t="s">
        <v>924</v>
      </c>
    </row>
    <row r="1146" ht="22.5" hidden="1" customHeight="1">
      <c r="A1146" s="2" t="s">
        <v>926</v>
      </c>
      <c r="B1146" s="2" t="s">
        <v>440</v>
      </c>
      <c r="C1146" s="2" t="s">
        <v>441</v>
      </c>
      <c r="D1146" s="8" t="s">
        <v>46</v>
      </c>
      <c r="E1146" s="9" t="s">
        <v>16</v>
      </c>
      <c r="F1146" s="33">
        <v>1.0</v>
      </c>
      <c r="G1146" s="33">
        <v>1200.0</v>
      </c>
      <c r="H1146" s="35">
        <v>46125.0</v>
      </c>
      <c r="I1146" s="2" t="s">
        <v>14</v>
      </c>
      <c r="J1146" s="12" t="s">
        <v>927</v>
      </c>
    </row>
    <row r="1147" ht="22.5" hidden="1" customHeight="1">
      <c r="A1147" s="2" t="s">
        <v>926</v>
      </c>
      <c r="B1147" s="2" t="s">
        <v>440</v>
      </c>
      <c r="C1147" s="2" t="s">
        <v>441</v>
      </c>
      <c r="D1147" s="8" t="s">
        <v>46</v>
      </c>
      <c r="E1147" s="9" t="s">
        <v>447</v>
      </c>
      <c r="F1147" s="33">
        <v>1.0</v>
      </c>
      <c r="G1147" s="33">
        <v>1200.0</v>
      </c>
      <c r="H1147" s="35">
        <v>46125.0</v>
      </c>
      <c r="I1147" s="2" t="s">
        <v>14</v>
      </c>
      <c r="J1147" s="12" t="s">
        <v>927</v>
      </c>
    </row>
    <row r="1148" ht="22.5" hidden="1" customHeight="1">
      <c r="A1148" s="2" t="s">
        <v>928</v>
      </c>
      <c r="B1148" s="2" t="s">
        <v>268</v>
      </c>
      <c r="C1148" s="2" t="s">
        <v>269</v>
      </c>
      <c r="D1148" s="8">
        <v>38.0</v>
      </c>
      <c r="E1148" s="9" t="s">
        <v>47</v>
      </c>
      <c r="F1148" s="33">
        <v>1.0</v>
      </c>
      <c r="G1148" s="33">
        <v>1990.0</v>
      </c>
      <c r="H1148" s="35">
        <v>46125.0</v>
      </c>
      <c r="I1148" s="2" t="s">
        <v>14</v>
      </c>
      <c r="J1148" s="12" t="s">
        <v>929</v>
      </c>
    </row>
    <row r="1149" ht="22.5" hidden="1" customHeight="1">
      <c r="A1149" s="2" t="s">
        <v>772</v>
      </c>
      <c r="B1149" s="2" t="s">
        <v>196</v>
      </c>
      <c r="C1149" s="2">
        <v>8876.0</v>
      </c>
      <c r="D1149" s="8" t="s">
        <v>22</v>
      </c>
      <c r="E1149" s="9" t="s">
        <v>16</v>
      </c>
      <c r="F1149" s="33">
        <v>1.0</v>
      </c>
      <c r="G1149" s="33">
        <v>1190.0</v>
      </c>
      <c r="H1149" s="35">
        <v>46125.0</v>
      </c>
      <c r="I1149" s="2" t="s">
        <v>14</v>
      </c>
      <c r="J1149" s="12" t="s">
        <v>774</v>
      </c>
    </row>
    <row r="1150" ht="22.5" hidden="1" customHeight="1">
      <c r="A1150" s="2" t="s">
        <v>772</v>
      </c>
      <c r="B1150" s="2" t="s">
        <v>196</v>
      </c>
      <c r="C1150" s="2">
        <v>8876.0</v>
      </c>
      <c r="D1150" s="8" t="s">
        <v>22</v>
      </c>
      <c r="E1150" s="9" t="s">
        <v>13</v>
      </c>
      <c r="F1150" s="33">
        <v>1.0</v>
      </c>
      <c r="G1150" s="33">
        <v>1190.0</v>
      </c>
      <c r="H1150" s="35">
        <v>46125.0</v>
      </c>
      <c r="I1150" s="2" t="s">
        <v>14</v>
      </c>
      <c r="J1150" s="12" t="s">
        <v>774</v>
      </c>
    </row>
    <row r="1151" ht="22.5" hidden="1" customHeight="1">
      <c r="A1151" s="2" t="s">
        <v>930</v>
      </c>
      <c r="B1151" s="2" t="s">
        <v>892</v>
      </c>
      <c r="C1151" s="2" t="s">
        <v>893</v>
      </c>
      <c r="D1151" s="8">
        <v>38.0</v>
      </c>
      <c r="E1151" s="9" t="s">
        <v>18</v>
      </c>
      <c r="F1151" s="33">
        <v>1.0</v>
      </c>
      <c r="G1151" s="33">
        <v>2200.0</v>
      </c>
      <c r="H1151" s="35">
        <v>46125.0</v>
      </c>
      <c r="I1151" s="2" t="s">
        <v>14</v>
      </c>
      <c r="J1151" s="12" t="s">
        <v>931</v>
      </c>
    </row>
    <row r="1152" ht="22.5" hidden="1" customHeight="1">
      <c r="A1152" s="2" t="s">
        <v>932</v>
      </c>
      <c r="B1152" s="2" t="s">
        <v>152</v>
      </c>
      <c r="C1152" s="2">
        <v>8319.0</v>
      </c>
      <c r="D1152" s="8" t="s">
        <v>12</v>
      </c>
      <c r="E1152" s="9" t="s">
        <v>58</v>
      </c>
      <c r="F1152" s="33">
        <v>1.0</v>
      </c>
      <c r="G1152" s="33">
        <v>1800.0</v>
      </c>
      <c r="H1152" s="35">
        <v>46125.0</v>
      </c>
      <c r="I1152" s="2" t="s">
        <v>14</v>
      </c>
      <c r="J1152" s="12" t="s">
        <v>933</v>
      </c>
    </row>
    <row r="1153" ht="22.5" hidden="1" customHeight="1">
      <c r="A1153" s="2" t="s">
        <v>932</v>
      </c>
      <c r="B1153" s="2" t="s">
        <v>377</v>
      </c>
      <c r="C1153" s="2" t="s">
        <v>378</v>
      </c>
      <c r="D1153" s="8" t="s">
        <v>46</v>
      </c>
      <c r="E1153" s="9" t="s">
        <v>18</v>
      </c>
      <c r="F1153" s="33">
        <v>1.0</v>
      </c>
      <c r="G1153" s="33">
        <v>750.0</v>
      </c>
      <c r="H1153" s="35">
        <v>46125.0</v>
      </c>
      <c r="I1153" s="2" t="s">
        <v>14</v>
      </c>
      <c r="J1153" s="12" t="s">
        <v>933</v>
      </c>
    </row>
    <row r="1154" ht="22.5" hidden="1" customHeight="1">
      <c r="A1154" s="2" t="s">
        <v>932</v>
      </c>
      <c r="B1154" s="2" t="s">
        <v>377</v>
      </c>
      <c r="C1154" s="2" t="s">
        <v>378</v>
      </c>
      <c r="D1154" s="8" t="s">
        <v>46</v>
      </c>
      <c r="E1154" s="9" t="s">
        <v>13</v>
      </c>
      <c r="F1154" s="33">
        <v>1.0</v>
      </c>
      <c r="G1154" s="33">
        <v>750.0</v>
      </c>
      <c r="H1154" s="35">
        <v>46125.0</v>
      </c>
      <c r="I1154" s="2" t="s">
        <v>14</v>
      </c>
      <c r="J1154" s="12" t="s">
        <v>933</v>
      </c>
    </row>
    <row r="1155" ht="22.5" hidden="1" customHeight="1">
      <c r="A1155" s="2" t="s">
        <v>934</v>
      </c>
      <c r="B1155" s="2" t="s">
        <v>935</v>
      </c>
      <c r="C1155" s="2">
        <v>1302.0</v>
      </c>
      <c r="D1155" s="8" t="s">
        <v>46</v>
      </c>
      <c r="E1155" s="9">
        <v>1.0</v>
      </c>
      <c r="F1155" s="33">
        <v>1.0</v>
      </c>
      <c r="G1155" s="33">
        <v>1200.0</v>
      </c>
      <c r="H1155" s="35">
        <v>46125.0</v>
      </c>
      <c r="I1155" s="2" t="s">
        <v>14</v>
      </c>
      <c r="J1155" s="12" t="s">
        <v>936</v>
      </c>
    </row>
    <row r="1156" ht="22.5" hidden="1" customHeight="1">
      <c r="A1156" s="2" t="s">
        <v>934</v>
      </c>
      <c r="B1156" s="2" t="s">
        <v>935</v>
      </c>
      <c r="C1156" s="2">
        <v>1302.0</v>
      </c>
      <c r="D1156" s="8" t="s">
        <v>46</v>
      </c>
      <c r="E1156" s="9">
        <v>6.0</v>
      </c>
      <c r="F1156" s="33">
        <v>1.0</v>
      </c>
      <c r="G1156" s="33">
        <v>1200.0</v>
      </c>
      <c r="H1156" s="35">
        <v>46125.0</v>
      </c>
      <c r="I1156" s="2" t="s">
        <v>14</v>
      </c>
      <c r="J1156" s="12" t="s">
        <v>936</v>
      </c>
    </row>
    <row r="1157" ht="22.5" hidden="1" customHeight="1">
      <c r="A1157" s="2" t="s">
        <v>934</v>
      </c>
      <c r="B1157" s="2" t="s">
        <v>377</v>
      </c>
      <c r="C1157" s="2" t="s">
        <v>378</v>
      </c>
      <c r="D1157" s="8" t="s">
        <v>46</v>
      </c>
      <c r="E1157" s="9" t="s">
        <v>13</v>
      </c>
      <c r="F1157" s="33">
        <v>1.0</v>
      </c>
      <c r="G1157" s="33">
        <v>750.0</v>
      </c>
      <c r="H1157" s="35">
        <v>46125.0</v>
      </c>
      <c r="I1157" s="2" t="s">
        <v>14</v>
      </c>
      <c r="J1157" s="12" t="s">
        <v>936</v>
      </c>
    </row>
    <row r="1158" ht="22.5" hidden="1" customHeight="1">
      <c r="A1158" s="2" t="s">
        <v>934</v>
      </c>
      <c r="B1158" s="2" t="s">
        <v>377</v>
      </c>
      <c r="C1158" s="2" t="s">
        <v>378</v>
      </c>
      <c r="D1158" s="8" t="s">
        <v>46</v>
      </c>
      <c r="E1158" s="9" t="s">
        <v>23</v>
      </c>
      <c r="F1158" s="33">
        <v>1.0</v>
      </c>
      <c r="G1158" s="33">
        <v>750.0</v>
      </c>
      <c r="H1158" s="35">
        <v>46125.0</v>
      </c>
      <c r="I1158" s="2" t="s">
        <v>14</v>
      </c>
      <c r="J1158" s="12" t="s">
        <v>936</v>
      </c>
    </row>
    <row r="1159" ht="22.5" hidden="1" customHeight="1">
      <c r="A1159" s="2" t="s">
        <v>937</v>
      </c>
      <c r="B1159" s="2" t="s">
        <v>824</v>
      </c>
      <c r="C1159" s="2">
        <v>9258.0</v>
      </c>
      <c r="D1159" s="8" t="s">
        <v>75</v>
      </c>
      <c r="E1159" s="9" t="s">
        <v>58</v>
      </c>
      <c r="F1159" s="33">
        <v>1.0</v>
      </c>
      <c r="G1159" s="33">
        <v>2450.0</v>
      </c>
      <c r="H1159" s="35">
        <v>46125.0</v>
      </c>
      <c r="I1159" s="2" t="s">
        <v>14</v>
      </c>
      <c r="J1159" s="12" t="s">
        <v>938</v>
      </c>
    </row>
    <row r="1160" ht="22.5" hidden="1" customHeight="1">
      <c r="A1160" s="2" t="s">
        <v>937</v>
      </c>
      <c r="B1160" s="2" t="s">
        <v>440</v>
      </c>
      <c r="C1160" s="2" t="s">
        <v>441</v>
      </c>
      <c r="D1160" s="8" t="s">
        <v>46</v>
      </c>
      <c r="E1160" s="9" t="s">
        <v>47</v>
      </c>
      <c r="F1160" s="33">
        <v>1.0</v>
      </c>
      <c r="G1160" s="33">
        <v>1200.0</v>
      </c>
      <c r="H1160" s="35">
        <v>46125.0</v>
      </c>
      <c r="I1160" s="2" t="s">
        <v>14</v>
      </c>
      <c r="J1160" s="12" t="s">
        <v>938</v>
      </c>
    </row>
    <row r="1161" ht="22.5" hidden="1" customHeight="1">
      <c r="A1161" s="2" t="s">
        <v>937</v>
      </c>
      <c r="B1161" s="2" t="s">
        <v>440</v>
      </c>
      <c r="C1161" s="2" t="s">
        <v>441</v>
      </c>
      <c r="D1161" s="8" t="s">
        <v>46</v>
      </c>
      <c r="E1161" s="9" t="s">
        <v>447</v>
      </c>
      <c r="F1161" s="33">
        <v>1.0</v>
      </c>
      <c r="G1161" s="33">
        <v>1200.0</v>
      </c>
      <c r="H1161" s="35">
        <v>46125.0</v>
      </c>
      <c r="I1161" s="2" t="s">
        <v>14</v>
      </c>
      <c r="J1161" s="12" t="s">
        <v>938</v>
      </c>
    </row>
    <row r="1162" ht="22.5" hidden="1" customHeight="1">
      <c r="A1162" s="2" t="s">
        <v>939</v>
      </c>
      <c r="B1162" s="2" t="s">
        <v>268</v>
      </c>
      <c r="C1162" s="2" t="s">
        <v>269</v>
      </c>
      <c r="D1162" s="8">
        <v>36.0</v>
      </c>
      <c r="E1162" s="9" t="s">
        <v>18</v>
      </c>
      <c r="F1162" s="33">
        <v>1.0</v>
      </c>
      <c r="G1162" s="33">
        <v>1990.0</v>
      </c>
      <c r="H1162" s="35">
        <v>46125.0</v>
      </c>
      <c r="I1162" s="2" t="s">
        <v>14</v>
      </c>
      <c r="J1162" s="12" t="s">
        <v>940</v>
      </c>
    </row>
    <row r="1163" ht="22.5" hidden="1" customHeight="1">
      <c r="A1163" s="2" t="s">
        <v>941</v>
      </c>
      <c r="B1163" s="2" t="s">
        <v>268</v>
      </c>
      <c r="C1163" s="2" t="s">
        <v>269</v>
      </c>
      <c r="D1163" s="8">
        <v>35.0</v>
      </c>
      <c r="E1163" s="9" t="s">
        <v>47</v>
      </c>
      <c r="F1163" s="33">
        <v>1.0</v>
      </c>
      <c r="G1163" s="33">
        <v>1990.0</v>
      </c>
      <c r="H1163" s="35">
        <v>46125.0</v>
      </c>
      <c r="I1163" s="2" t="s">
        <v>14</v>
      </c>
      <c r="J1163" s="12" t="s">
        <v>942</v>
      </c>
    </row>
    <row r="1164" ht="22.5" hidden="1" customHeight="1">
      <c r="A1164" s="2" t="s">
        <v>941</v>
      </c>
      <c r="B1164" s="2" t="s">
        <v>234</v>
      </c>
      <c r="C1164" s="2">
        <v>8740.0</v>
      </c>
      <c r="D1164" s="8" t="s">
        <v>22</v>
      </c>
      <c r="E1164" s="9" t="s">
        <v>13</v>
      </c>
      <c r="F1164" s="33">
        <v>1.0</v>
      </c>
      <c r="G1164" s="33">
        <v>1600.0</v>
      </c>
      <c r="H1164" s="35">
        <v>46125.0</v>
      </c>
      <c r="I1164" s="2" t="s">
        <v>14</v>
      </c>
      <c r="J1164" s="12" t="s">
        <v>942</v>
      </c>
    </row>
    <row r="1165" ht="22.5" hidden="1" customHeight="1">
      <c r="A1165" s="2" t="s">
        <v>943</v>
      </c>
      <c r="B1165" s="2" t="s">
        <v>892</v>
      </c>
      <c r="C1165" s="2" t="s">
        <v>893</v>
      </c>
      <c r="D1165" s="8">
        <v>36.0</v>
      </c>
      <c r="E1165" s="9" t="s">
        <v>18</v>
      </c>
      <c r="F1165" s="33">
        <v>1.0</v>
      </c>
      <c r="G1165" s="33">
        <v>2200.0</v>
      </c>
      <c r="H1165" s="35">
        <v>46125.0</v>
      </c>
      <c r="I1165" s="2" t="s">
        <v>14</v>
      </c>
      <c r="J1165" s="12" t="s">
        <v>944</v>
      </c>
    </row>
    <row r="1166" ht="22.5" hidden="1" customHeight="1">
      <c r="A1166" s="2" t="s">
        <v>835</v>
      </c>
      <c r="B1166" s="2" t="s">
        <v>915</v>
      </c>
      <c r="C1166" s="2" t="s">
        <v>916</v>
      </c>
      <c r="D1166" s="8">
        <v>37.0</v>
      </c>
      <c r="E1166" s="9" t="s">
        <v>47</v>
      </c>
      <c r="F1166" s="33">
        <v>1.0</v>
      </c>
      <c r="G1166" s="33">
        <v>1950.0</v>
      </c>
      <c r="H1166" s="35">
        <v>46125.0</v>
      </c>
      <c r="I1166" s="2" t="s">
        <v>14</v>
      </c>
      <c r="J1166" s="12" t="s">
        <v>945</v>
      </c>
    </row>
    <row r="1167" ht="22.5" hidden="1" customHeight="1">
      <c r="A1167" s="2" t="s">
        <v>946</v>
      </c>
      <c r="B1167" s="2" t="s">
        <v>755</v>
      </c>
      <c r="C1167" s="2">
        <v>8558.0</v>
      </c>
      <c r="D1167" s="8" t="s">
        <v>22</v>
      </c>
      <c r="E1167" s="9" t="s">
        <v>58</v>
      </c>
      <c r="F1167" s="33">
        <v>1.0</v>
      </c>
      <c r="G1167" s="33">
        <v>1390.0</v>
      </c>
      <c r="H1167" s="35">
        <v>46125.0</v>
      </c>
      <c r="I1167" s="2" t="s">
        <v>14</v>
      </c>
      <c r="J1167" s="2"/>
    </row>
    <row r="1168" ht="22.5" hidden="1" customHeight="1">
      <c r="A1168" s="2" t="s">
        <v>946</v>
      </c>
      <c r="B1168" s="2" t="s">
        <v>755</v>
      </c>
      <c r="C1168" s="2">
        <v>8558.0</v>
      </c>
      <c r="D1168" s="8" t="s">
        <v>22</v>
      </c>
      <c r="E1168" s="9" t="s">
        <v>16</v>
      </c>
      <c r="F1168" s="33">
        <v>1.0</v>
      </c>
      <c r="G1168" s="33">
        <v>1390.0</v>
      </c>
      <c r="H1168" s="35">
        <v>46125.0</v>
      </c>
      <c r="I1168" s="2" t="s">
        <v>14</v>
      </c>
      <c r="J1168" s="2"/>
    </row>
    <row r="1169" ht="22.5" hidden="1" customHeight="1">
      <c r="A1169" s="2" t="s">
        <v>946</v>
      </c>
      <c r="B1169" s="2" t="s">
        <v>892</v>
      </c>
      <c r="C1169" s="2" t="s">
        <v>893</v>
      </c>
      <c r="D1169" s="8">
        <v>37.0</v>
      </c>
      <c r="E1169" s="9" t="s">
        <v>47</v>
      </c>
      <c r="F1169" s="33">
        <v>1.0</v>
      </c>
      <c r="G1169" s="33">
        <v>2200.0</v>
      </c>
      <c r="H1169" s="35">
        <v>46125.0</v>
      </c>
      <c r="I1169" s="2" t="s">
        <v>14</v>
      </c>
      <c r="J1169" s="2"/>
    </row>
    <row r="1170" ht="22.5" hidden="1" customHeight="1">
      <c r="A1170" s="2" t="s">
        <v>325</v>
      </c>
      <c r="B1170" s="2" t="s">
        <v>268</v>
      </c>
      <c r="C1170" s="2" t="s">
        <v>269</v>
      </c>
      <c r="D1170" s="8">
        <v>38.0</v>
      </c>
      <c r="E1170" s="9" t="s">
        <v>18</v>
      </c>
      <c r="F1170" s="33">
        <v>1.0</v>
      </c>
      <c r="G1170" s="33">
        <v>1990.0</v>
      </c>
      <c r="H1170" s="35">
        <v>46125.0</v>
      </c>
      <c r="I1170" s="2" t="s">
        <v>14</v>
      </c>
      <c r="J1170" s="12" t="s">
        <v>947</v>
      </c>
    </row>
    <row r="1171" ht="22.5" hidden="1" customHeight="1">
      <c r="A1171" s="2" t="s">
        <v>325</v>
      </c>
      <c r="B1171" s="2" t="s">
        <v>516</v>
      </c>
      <c r="C1171" s="2" t="s">
        <v>517</v>
      </c>
      <c r="D1171" s="8" t="s">
        <v>46</v>
      </c>
      <c r="E1171" s="9" t="s">
        <v>338</v>
      </c>
      <c r="F1171" s="33">
        <v>1.0</v>
      </c>
      <c r="G1171" s="33">
        <v>1390.0</v>
      </c>
      <c r="H1171" s="35">
        <v>46125.0</v>
      </c>
      <c r="I1171" s="2" t="s">
        <v>14</v>
      </c>
      <c r="J1171" s="12" t="s">
        <v>947</v>
      </c>
    </row>
    <row r="1172" ht="22.5" hidden="1" customHeight="1">
      <c r="A1172" s="2" t="s">
        <v>526</v>
      </c>
      <c r="B1172" s="2" t="s">
        <v>824</v>
      </c>
      <c r="C1172" s="2">
        <v>9258.0</v>
      </c>
      <c r="D1172" s="8" t="s">
        <v>22</v>
      </c>
      <c r="E1172" s="9" t="s">
        <v>58</v>
      </c>
      <c r="F1172" s="33">
        <v>1.0</v>
      </c>
      <c r="G1172" s="33">
        <v>2450.0</v>
      </c>
      <c r="H1172" s="35">
        <v>46125.0</v>
      </c>
      <c r="I1172" s="2" t="s">
        <v>14</v>
      </c>
      <c r="J1172" s="12" t="s">
        <v>527</v>
      </c>
    </row>
    <row r="1173" ht="22.5" hidden="1" customHeight="1">
      <c r="A1173" s="2" t="s">
        <v>948</v>
      </c>
      <c r="B1173" s="2" t="s">
        <v>892</v>
      </c>
      <c r="C1173" s="2" t="s">
        <v>893</v>
      </c>
      <c r="D1173" s="8">
        <v>36.0</v>
      </c>
      <c r="E1173" s="9" t="s">
        <v>47</v>
      </c>
      <c r="F1173" s="33">
        <v>1.0</v>
      </c>
      <c r="G1173" s="33">
        <v>2200.0</v>
      </c>
      <c r="H1173" s="35">
        <v>46125.0</v>
      </c>
      <c r="I1173" s="2" t="s">
        <v>14</v>
      </c>
      <c r="J1173" s="12" t="s">
        <v>949</v>
      </c>
    </row>
    <row r="1174" ht="22.5" hidden="1" customHeight="1">
      <c r="A1174" s="2" t="s">
        <v>948</v>
      </c>
      <c r="B1174" s="2" t="s">
        <v>336</v>
      </c>
      <c r="C1174" s="2">
        <v>81813.0</v>
      </c>
      <c r="D1174" s="8" t="s">
        <v>46</v>
      </c>
      <c r="E1174" s="9" t="s">
        <v>13</v>
      </c>
      <c r="F1174" s="33">
        <v>1.0</v>
      </c>
      <c r="G1174" s="33">
        <v>1100.0</v>
      </c>
      <c r="H1174" s="35">
        <v>46125.0</v>
      </c>
      <c r="I1174" s="2" t="s">
        <v>14</v>
      </c>
      <c r="J1174" s="12" t="s">
        <v>949</v>
      </c>
    </row>
    <row r="1175" ht="22.5" hidden="1" customHeight="1">
      <c r="A1175" s="2" t="s">
        <v>948</v>
      </c>
      <c r="B1175" s="2" t="s">
        <v>440</v>
      </c>
      <c r="C1175" s="2" t="s">
        <v>441</v>
      </c>
      <c r="D1175" s="8" t="s">
        <v>46</v>
      </c>
      <c r="E1175" s="9" t="s">
        <v>447</v>
      </c>
      <c r="F1175" s="33">
        <v>1.0</v>
      </c>
      <c r="G1175" s="33">
        <v>1200.0</v>
      </c>
      <c r="H1175" s="35">
        <v>46125.0</v>
      </c>
      <c r="I1175" s="2" t="s">
        <v>14</v>
      </c>
      <c r="J1175" s="12" t="s">
        <v>949</v>
      </c>
    </row>
    <row r="1176" ht="22.5" hidden="1" customHeight="1">
      <c r="A1176" s="2" t="s">
        <v>950</v>
      </c>
      <c r="B1176" s="2" t="s">
        <v>730</v>
      </c>
      <c r="C1176" s="2">
        <v>8116.0</v>
      </c>
      <c r="D1176" s="8" t="s">
        <v>12</v>
      </c>
      <c r="E1176" s="9" t="s">
        <v>58</v>
      </c>
      <c r="F1176" s="33">
        <v>1.0</v>
      </c>
      <c r="G1176" s="33">
        <v>2490.0</v>
      </c>
      <c r="H1176" s="35">
        <v>46125.0</v>
      </c>
      <c r="I1176" s="2" t="s">
        <v>24</v>
      </c>
      <c r="J1176" s="2"/>
    </row>
    <row r="1177" ht="22.5" hidden="1" customHeight="1">
      <c r="A1177" s="2" t="s">
        <v>950</v>
      </c>
      <c r="B1177" s="2" t="s">
        <v>440</v>
      </c>
      <c r="C1177" s="2" t="s">
        <v>441</v>
      </c>
      <c r="D1177" s="8" t="s">
        <v>46</v>
      </c>
      <c r="E1177" s="9" t="s">
        <v>447</v>
      </c>
      <c r="F1177" s="33">
        <v>1.0</v>
      </c>
      <c r="G1177" s="33">
        <v>1200.0</v>
      </c>
      <c r="H1177" s="35">
        <v>46125.0</v>
      </c>
      <c r="I1177" s="2" t="s">
        <v>14</v>
      </c>
      <c r="J1177" s="2"/>
    </row>
    <row r="1178" ht="22.5" hidden="1" customHeight="1">
      <c r="A1178" s="2" t="s">
        <v>950</v>
      </c>
      <c r="B1178" s="2" t="s">
        <v>97</v>
      </c>
      <c r="C1178" s="2">
        <v>8748.0</v>
      </c>
      <c r="D1178" s="8" t="s">
        <v>22</v>
      </c>
      <c r="E1178" s="9" t="s">
        <v>58</v>
      </c>
      <c r="F1178" s="33">
        <v>1.0</v>
      </c>
      <c r="G1178" s="33">
        <v>1800.0</v>
      </c>
      <c r="H1178" s="35">
        <v>46125.0</v>
      </c>
      <c r="I1178" s="2" t="s">
        <v>14</v>
      </c>
      <c r="J1178" s="2"/>
    </row>
    <row r="1179" ht="22.5" hidden="1" customHeight="1">
      <c r="A1179" s="2" t="s">
        <v>951</v>
      </c>
      <c r="B1179" s="2" t="s">
        <v>440</v>
      </c>
      <c r="C1179" s="2" t="s">
        <v>441</v>
      </c>
      <c r="D1179" s="8" t="s">
        <v>46</v>
      </c>
      <c r="E1179" s="9" t="s">
        <v>447</v>
      </c>
      <c r="F1179" s="33">
        <v>1.0</v>
      </c>
      <c r="G1179" s="33">
        <v>1200.0</v>
      </c>
      <c r="H1179" s="35">
        <v>46125.0</v>
      </c>
      <c r="I1179" s="2" t="s">
        <v>14</v>
      </c>
      <c r="J1179" s="12" t="s">
        <v>952</v>
      </c>
    </row>
    <row r="1180" ht="22.5" hidden="1" customHeight="1">
      <c r="A1180" s="2" t="s">
        <v>951</v>
      </c>
      <c r="B1180" s="2" t="s">
        <v>892</v>
      </c>
      <c r="C1180" s="2" t="s">
        <v>893</v>
      </c>
      <c r="D1180" s="8">
        <v>37.0</v>
      </c>
      <c r="E1180" s="9" t="s">
        <v>47</v>
      </c>
      <c r="F1180" s="33">
        <v>1.0</v>
      </c>
      <c r="G1180" s="33">
        <v>2200.0</v>
      </c>
      <c r="H1180" s="35">
        <v>46125.0</v>
      </c>
      <c r="I1180" s="2" t="s">
        <v>14</v>
      </c>
      <c r="J1180" s="12" t="s">
        <v>952</v>
      </c>
    </row>
    <row r="1181" ht="22.5" hidden="1" customHeight="1">
      <c r="A1181" s="2" t="s">
        <v>476</v>
      </c>
      <c r="B1181" s="2" t="s">
        <v>440</v>
      </c>
      <c r="C1181" s="2" t="s">
        <v>441</v>
      </c>
      <c r="D1181" s="8" t="s">
        <v>46</v>
      </c>
      <c r="E1181" s="9" t="s">
        <v>26</v>
      </c>
      <c r="F1181" s="33">
        <v>1.0</v>
      </c>
      <c r="G1181" s="33">
        <v>1200.0</v>
      </c>
      <c r="H1181" s="35">
        <v>46125.0</v>
      </c>
      <c r="I1181" s="2" t="s">
        <v>14</v>
      </c>
      <c r="J1181" s="12" t="s">
        <v>477</v>
      </c>
    </row>
    <row r="1182" ht="22.5" hidden="1" customHeight="1">
      <c r="A1182" s="2" t="s">
        <v>69</v>
      </c>
      <c r="B1182" s="2" t="s">
        <v>762</v>
      </c>
      <c r="C1182" s="2" t="s">
        <v>763</v>
      </c>
      <c r="D1182" s="8" t="s">
        <v>46</v>
      </c>
      <c r="E1182" s="9" t="s">
        <v>953</v>
      </c>
      <c r="F1182" s="33">
        <v>1.0</v>
      </c>
      <c r="G1182" s="33">
        <v>1990.0</v>
      </c>
      <c r="H1182" s="35">
        <v>46126.0</v>
      </c>
      <c r="I1182" s="2" t="s">
        <v>14</v>
      </c>
      <c r="J1182" s="12" t="s">
        <v>954</v>
      </c>
    </row>
    <row r="1183" ht="22.5" hidden="1" customHeight="1">
      <c r="A1183" s="2" t="s">
        <v>71</v>
      </c>
      <c r="B1183" s="2" t="s">
        <v>440</v>
      </c>
      <c r="C1183" s="2" t="s">
        <v>441</v>
      </c>
      <c r="D1183" s="8" t="s">
        <v>46</v>
      </c>
      <c r="E1183" s="9" t="s">
        <v>26</v>
      </c>
      <c r="F1183" s="33">
        <v>1.0</v>
      </c>
      <c r="G1183" s="33">
        <v>1200.0</v>
      </c>
      <c r="H1183" s="35">
        <v>46126.0</v>
      </c>
      <c r="I1183" s="2" t="s">
        <v>14</v>
      </c>
      <c r="J1183" s="12" t="s">
        <v>955</v>
      </c>
    </row>
    <row r="1184" ht="22.5" hidden="1" customHeight="1">
      <c r="A1184" s="2" t="s">
        <v>364</v>
      </c>
      <c r="B1184" s="2" t="s">
        <v>762</v>
      </c>
      <c r="C1184" s="2" t="s">
        <v>763</v>
      </c>
      <c r="D1184" s="8" t="s">
        <v>46</v>
      </c>
      <c r="E1184" s="9" t="s">
        <v>956</v>
      </c>
      <c r="F1184" s="33">
        <v>1.0</v>
      </c>
      <c r="G1184" s="33">
        <v>1.0</v>
      </c>
      <c r="H1184" s="35">
        <v>46126.0</v>
      </c>
      <c r="I1184" s="2" t="s">
        <v>14</v>
      </c>
      <c r="J1184" s="12" t="s">
        <v>957</v>
      </c>
    </row>
    <row r="1185" ht="22.5" hidden="1" customHeight="1">
      <c r="A1185" s="2" t="s">
        <v>364</v>
      </c>
      <c r="B1185" s="2" t="s">
        <v>958</v>
      </c>
      <c r="C1185" s="2" t="s">
        <v>959</v>
      </c>
      <c r="D1185" s="8" t="s">
        <v>75</v>
      </c>
      <c r="E1185" s="9" t="s">
        <v>18</v>
      </c>
      <c r="F1185" s="33">
        <v>1.0</v>
      </c>
      <c r="G1185" s="33">
        <v>1800.0</v>
      </c>
      <c r="H1185" s="35">
        <v>46126.0</v>
      </c>
      <c r="I1185" s="2" t="s">
        <v>14</v>
      </c>
      <c r="J1185" s="12" t="s">
        <v>957</v>
      </c>
    </row>
    <row r="1186" ht="22.5" hidden="1" customHeight="1">
      <c r="A1186" s="2" t="s">
        <v>960</v>
      </c>
      <c r="B1186" s="2" t="s">
        <v>961</v>
      </c>
      <c r="C1186" s="2">
        <v>6612.0</v>
      </c>
      <c r="D1186" s="8" t="s">
        <v>46</v>
      </c>
      <c r="E1186" s="9">
        <v>5.0</v>
      </c>
      <c r="F1186" s="33">
        <v>2.0</v>
      </c>
      <c r="G1186" s="33">
        <v>850.0</v>
      </c>
      <c r="H1186" s="35">
        <v>46126.0</v>
      </c>
      <c r="I1186" s="2" t="s">
        <v>14</v>
      </c>
      <c r="J1186" s="12" t="s">
        <v>962</v>
      </c>
    </row>
    <row r="1187" ht="22.5" hidden="1" customHeight="1">
      <c r="A1187" s="2" t="s">
        <v>960</v>
      </c>
      <c r="B1187" s="2" t="s">
        <v>963</v>
      </c>
      <c r="C1187" s="2">
        <v>8610.0</v>
      </c>
      <c r="D1187" s="8" t="s">
        <v>22</v>
      </c>
      <c r="E1187" s="9" t="s">
        <v>18</v>
      </c>
      <c r="F1187" s="33">
        <v>2.0</v>
      </c>
      <c r="G1187" s="33">
        <v>1190.0</v>
      </c>
      <c r="H1187" s="35">
        <v>46126.0</v>
      </c>
      <c r="I1187" s="2" t="s">
        <v>14</v>
      </c>
      <c r="J1187" s="12" t="s">
        <v>962</v>
      </c>
    </row>
    <row r="1188" ht="22.5" hidden="1" customHeight="1">
      <c r="A1188" s="2" t="s">
        <v>68</v>
      </c>
      <c r="B1188" s="2" t="s">
        <v>961</v>
      </c>
      <c r="C1188" s="2">
        <v>6612.0</v>
      </c>
      <c r="D1188" s="8" t="s">
        <v>46</v>
      </c>
      <c r="E1188" s="9">
        <v>9.0</v>
      </c>
      <c r="F1188" s="33">
        <v>1.0</v>
      </c>
      <c r="G1188" s="33">
        <v>850.0</v>
      </c>
      <c r="H1188" s="35">
        <v>46126.0</v>
      </c>
      <c r="I1188" s="2" t="s">
        <v>14</v>
      </c>
      <c r="J1188" s="12" t="s">
        <v>964</v>
      </c>
    </row>
    <row r="1189" ht="22.5" hidden="1" customHeight="1">
      <c r="A1189" s="2" t="s">
        <v>68</v>
      </c>
      <c r="B1189" s="2" t="s">
        <v>961</v>
      </c>
      <c r="C1189" s="2">
        <v>6612.0</v>
      </c>
      <c r="D1189" s="8" t="s">
        <v>46</v>
      </c>
      <c r="E1189" s="9">
        <v>2.0</v>
      </c>
      <c r="F1189" s="33">
        <v>1.0</v>
      </c>
      <c r="G1189" s="33">
        <v>850.0</v>
      </c>
      <c r="H1189" s="35">
        <v>46126.0</v>
      </c>
      <c r="I1189" s="2" t="s">
        <v>14</v>
      </c>
      <c r="J1189" s="12" t="s">
        <v>964</v>
      </c>
    </row>
    <row r="1190" ht="22.5" hidden="1" customHeight="1">
      <c r="A1190" s="2" t="s">
        <v>68</v>
      </c>
      <c r="B1190" s="2" t="s">
        <v>912</v>
      </c>
      <c r="C1190" s="2" t="s">
        <v>913</v>
      </c>
      <c r="D1190" s="8" t="s">
        <v>22</v>
      </c>
      <c r="E1190" s="9" t="s">
        <v>23</v>
      </c>
      <c r="F1190" s="33">
        <v>1.0</v>
      </c>
      <c r="G1190" s="33">
        <v>1650.0</v>
      </c>
      <c r="H1190" s="35">
        <v>46126.0</v>
      </c>
      <c r="I1190" s="2" t="s">
        <v>14</v>
      </c>
      <c r="J1190" s="12" t="s">
        <v>964</v>
      </c>
    </row>
    <row r="1191" ht="22.5" hidden="1" customHeight="1">
      <c r="A1191" s="2" t="s">
        <v>291</v>
      </c>
      <c r="B1191" s="2" t="s">
        <v>961</v>
      </c>
      <c r="C1191" s="2">
        <v>6612.0</v>
      </c>
      <c r="D1191" s="8" t="s">
        <v>46</v>
      </c>
      <c r="E1191" s="9">
        <v>2.0</v>
      </c>
      <c r="F1191" s="33">
        <v>1.0</v>
      </c>
      <c r="G1191" s="33">
        <v>850.0</v>
      </c>
      <c r="H1191" s="35">
        <v>46126.0</v>
      </c>
      <c r="I1191" s="2" t="s">
        <v>14</v>
      </c>
      <c r="J1191" s="2"/>
    </row>
    <row r="1192" ht="22.5" hidden="1" customHeight="1">
      <c r="A1192" s="2" t="s">
        <v>291</v>
      </c>
      <c r="B1192" s="2" t="s">
        <v>961</v>
      </c>
      <c r="C1192" s="2">
        <v>6612.0</v>
      </c>
      <c r="D1192" s="8" t="s">
        <v>46</v>
      </c>
      <c r="E1192" s="9">
        <v>4.0</v>
      </c>
      <c r="F1192" s="33">
        <v>1.0</v>
      </c>
      <c r="G1192" s="33">
        <v>850.0</v>
      </c>
      <c r="H1192" s="35">
        <v>46126.0</v>
      </c>
      <c r="I1192" s="2" t="s">
        <v>14</v>
      </c>
      <c r="J1192" s="2"/>
    </row>
    <row r="1193" ht="22.5" hidden="1" customHeight="1">
      <c r="A1193" s="2" t="s">
        <v>291</v>
      </c>
      <c r="B1193" s="2" t="s">
        <v>961</v>
      </c>
      <c r="C1193" s="2">
        <v>6612.0</v>
      </c>
      <c r="D1193" s="8" t="s">
        <v>46</v>
      </c>
      <c r="E1193" s="9">
        <v>5.0</v>
      </c>
      <c r="F1193" s="33">
        <v>1.0</v>
      </c>
      <c r="G1193" s="33">
        <v>850.0</v>
      </c>
      <c r="H1193" s="35">
        <v>46126.0</v>
      </c>
      <c r="I1193" s="2" t="s">
        <v>14</v>
      </c>
      <c r="J1193" s="2"/>
    </row>
    <row r="1194" ht="22.5" hidden="1" customHeight="1">
      <c r="A1194" s="2" t="s">
        <v>965</v>
      </c>
      <c r="B1194" s="2" t="s">
        <v>958</v>
      </c>
      <c r="C1194" s="2" t="s">
        <v>959</v>
      </c>
      <c r="D1194" s="8" t="s">
        <v>22</v>
      </c>
      <c r="E1194" s="9" t="s">
        <v>18</v>
      </c>
      <c r="F1194" s="33">
        <v>1.0</v>
      </c>
      <c r="G1194" s="33">
        <v>1800.0</v>
      </c>
      <c r="H1194" s="35">
        <v>46126.0</v>
      </c>
      <c r="I1194" s="2" t="s">
        <v>14</v>
      </c>
      <c r="J1194" s="12" t="s">
        <v>966</v>
      </c>
    </row>
    <row r="1195" ht="22.5" hidden="1" customHeight="1">
      <c r="A1195" s="2" t="s">
        <v>967</v>
      </c>
      <c r="B1195" s="2" t="s">
        <v>961</v>
      </c>
      <c r="C1195" s="2">
        <v>6612.0</v>
      </c>
      <c r="D1195" s="8" t="s">
        <v>46</v>
      </c>
      <c r="E1195" s="9">
        <v>4.0</v>
      </c>
      <c r="F1195" s="33">
        <v>1.0</v>
      </c>
      <c r="G1195" s="33">
        <v>850.0</v>
      </c>
      <c r="H1195" s="35">
        <v>46126.0</v>
      </c>
      <c r="I1195" s="2" t="s">
        <v>14</v>
      </c>
      <c r="J1195" s="12" t="s">
        <v>968</v>
      </c>
    </row>
    <row r="1196" ht="22.5" hidden="1" customHeight="1">
      <c r="A1196" s="2" t="s">
        <v>967</v>
      </c>
      <c r="B1196" s="2" t="s">
        <v>961</v>
      </c>
      <c r="C1196" s="2">
        <v>6612.0</v>
      </c>
      <c r="D1196" s="8" t="s">
        <v>46</v>
      </c>
      <c r="E1196" s="9">
        <v>5.0</v>
      </c>
      <c r="F1196" s="33">
        <v>1.0</v>
      </c>
      <c r="G1196" s="33">
        <v>850.0</v>
      </c>
      <c r="H1196" s="35">
        <v>46126.0</v>
      </c>
      <c r="I1196" s="2" t="s">
        <v>14</v>
      </c>
      <c r="J1196" s="12" t="s">
        <v>968</v>
      </c>
    </row>
    <row r="1197" ht="22.5" hidden="1" customHeight="1">
      <c r="A1197" s="2" t="s">
        <v>967</v>
      </c>
      <c r="B1197" s="2" t="s">
        <v>963</v>
      </c>
      <c r="C1197" s="2">
        <v>8610.0</v>
      </c>
      <c r="D1197" s="8" t="s">
        <v>22</v>
      </c>
      <c r="E1197" s="9" t="s">
        <v>13</v>
      </c>
      <c r="F1197" s="33">
        <v>1.0</v>
      </c>
      <c r="G1197" s="33">
        <v>1190.0</v>
      </c>
      <c r="H1197" s="35">
        <v>46126.0</v>
      </c>
      <c r="I1197" s="2" t="s">
        <v>14</v>
      </c>
      <c r="J1197" s="12" t="s">
        <v>968</v>
      </c>
    </row>
    <row r="1198" ht="22.5" hidden="1" customHeight="1">
      <c r="A1198" s="2" t="s">
        <v>967</v>
      </c>
      <c r="B1198" s="2" t="s">
        <v>958</v>
      </c>
      <c r="C1198" s="2" t="s">
        <v>959</v>
      </c>
      <c r="D1198" s="8" t="s">
        <v>22</v>
      </c>
      <c r="E1198" s="9" t="s">
        <v>18</v>
      </c>
      <c r="F1198" s="33">
        <v>1.0</v>
      </c>
      <c r="G1198" s="33">
        <v>1800.0</v>
      </c>
      <c r="H1198" s="35">
        <v>46126.0</v>
      </c>
      <c r="I1198" s="2" t="s">
        <v>14</v>
      </c>
      <c r="J1198" s="12" t="s">
        <v>968</v>
      </c>
    </row>
    <row r="1199" ht="22.5" hidden="1" customHeight="1">
      <c r="A1199" s="2" t="s">
        <v>969</v>
      </c>
      <c r="B1199" s="2" t="s">
        <v>958</v>
      </c>
      <c r="C1199" s="2" t="s">
        <v>959</v>
      </c>
      <c r="D1199" s="8" t="s">
        <v>22</v>
      </c>
      <c r="E1199" s="9" t="s">
        <v>18</v>
      </c>
      <c r="F1199" s="33">
        <v>1.0</v>
      </c>
      <c r="G1199" s="33">
        <v>1800.0</v>
      </c>
      <c r="H1199" s="35">
        <v>46126.0</v>
      </c>
      <c r="I1199" s="2" t="s">
        <v>14</v>
      </c>
      <c r="J1199" s="12" t="s">
        <v>970</v>
      </c>
    </row>
    <row r="1200" ht="22.5" hidden="1" customHeight="1">
      <c r="A1200" s="2" t="s">
        <v>969</v>
      </c>
      <c r="B1200" s="2" t="s">
        <v>152</v>
      </c>
      <c r="C1200" s="2">
        <v>8319.0</v>
      </c>
      <c r="D1200" s="8" t="s">
        <v>12</v>
      </c>
      <c r="E1200" s="9" t="s">
        <v>58</v>
      </c>
      <c r="F1200" s="33">
        <v>1.0</v>
      </c>
      <c r="G1200" s="33">
        <v>1900.0</v>
      </c>
      <c r="H1200" s="35">
        <v>46126.0</v>
      </c>
      <c r="I1200" s="2" t="s">
        <v>14</v>
      </c>
      <c r="J1200" s="12" t="s">
        <v>970</v>
      </c>
    </row>
    <row r="1201" ht="22.5" hidden="1" customHeight="1">
      <c r="A1201" s="2" t="s">
        <v>971</v>
      </c>
      <c r="B1201" s="2" t="s">
        <v>360</v>
      </c>
      <c r="C1201" s="2" t="s">
        <v>361</v>
      </c>
      <c r="D1201" s="8" t="s">
        <v>46</v>
      </c>
      <c r="E1201" s="9" t="s">
        <v>16</v>
      </c>
      <c r="F1201" s="33">
        <v>1.0</v>
      </c>
      <c r="G1201" s="33">
        <v>1890.0</v>
      </c>
      <c r="H1201" s="35">
        <v>46126.0</v>
      </c>
      <c r="I1201" s="2" t="s">
        <v>14</v>
      </c>
      <c r="J1201" s="12" t="s">
        <v>972</v>
      </c>
    </row>
    <row r="1202" ht="22.5" hidden="1" customHeight="1">
      <c r="A1202" s="2" t="s">
        <v>971</v>
      </c>
      <c r="B1202" s="2" t="s">
        <v>360</v>
      </c>
      <c r="C1202" s="2" t="s">
        <v>361</v>
      </c>
      <c r="D1202" s="8" t="s">
        <v>46</v>
      </c>
      <c r="E1202" s="9" t="s">
        <v>338</v>
      </c>
      <c r="F1202" s="33">
        <v>1.0</v>
      </c>
      <c r="G1202" s="33">
        <v>1890.0</v>
      </c>
      <c r="H1202" s="35">
        <v>46126.0</v>
      </c>
      <c r="I1202" s="2" t="s">
        <v>14</v>
      </c>
      <c r="J1202" s="12" t="s">
        <v>972</v>
      </c>
    </row>
    <row r="1203" ht="22.5" hidden="1" customHeight="1">
      <c r="A1203" s="2" t="s">
        <v>451</v>
      </c>
      <c r="B1203" s="2" t="s">
        <v>958</v>
      </c>
      <c r="C1203" s="2" t="s">
        <v>959</v>
      </c>
      <c r="D1203" s="8" t="s">
        <v>22</v>
      </c>
      <c r="E1203" s="9" t="s">
        <v>18</v>
      </c>
      <c r="F1203" s="33">
        <v>1.0</v>
      </c>
      <c r="G1203" s="33">
        <v>1800.0</v>
      </c>
      <c r="H1203" s="35">
        <v>46126.0</v>
      </c>
      <c r="I1203" s="2" t="s">
        <v>14</v>
      </c>
      <c r="J1203" s="12" t="s">
        <v>973</v>
      </c>
    </row>
    <row r="1204" ht="22.5" hidden="1" customHeight="1">
      <c r="A1204" s="2" t="s">
        <v>241</v>
      </c>
      <c r="B1204" s="2" t="s">
        <v>958</v>
      </c>
      <c r="C1204" s="2" t="s">
        <v>959</v>
      </c>
      <c r="D1204" s="8" t="s">
        <v>12</v>
      </c>
      <c r="E1204" s="9" t="s">
        <v>18</v>
      </c>
      <c r="F1204" s="33">
        <v>2.0</v>
      </c>
      <c r="G1204" s="33">
        <v>1800.0</v>
      </c>
      <c r="H1204" s="35">
        <v>46126.0</v>
      </c>
      <c r="I1204" s="2" t="s">
        <v>14</v>
      </c>
      <c r="J1204" s="2"/>
    </row>
    <row r="1205" ht="22.5" hidden="1" customHeight="1">
      <c r="A1205" s="2" t="s">
        <v>974</v>
      </c>
      <c r="B1205" s="2" t="s">
        <v>958</v>
      </c>
      <c r="C1205" s="2" t="s">
        <v>959</v>
      </c>
      <c r="D1205" s="8" t="s">
        <v>75</v>
      </c>
      <c r="E1205" s="9" t="s">
        <v>18</v>
      </c>
      <c r="F1205" s="33">
        <v>1.0</v>
      </c>
      <c r="G1205" s="33">
        <v>1800.0</v>
      </c>
      <c r="H1205" s="35">
        <v>46126.0</v>
      </c>
      <c r="I1205" s="2" t="s">
        <v>14</v>
      </c>
      <c r="J1205" s="12" t="s">
        <v>975</v>
      </c>
    </row>
    <row r="1206" ht="22.5" hidden="1" customHeight="1">
      <c r="A1206" s="2" t="s">
        <v>312</v>
      </c>
      <c r="B1206" s="2" t="s">
        <v>958</v>
      </c>
      <c r="C1206" s="2" t="s">
        <v>959</v>
      </c>
      <c r="D1206" s="8" t="s">
        <v>12</v>
      </c>
      <c r="E1206" s="9" t="s">
        <v>18</v>
      </c>
      <c r="F1206" s="33">
        <v>2.0</v>
      </c>
      <c r="G1206" s="33">
        <v>1800.0</v>
      </c>
      <c r="H1206" s="35">
        <v>46126.0</v>
      </c>
      <c r="I1206" s="2" t="s">
        <v>14</v>
      </c>
      <c r="J1206" s="12" t="s">
        <v>541</v>
      </c>
    </row>
    <row r="1207" ht="22.5" hidden="1" customHeight="1">
      <c r="A1207" s="2" t="s">
        <v>875</v>
      </c>
      <c r="B1207" s="2" t="s">
        <v>958</v>
      </c>
      <c r="C1207" s="2" t="s">
        <v>959</v>
      </c>
      <c r="D1207" s="8" t="s">
        <v>22</v>
      </c>
      <c r="E1207" s="9" t="s">
        <v>18</v>
      </c>
      <c r="F1207" s="33">
        <v>2.0</v>
      </c>
      <c r="G1207" s="33">
        <v>1800.0</v>
      </c>
      <c r="H1207" s="35">
        <v>46126.0</v>
      </c>
      <c r="I1207" s="2" t="s">
        <v>14</v>
      </c>
      <c r="J1207" s="12" t="s">
        <v>976</v>
      </c>
    </row>
    <row r="1208" ht="22.5" hidden="1" customHeight="1">
      <c r="A1208" s="2" t="s">
        <v>193</v>
      </c>
      <c r="B1208" s="2" t="s">
        <v>958</v>
      </c>
      <c r="C1208" s="2" t="s">
        <v>959</v>
      </c>
      <c r="D1208" s="8" t="s">
        <v>12</v>
      </c>
      <c r="E1208" s="9" t="s">
        <v>18</v>
      </c>
      <c r="F1208" s="33">
        <v>1.0</v>
      </c>
      <c r="G1208" s="33">
        <v>1800.0</v>
      </c>
      <c r="H1208" s="35">
        <v>46126.0</v>
      </c>
      <c r="I1208" s="2" t="s">
        <v>14</v>
      </c>
      <c r="J1208" s="12" t="s">
        <v>977</v>
      </c>
    </row>
    <row r="1209" ht="22.5" hidden="1" customHeight="1">
      <c r="D1209" s="36"/>
      <c r="E1209" s="37"/>
      <c r="H1209" s="35"/>
      <c r="I1209" s="38"/>
    </row>
    <row r="1210" ht="22.5" hidden="1" customHeight="1">
      <c r="A1210" s="2" t="s">
        <v>978</v>
      </c>
      <c r="B1210" s="2" t="s">
        <v>958</v>
      </c>
      <c r="C1210" s="2" t="s">
        <v>959</v>
      </c>
      <c r="D1210" s="8" t="s">
        <v>22</v>
      </c>
      <c r="E1210" s="9" t="s">
        <v>18</v>
      </c>
      <c r="F1210" s="33">
        <v>1.0</v>
      </c>
      <c r="G1210" s="33">
        <v>1800.0</v>
      </c>
      <c r="H1210" s="35">
        <v>46126.0</v>
      </c>
      <c r="I1210" s="2" t="s">
        <v>14</v>
      </c>
      <c r="J1210" s="12" t="s">
        <v>979</v>
      </c>
    </row>
    <row r="1211" ht="22.5" hidden="1" customHeight="1">
      <c r="A1211" s="2" t="s">
        <v>980</v>
      </c>
      <c r="B1211" s="2" t="s">
        <v>958</v>
      </c>
      <c r="C1211" s="2" t="s">
        <v>959</v>
      </c>
      <c r="D1211" s="8" t="s">
        <v>75</v>
      </c>
      <c r="E1211" s="9" t="s">
        <v>18</v>
      </c>
      <c r="F1211" s="33">
        <v>1.0</v>
      </c>
      <c r="G1211" s="33">
        <v>1800.0</v>
      </c>
      <c r="H1211" s="35">
        <v>46126.0</v>
      </c>
      <c r="I1211" s="2" t="s">
        <v>14</v>
      </c>
      <c r="J1211" s="12" t="s">
        <v>981</v>
      </c>
    </row>
    <row r="1212" ht="22.5" hidden="1" customHeight="1">
      <c r="A1212" s="2" t="s">
        <v>266</v>
      </c>
      <c r="B1212" s="2" t="s">
        <v>958</v>
      </c>
      <c r="C1212" s="2" t="s">
        <v>959</v>
      </c>
      <c r="D1212" s="8" t="s">
        <v>22</v>
      </c>
      <c r="E1212" s="9" t="s">
        <v>18</v>
      </c>
      <c r="F1212" s="33">
        <v>1.0</v>
      </c>
      <c r="G1212" s="33">
        <v>1800.0</v>
      </c>
      <c r="H1212" s="35">
        <v>46126.0</v>
      </c>
      <c r="I1212" s="2" t="s">
        <v>14</v>
      </c>
      <c r="J1212" s="10" t="s">
        <v>982</v>
      </c>
    </row>
    <row r="1213" ht="22.5" hidden="1" customHeight="1">
      <c r="A1213" s="2" t="s">
        <v>247</v>
      </c>
      <c r="B1213" s="2" t="s">
        <v>958</v>
      </c>
      <c r="C1213" s="2" t="s">
        <v>959</v>
      </c>
      <c r="D1213" s="8" t="s">
        <v>12</v>
      </c>
      <c r="E1213" s="9" t="s">
        <v>18</v>
      </c>
      <c r="F1213" s="33">
        <v>1.0</v>
      </c>
      <c r="G1213" s="33">
        <v>1800.0</v>
      </c>
      <c r="H1213" s="35">
        <v>46126.0</v>
      </c>
      <c r="I1213" s="2" t="s">
        <v>14</v>
      </c>
      <c r="J1213" s="12" t="s">
        <v>416</v>
      </c>
    </row>
    <row r="1214" ht="22.5" hidden="1" customHeight="1">
      <c r="A1214" s="2" t="s">
        <v>983</v>
      </c>
      <c r="B1214" s="2" t="s">
        <v>958</v>
      </c>
      <c r="C1214" s="2" t="s">
        <v>959</v>
      </c>
      <c r="D1214" s="8" t="s">
        <v>22</v>
      </c>
      <c r="E1214" s="9" t="s">
        <v>18</v>
      </c>
      <c r="F1214" s="33">
        <v>1.0</v>
      </c>
      <c r="G1214" s="33">
        <v>1800.0</v>
      </c>
      <c r="H1214" s="35">
        <v>46126.0</v>
      </c>
      <c r="I1214" s="2" t="s">
        <v>14</v>
      </c>
      <c r="J1214" s="12" t="s">
        <v>984</v>
      </c>
    </row>
    <row r="1215" ht="22.5" hidden="1" customHeight="1">
      <c r="A1215" s="2" t="s">
        <v>985</v>
      </c>
      <c r="B1215" s="2" t="s">
        <v>958</v>
      </c>
      <c r="C1215" s="2" t="s">
        <v>959</v>
      </c>
      <c r="D1215" s="8" t="s">
        <v>22</v>
      </c>
      <c r="E1215" s="9" t="s">
        <v>18</v>
      </c>
      <c r="F1215" s="33">
        <v>1.0</v>
      </c>
      <c r="G1215" s="33">
        <v>1800.0</v>
      </c>
      <c r="H1215" s="35">
        <v>46126.0</v>
      </c>
      <c r="I1215" s="2" t="s">
        <v>24</v>
      </c>
      <c r="J1215" s="12" t="s">
        <v>789</v>
      </c>
    </row>
    <row r="1216" ht="22.5" hidden="1" customHeight="1">
      <c r="A1216" s="2" t="s">
        <v>986</v>
      </c>
      <c r="B1216" s="2" t="s">
        <v>958</v>
      </c>
      <c r="C1216" s="2" t="s">
        <v>959</v>
      </c>
      <c r="D1216" s="8" t="s">
        <v>12</v>
      </c>
      <c r="E1216" s="9" t="s">
        <v>18</v>
      </c>
      <c r="F1216" s="33">
        <v>1.0</v>
      </c>
      <c r="G1216" s="33">
        <v>1800.0</v>
      </c>
      <c r="H1216" s="35">
        <v>46126.0</v>
      </c>
      <c r="I1216" s="2" t="s">
        <v>14</v>
      </c>
      <c r="J1216" s="12" t="s">
        <v>987</v>
      </c>
    </row>
    <row r="1217" ht="22.5" hidden="1" customHeight="1">
      <c r="A1217" s="2" t="s">
        <v>988</v>
      </c>
      <c r="B1217" s="2" t="s">
        <v>958</v>
      </c>
      <c r="C1217" s="2" t="s">
        <v>959</v>
      </c>
      <c r="D1217" s="8" t="s">
        <v>989</v>
      </c>
      <c r="E1217" s="9" t="s">
        <v>18</v>
      </c>
      <c r="F1217" s="33">
        <v>1.0</v>
      </c>
      <c r="G1217" s="33">
        <v>1800.0</v>
      </c>
      <c r="H1217" s="35">
        <v>46126.0</v>
      </c>
      <c r="I1217" s="2" t="s">
        <v>14</v>
      </c>
      <c r="J1217" s="12" t="s">
        <v>771</v>
      </c>
    </row>
    <row r="1218" ht="22.5" hidden="1" customHeight="1">
      <c r="A1218" s="2" t="s">
        <v>990</v>
      </c>
      <c r="B1218" s="2" t="s">
        <v>958</v>
      </c>
      <c r="C1218" s="2" t="s">
        <v>959</v>
      </c>
      <c r="D1218" s="8" t="s">
        <v>22</v>
      </c>
      <c r="E1218" s="9" t="s">
        <v>18</v>
      </c>
      <c r="F1218" s="33">
        <v>1.0</v>
      </c>
      <c r="G1218" s="33">
        <v>1800.0</v>
      </c>
      <c r="H1218" s="35">
        <v>46126.0</v>
      </c>
      <c r="I1218" s="2" t="s">
        <v>24</v>
      </c>
      <c r="J1218" s="12" t="s">
        <v>991</v>
      </c>
    </row>
    <row r="1219" ht="22.5" hidden="1" customHeight="1">
      <c r="A1219" s="2" t="s">
        <v>825</v>
      </c>
      <c r="B1219" s="2" t="s">
        <v>958</v>
      </c>
      <c r="C1219" s="2" t="s">
        <v>959</v>
      </c>
      <c r="D1219" s="8" t="s">
        <v>22</v>
      </c>
      <c r="E1219" s="9" t="s">
        <v>18</v>
      </c>
      <c r="F1219" s="33">
        <v>1.0</v>
      </c>
      <c r="G1219" s="33">
        <v>1800.0</v>
      </c>
      <c r="H1219" s="35">
        <v>46126.0</v>
      </c>
      <c r="I1219" s="2" t="s">
        <v>14</v>
      </c>
      <c r="J1219" s="12" t="s">
        <v>992</v>
      </c>
    </row>
    <row r="1220" ht="22.5" hidden="1" customHeight="1">
      <c r="A1220" s="2" t="s">
        <v>965</v>
      </c>
      <c r="B1220" s="2" t="s">
        <v>234</v>
      </c>
      <c r="C1220" s="2">
        <v>8740.0</v>
      </c>
      <c r="D1220" s="8" t="s">
        <v>22</v>
      </c>
      <c r="E1220" s="9" t="s">
        <v>13</v>
      </c>
      <c r="F1220" s="33">
        <v>1.0</v>
      </c>
      <c r="G1220" s="33">
        <v>1600.0</v>
      </c>
      <c r="H1220" s="35">
        <v>46127.0</v>
      </c>
      <c r="I1220" s="2" t="s">
        <v>14</v>
      </c>
      <c r="J1220" s="12" t="s">
        <v>966</v>
      </c>
    </row>
    <row r="1221" ht="22.5" hidden="1" customHeight="1">
      <c r="A1221" s="2" t="s">
        <v>993</v>
      </c>
      <c r="B1221" s="2" t="s">
        <v>935</v>
      </c>
      <c r="C1221" s="2">
        <v>1302.0</v>
      </c>
      <c r="D1221" s="8" t="s">
        <v>46</v>
      </c>
      <c r="E1221" s="9">
        <v>1.0</v>
      </c>
      <c r="F1221" s="33">
        <v>1.0</v>
      </c>
      <c r="G1221" s="33">
        <v>1200.0</v>
      </c>
      <c r="H1221" s="35">
        <v>46127.0</v>
      </c>
      <c r="I1221" s="2" t="s">
        <v>14</v>
      </c>
      <c r="J1221" s="12" t="s">
        <v>994</v>
      </c>
    </row>
    <row r="1222" ht="22.5" hidden="1" customHeight="1">
      <c r="A1222" s="2" t="s">
        <v>993</v>
      </c>
      <c r="B1222" s="2" t="s">
        <v>935</v>
      </c>
      <c r="C1222" s="2">
        <v>1302.0</v>
      </c>
      <c r="D1222" s="8" t="s">
        <v>46</v>
      </c>
      <c r="E1222" s="9">
        <v>6.0</v>
      </c>
      <c r="F1222" s="33">
        <v>1.0</v>
      </c>
      <c r="G1222" s="33">
        <v>1200.0</v>
      </c>
      <c r="H1222" s="35">
        <v>46127.0</v>
      </c>
      <c r="I1222" s="2" t="s">
        <v>14</v>
      </c>
      <c r="J1222" s="12" t="s">
        <v>994</v>
      </c>
    </row>
    <row r="1223" ht="22.5" hidden="1" customHeight="1">
      <c r="A1223" s="2" t="s">
        <v>993</v>
      </c>
      <c r="B1223" s="2" t="s">
        <v>963</v>
      </c>
      <c r="C1223" s="2">
        <v>8610.0</v>
      </c>
      <c r="D1223" s="8" t="s">
        <v>22</v>
      </c>
      <c r="E1223" s="9" t="s">
        <v>13</v>
      </c>
      <c r="F1223" s="33">
        <v>1.0</v>
      </c>
      <c r="G1223" s="33">
        <v>1190.0</v>
      </c>
      <c r="H1223" s="35">
        <v>46127.0</v>
      </c>
      <c r="I1223" s="2" t="s">
        <v>14</v>
      </c>
      <c r="J1223" s="12" t="s">
        <v>994</v>
      </c>
    </row>
    <row r="1224" ht="22.5" hidden="1" customHeight="1">
      <c r="A1224" s="2" t="s">
        <v>993</v>
      </c>
      <c r="B1224" s="2" t="s">
        <v>963</v>
      </c>
      <c r="C1224" s="2">
        <v>8610.0</v>
      </c>
      <c r="D1224" s="8" t="s">
        <v>22</v>
      </c>
      <c r="E1224" s="9" t="s">
        <v>58</v>
      </c>
      <c r="F1224" s="33">
        <v>1.0</v>
      </c>
      <c r="G1224" s="33">
        <v>1190.0</v>
      </c>
      <c r="H1224" s="35">
        <v>46127.0</v>
      </c>
      <c r="I1224" s="2" t="s">
        <v>14</v>
      </c>
      <c r="J1224" s="12" t="s">
        <v>994</v>
      </c>
    </row>
    <row r="1225" ht="22.5" hidden="1" customHeight="1">
      <c r="A1225" s="2" t="s">
        <v>995</v>
      </c>
      <c r="B1225" s="2" t="s">
        <v>268</v>
      </c>
      <c r="C1225" s="2" t="s">
        <v>269</v>
      </c>
      <c r="D1225" s="8">
        <v>38.0</v>
      </c>
      <c r="E1225" s="9" t="s">
        <v>18</v>
      </c>
      <c r="F1225" s="33">
        <v>1.0</v>
      </c>
      <c r="G1225" s="33">
        <v>1990.0</v>
      </c>
      <c r="H1225" s="35">
        <v>46127.0</v>
      </c>
      <c r="I1225" s="2" t="s">
        <v>14</v>
      </c>
      <c r="J1225" s="12" t="s">
        <v>996</v>
      </c>
    </row>
    <row r="1226" ht="22.5" hidden="1" customHeight="1">
      <c r="A1226" s="2" t="s">
        <v>997</v>
      </c>
      <c r="B1226" s="2" t="s">
        <v>958</v>
      </c>
      <c r="C1226" s="2" t="s">
        <v>959</v>
      </c>
      <c r="D1226" s="8" t="s">
        <v>12</v>
      </c>
      <c r="E1226" s="9" t="s">
        <v>18</v>
      </c>
      <c r="F1226" s="33">
        <v>1.0</v>
      </c>
      <c r="G1226" s="33">
        <v>1800.0</v>
      </c>
      <c r="H1226" s="35">
        <v>46127.0</v>
      </c>
      <c r="I1226" s="2" t="s">
        <v>14</v>
      </c>
      <c r="J1226" s="12" t="s">
        <v>998</v>
      </c>
    </row>
    <row r="1227" ht="22.5" hidden="1" customHeight="1">
      <c r="A1227" s="2" t="s">
        <v>997</v>
      </c>
      <c r="B1227" s="2" t="s">
        <v>958</v>
      </c>
      <c r="C1227" s="2" t="s">
        <v>959</v>
      </c>
      <c r="D1227" s="8" t="s">
        <v>22</v>
      </c>
      <c r="E1227" s="9" t="s">
        <v>18</v>
      </c>
      <c r="F1227" s="33">
        <v>1.0</v>
      </c>
      <c r="G1227" s="33">
        <v>1800.0</v>
      </c>
      <c r="H1227" s="35">
        <v>46127.0</v>
      </c>
      <c r="I1227" s="2" t="s">
        <v>14</v>
      </c>
      <c r="J1227" s="12" t="s">
        <v>998</v>
      </c>
    </row>
    <row r="1228" ht="22.5" hidden="1" customHeight="1">
      <c r="A1228" s="2" t="s">
        <v>999</v>
      </c>
      <c r="B1228" s="2" t="s">
        <v>963</v>
      </c>
      <c r="C1228" s="2">
        <v>8610.0</v>
      </c>
      <c r="D1228" s="8" t="s">
        <v>22</v>
      </c>
      <c r="E1228" s="9" t="s">
        <v>16</v>
      </c>
      <c r="F1228" s="33">
        <v>1.0</v>
      </c>
      <c r="G1228" s="33">
        <v>1190.0</v>
      </c>
      <c r="H1228" s="35">
        <v>46127.0</v>
      </c>
      <c r="I1228" s="2" t="s">
        <v>14</v>
      </c>
      <c r="J1228" s="12" t="s">
        <v>1000</v>
      </c>
    </row>
    <row r="1229" ht="22.5" hidden="1" customHeight="1">
      <c r="A1229" s="2" t="s">
        <v>999</v>
      </c>
      <c r="B1229" s="2" t="s">
        <v>963</v>
      </c>
      <c r="C1229" s="2">
        <v>8610.0</v>
      </c>
      <c r="D1229" s="8" t="s">
        <v>22</v>
      </c>
      <c r="E1229" s="9" t="s">
        <v>26</v>
      </c>
      <c r="F1229" s="33">
        <v>1.0</v>
      </c>
      <c r="G1229" s="33">
        <v>1190.0</v>
      </c>
      <c r="H1229" s="35">
        <v>46127.0</v>
      </c>
      <c r="I1229" s="2" t="s">
        <v>14</v>
      </c>
      <c r="J1229" s="12" t="s">
        <v>1000</v>
      </c>
    </row>
    <row r="1230" ht="22.5" hidden="1" customHeight="1">
      <c r="A1230" s="2" t="s">
        <v>1001</v>
      </c>
      <c r="B1230" s="2" t="s">
        <v>961</v>
      </c>
      <c r="C1230" s="2">
        <v>6612.0</v>
      </c>
      <c r="D1230" s="8" t="s">
        <v>46</v>
      </c>
      <c r="E1230" s="9">
        <v>5.0</v>
      </c>
      <c r="F1230" s="33">
        <v>1.0</v>
      </c>
      <c r="G1230" s="33">
        <v>850.0</v>
      </c>
      <c r="H1230" s="35">
        <v>46127.0</v>
      </c>
      <c r="I1230" s="2" t="s">
        <v>14</v>
      </c>
      <c r="J1230" s="12" t="s">
        <v>1002</v>
      </c>
    </row>
    <row r="1231" ht="22.5" hidden="1" customHeight="1">
      <c r="A1231" s="2" t="s">
        <v>1001</v>
      </c>
      <c r="B1231" s="2" t="s">
        <v>961</v>
      </c>
      <c r="C1231" s="2">
        <v>6612.0</v>
      </c>
      <c r="D1231" s="8" t="s">
        <v>46</v>
      </c>
      <c r="E1231" s="9">
        <v>2.0</v>
      </c>
      <c r="F1231" s="33">
        <v>1.0</v>
      </c>
      <c r="G1231" s="33">
        <v>850.0</v>
      </c>
      <c r="H1231" s="35">
        <v>46127.0</v>
      </c>
      <c r="I1231" s="2" t="s">
        <v>14</v>
      </c>
      <c r="J1231" s="12" t="s">
        <v>1002</v>
      </c>
    </row>
    <row r="1232" ht="22.5" hidden="1" customHeight="1">
      <c r="A1232" s="2" t="s">
        <v>1003</v>
      </c>
      <c r="B1232" s="2" t="s">
        <v>961</v>
      </c>
      <c r="C1232" s="2">
        <v>6612.0</v>
      </c>
      <c r="D1232" s="8" t="s">
        <v>46</v>
      </c>
      <c r="E1232" s="9">
        <v>5.0</v>
      </c>
      <c r="F1232" s="33">
        <v>1.0</v>
      </c>
      <c r="G1232" s="33">
        <v>850.0</v>
      </c>
      <c r="H1232" s="35">
        <v>46127.0</v>
      </c>
      <c r="I1232" s="2" t="s">
        <v>14</v>
      </c>
      <c r="J1232" s="12" t="s">
        <v>1004</v>
      </c>
    </row>
    <row r="1233" ht="22.5" hidden="1" customHeight="1">
      <c r="A1233" s="2" t="s">
        <v>1003</v>
      </c>
      <c r="B1233" s="2" t="s">
        <v>961</v>
      </c>
      <c r="C1233" s="2">
        <v>6612.0</v>
      </c>
      <c r="D1233" s="8" t="s">
        <v>46</v>
      </c>
      <c r="E1233" s="9">
        <v>9.0</v>
      </c>
      <c r="F1233" s="33">
        <v>1.0</v>
      </c>
      <c r="G1233" s="33">
        <v>850.0</v>
      </c>
      <c r="H1233" s="35">
        <v>46127.0</v>
      </c>
      <c r="I1233" s="2" t="s">
        <v>14</v>
      </c>
      <c r="J1233" s="12" t="s">
        <v>1004</v>
      </c>
    </row>
    <row r="1234" ht="22.5" hidden="1" customHeight="1">
      <c r="A1234" s="2" t="s">
        <v>266</v>
      </c>
      <c r="B1234" s="2" t="s">
        <v>352</v>
      </c>
      <c r="C1234" s="2">
        <v>5709.0</v>
      </c>
      <c r="D1234" s="8" t="s">
        <v>22</v>
      </c>
      <c r="E1234" s="9" t="s">
        <v>340</v>
      </c>
      <c r="F1234" s="33">
        <v>1.0</v>
      </c>
      <c r="G1234" s="33">
        <v>2350.0</v>
      </c>
      <c r="H1234" s="35">
        <v>46127.0</v>
      </c>
      <c r="I1234" s="2" t="s">
        <v>14</v>
      </c>
      <c r="J1234" s="12" t="s">
        <v>1005</v>
      </c>
    </row>
    <row r="1235" ht="22.5" hidden="1" customHeight="1">
      <c r="A1235" s="2" t="s">
        <v>993</v>
      </c>
      <c r="B1235" s="2" t="s">
        <v>1006</v>
      </c>
      <c r="C1235" s="2">
        <v>8321.0</v>
      </c>
      <c r="D1235" s="8" t="s">
        <v>46</v>
      </c>
      <c r="E1235" s="9" t="s">
        <v>58</v>
      </c>
      <c r="F1235" s="33">
        <v>1.0</v>
      </c>
      <c r="G1235" s="33">
        <v>1350.0</v>
      </c>
      <c r="H1235" s="35">
        <v>46127.0</v>
      </c>
      <c r="I1235" s="2" t="s">
        <v>14</v>
      </c>
      <c r="J1235" s="12" t="s">
        <v>994</v>
      </c>
    </row>
    <row r="1236" ht="22.5" hidden="1" customHeight="1">
      <c r="A1236" s="2" t="s">
        <v>993</v>
      </c>
      <c r="B1236" s="2" t="s">
        <v>1006</v>
      </c>
      <c r="C1236" s="2">
        <v>8321.0</v>
      </c>
      <c r="D1236" s="8" t="s">
        <v>46</v>
      </c>
      <c r="E1236" s="9" t="s">
        <v>26</v>
      </c>
      <c r="F1236" s="33">
        <v>1.0</v>
      </c>
      <c r="G1236" s="33">
        <v>1350.0</v>
      </c>
      <c r="H1236" s="35">
        <v>46127.0</v>
      </c>
      <c r="I1236" s="2" t="s">
        <v>14</v>
      </c>
      <c r="J1236" s="12" t="s">
        <v>994</v>
      </c>
    </row>
    <row r="1237" ht="22.5" hidden="1" customHeight="1">
      <c r="A1237" s="2" t="s">
        <v>1007</v>
      </c>
      <c r="B1237" s="2" t="s">
        <v>377</v>
      </c>
      <c r="C1237" s="2" t="s">
        <v>378</v>
      </c>
      <c r="D1237" s="8" t="s">
        <v>46</v>
      </c>
      <c r="E1237" s="9" t="s">
        <v>13</v>
      </c>
      <c r="F1237" s="33">
        <v>1.0</v>
      </c>
      <c r="G1237" s="33">
        <v>750.0</v>
      </c>
      <c r="H1237" s="35">
        <v>46127.0</v>
      </c>
      <c r="I1237" s="2" t="s">
        <v>14</v>
      </c>
      <c r="J1237" s="12" t="s">
        <v>1008</v>
      </c>
    </row>
    <row r="1238" ht="22.5" hidden="1" customHeight="1">
      <c r="A1238" s="2" t="s">
        <v>1007</v>
      </c>
      <c r="B1238" s="2" t="s">
        <v>377</v>
      </c>
      <c r="C1238" s="2" t="s">
        <v>378</v>
      </c>
      <c r="D1238" s="8" t="s">
        <v>46</v>
      </c>
      <c r="E1238" s="9" t="s">
        <v>23</v>
      </c>
      <c r="F1238" s="33">
        <v>1.0</v>
      </c>
      <c r="G1238" s="33">
        <v>750.0</v>
      </c>
      <c r="H1238" s="35">
        <v>46127.0</v>
      </c>
      <c r="I1238" s="2" t="s">
        <v>14</v>
      </c>
      <c r="J1238" s="12" t="s">
        <v>1008</v>
      </c>
    </row>
    <row r="1239" ht="22.5" hidden="1" customHeight="1">
      <c r="A1239" s="2" t="s">
        <v>1007</v>
      </c>
      <c r="B1239" s="2" t="s">
        <v>961</v>
      </c>
      <c r="C1239" s="2">
        <v>6612.0</v>
      </c>
      <c r="D1239" s="8" t="s">
        <v>46</v>
      </c>
      <c r="E1239" s="9">
        <v>4.0</v>
      </c>
      <c r="F1239" s="33">
        <v>1.0</v>
      </c>
      <c r="G1239" s="33">
        <v>850.0</v>
      </c>
      <c r="H1239" s="35">
        <v>46127.0</v>
      </c>
      <c r="I1239" s="2" t="s">
        <v>14</v>
      </c>
      <c r="J1239" s="12" t="s">
        <v>1008</v>
      </c>
    </row>
    <row r="1240" ht="22.5" hidden="1" customHeight="1">
      <c r="A1240" s="2" t="s">
        <v>1007</v>
      </c>
      <c r="B1240" s="2" t="s">
        <v>961</v>
      </c>
      <c r="C1240" s="2">
        <v>6612.0</v>
      </c>
      <c r="D1240" s="8" t="s">
        <v>46</v>
      </c>
      <c r="E1240" s="9">
        <v>9.0</v>
      </c>
      <c r="F1240" s="33">
        <v>1.0</v>
      </c>
      <c r="G1240" s="33">
        <v>850.0</v>
      </c>
      <c r="H1240" s="35">
        <v>46127.0</v>
      </c>
      <c r="I1240" s="2" t="s">
        <v>14</v>
      </c>
      <c r="J1240" s="12" t="s">
        <v>1008</v>
      </c>
    </row>
    <row r="1241" ht="22.5" hidden="1" customHeight="1">
      <c r="A1241" s="2" t="s">
        <v>1009</v>
      </c>
      <c r="B1241" s="2" t="s">
        <v>958</v>
      </c>
      <c r="C1241" s="2" t="s">
        <v>959</v>
      </c>
      <c r="D1241" s="8" t="s">
        <v>12</v>
      </c>
      <c r="E1241" s="9" t="s">
        <v>18</v>
      </c>
      <c r="F1241" s="33">
        <v>1.0</v>
      </c>
      <c r="G1241" s="33">
        <v>1800.0</v>
      </c>
      <c r="H1241" s="35">
        <v>46127.0</v>
      </c>
      <c r="I1241" s="2" t="s">
        <v>24</v>
      </c>
      <c r="J1241" s="12" t="s">
        <v>1010</v>
      </c>
    </row>
    <row r="1242" ht="22.5" hidden="1" customHeight="1">
      <c r="A1242" s="2" t="s">
        <v>71</v>
      </c>
      <c r="B1242" s="2" t="s">
        <v>1011</v>
      </c>
      <c r="C1242" s="2">
        <v>3225.0</v>
      </c>
      <c r="D1242" s="8" t="s">
        <v>75</v>
      </c>
      <c r="E1242" s="9" t="s">
        <v>58</v>
      </c>
      <c r="F1242" s="33">
        <v>1.0</v>
      </c>
      <c r="G1242" s="33">
        <v>2350.0</v>
      </c>
      <c r="H1242" s="35">
        <v>46127.0</v>
      </c>
      <c r="I1242" s="2" t="s">
        <v>14</v>
      </c>
      <c r="J1242" s="12" t="s">
        <v>955</v>
      </c>
    </row>
    <row r="1243" ht="22.5" hidden="1" customHeight="1">
      <c r="A1243" s="2" t="s">
        <v>312</v>
      </c>
      <c r="B1243" s="2" t="s">
        <v>1011</v>
      </c>
      <c r="C1243" s="2">
        <v>3225.0</v>
      </c>
      <c r="D1243" s="8" t="s">
        <v>12</v>
      </c>
      <c r="E1243" s="9" t="s">
        <v>58</v>
      </c>
      <c r="F1243" s="33">
        <v>1.0</v>
      </c>
      <c r="G1243" s="33">
        <v>2350.0</v>
      </c>
      <c r="H1243" s="35">
        <v>46127.0</v>
      </c>
      <c r="I1243" s="2" t="s">
        <v>14</v>
      </c>
      <c r="J1243" s="12" t="s">
        <v>541</v>
      </c>
    </row>
    <row r="1244" ht="22.5" hidden="1" customHeight="1">
      <c r="A1244" s="2" t="s">
        <v>312</v>
      </c>
      <c r="B1244" s="2" t="s">
        <v>1011</v>
      </c>
      <c r="C1244" s="2">
        <v>3225.0</v>
      </c>
      <c r="D1244" s="8" t="s">
        <v>12</v>
      </c>
      <c r="E1244" s="9" t="s">
        <v>47</v>
      </c>
      <c r="F1244" s="33">
        <v>1.0</v>
      </c>
      <c r="G1244" s="33">
        <v>2350.0</v>
      </c>
      <c r="H1244" s="35">
        <v>46127.0</v>
      </c>
      <c r="I1244" s="2" t="s">
        <v>14</v>
      </c>
      <c r="J1244" s="12" t="s">
        <v>541</v>
      </c>
    </row>
    <row r="1245" ht="22.5" hidden="1" customHeight="1">
      <c r="A1245" s="2" t="s">
        <v>127</v>
      </c>
      <c r="B1245" s="2" t="s">
        <v>1011</v>
      </c>
      <c r="C1245" s="2">
        <v>3225.0</v>
      </c>
      <c r="D1245" s="8" t="s">
        <v>12</v>
      </c>
      <c r="E1245" s="9" t="s">
        <v>47</v>
      </c>
      <c r="F1245" s="33">
        <v>1.0</v>
      </c>
      <c r="G1245" s="33">
        <v>2350.0</v>
      </c>
      <c r="H1245" s="35">
        <v>46127.0</v>
      </c>
      <c r="I1245" s="2" t="s">
        <v>14</v>
      </c>
      <c r="J1245" s="12" t="s">
        <v>1012</v>
      </c>
    </row>
    <row r="1246" ht="22.5" hidden="1" customHeight="1">
      <c r="A1246" s="2" t="s">
        <v>1013</v>
      </c>
      <c r="B1246" s="2" t="s">
        <v>365</v>
      </c>
      <c r="C1246" s="2">
        <v>9094.0</v>
      </c>
      <c r="D1246" s="8" t="s">
        <v>22</v>
      </c>
      <c r="E1246" s="9" t="s">
        <v>58</v>
      </c>
      <c r="F1246" s="33">
        <v>1.0</v>
      </c>
      <c r="G1246" s="33">
        <v>2400.0</v>
      </c>
      <c r="H1246" s="35">
        <v>46127.0</v>
      </c>
      <c r="I1246" s="2" t="s">
        <v>14</v>
      </c>
      <c r="J1246" s="2"/>
    </row>
    <row r="1247" ht="22.5" hidden="1" customHeight="1">
      <c r="A1247" s="2" t="s">
        <v>247</v>
      </c>
      <c r="B1247" s="2" t="s">
        <v>1014</v>
      </c>
      <c r="C1247" s="2">
        <v>8765.0</v>
      </c>
      <c r="D1247" s="8" t="s">
        <v>12</v>
      </c>
      <c r="E1247" s="9" t="s">
        <v>13</v>
      </c>
      <c r="F1247" s="33">
        <v>1.0</v>
      </c>
      <c r="G1247" s="33">
        <v>1800.0</v>
      </c>
      <c r="H1247" s="35">
        <v>46127.0</v>
      </c>
      <c r="I1247" s="2" t="s">
        <v>14</v>
      </c>
      <c r="J1247" s="12" t="s">
        <v>416</v>
      </c>
    </row>
    <row r="1248" ht="22.5" hidden="1" customHeight="1">
      <c r="A1248" s="2" t="s">
        <v>967</v>
      </c>
      <c r="B1248" s="2" t="s">
        <v>1014</v>
      </c>
      <c r="C1248" s="2">
        <v>8765.0</v>
      </c>
      <c r="D1248" s="8" t="s">
        <v>22</v>
      </c>
      <c r="E1248" s="9" t="s">
        <v>13</v>
      </c>
      <c r="F1248" s="33">
        <v>1.0</v>
      </c>
      <c r="G1248" s="33">
        <v>1800.0</v>
      </c>
      <c r="H1248" s="35">
        <v>46127.0</v>
      </c>
      <c r="I1248" s="2" t="s">
        <v>14</v>
      </c>
      <c r="J1248" s="12" t="s">
        <v>968</v>
      </c>
    </row>
    <row r="1249" ht="22.5" hidden="1" customHeight="1">
      <c r="A1249" s="2" t="s">
        <v>53</v>
      </c>
      <c r="B1249" s="2" t="s">
        <v>1014</v>
      </c>
      <c r="C1249" s="2">
        <v>8765.0</v>
      </c>
      <c r="D1249" s="8" t="s">
        <v>12</v>
      </c>
      <c r="E1249" s="9" t="s">
        <v>13</v>
      </c>
      <c r="F1249" s="33">
        <v>1.0</v>
      </c>
      <c r="G1249" s="33">
        <v>1800.0</v>
      </c>
      <c r="H1249" s="35">
        <v>46127.0</v>
      </c>
      <c r="I1249" s="2" t="s">
        <v>14</v>
      </c>
      <c r="J1249" s="12" t="s">
        <v>1015</v>
      </c>
    </row>
    <row r="1250" ht="22.5" hidden="1" customHeight="1">
      <c r="A1250" s="2" t="s">
        <v>1016</v>
      </c>
      <c r="B1250" s="2" t="s">
        <v>1014</v>
      </c>
      <c r="C1250" s="2">
        <v>8765.0</v>
      </c>
      <c r="D1250" s="8" t="s">
        <v>12</v>
      </c>
      <c r="E1250" s="9" t="s">
        <v>13</v>
      </c>
      <c r="F1250" s="33">
        <v>1.0</v>
      </c>
      <c r="G1250" s="33">
        <v>1800.0</v>
      </c>
      <c r="H1250" s="35">
        <v>46127.0</v>
      </c>
      <c r="I1250" s="2" t="s">
        <v>14</v>
      </c>
      <c r="J1250" s="12" t="s">
        <v>1017</v>
      </c>
    </row>
    <row r="1251" ht="22.5" hidden="1" customHeight="1">
      <c r="A1251" s="2" t="s">
        <v>317</v>
      </c>
      <c r="B1251" s="2" t="s">
        <v>152</v>
      </c>
      <c r="C1251" s="2">
        <v>8319.0</v>
      </c>
      <c r="D1251" s="8" t="s">
        <v>22</v>
      </c>
      <c r="E1251" s="9" t="s">
        <v>58</v>
      </c>
      <c r="F1251" s="33">
        <v>1.0</v>
      </c>
      <c r="G1251" s="33">
        <v>1900.0</v>
      </c>
      <c r="H1251" s="35">
        <v>46127.0</v>
      </c>
      <c r="I1251" s="2" t="s">
        <v>14</v>
      </c>
      <c r="J1251" s="12" t="s">
        <v>1018</v>
      </c>
    </row>
    <row r="1252" ht="22.5" hidden="1" customHeight="1">
      <c r="A1252" s="2" t="s">
        <v>317</v>
      </c>
      <c r="B1252" s="2" t="s">
        <v>963</v>
      </c>
      <c r="C1252" s="2">
        <v>8610.0</v>
      </c>
      <c r="D1252" s="8" t="s">
        <v>22</v>
      </c>
      <c r="E1252" s="9" t="s">
        <v>13</v>
      </c>
      <c r="F1252" s="33">
        <v>1.0</v>
      </c>
      <c r="G1252" s="33">
        <v>1190.0</v>
      </c>
      <c r="H1252" s="35">
        <v>46127.0</v>
      </c>
      <c r="I1252" s="2" t="s">
        <v>14</v>
      </c>
      <c r="J1252" s="12" t="s">
        <v>1018</v>
      </c>
    </row>
    <row r="1253" ht="22.5" hidden="1" customHeight="1">
      <c r="A1253" s="2" t="s">
        <v>312</v>
      </c>
      <c r="B1253" s="2" t="s">
        <v>958</v>
      </c>
      <c r="C1253" s="2" t="s">
        <v>1019</v>
      </c>
      <c r="D1253" s="8" t="s">
        <v>12</v>
      </c>
      <c r="E1253" s="9" t="s">
        <v>18</v>
      </c>
      <c r="F1253" s="33">
        <v>2.0</v>
      </c>
      <c r="G1253" s="33">
        <v>1800.0</v>
      </c>
      <c r="H1253" s="35">
        <v>46127.0</v>
      </c>
      <c r="I1253" s="2" t="s">
        <v>24</v>
      </c>
      <c r="J1253" s="12" t="s">
        <v>541</v>
      </c>
    </row>
    <row r="1254" ht="22.5" hidden="1" customHeight="1">
      <c r="A1254" s="2" t="s">
        <v>1020</v>
      </c>
      <c r="B1254" s="2" t="s">
        <v>152</v>
      </c>
      <c r="C1254" s="2">
        <v>8319.0</v>
      </c>
      <c r="D1254" s="8" t="s">
        <v>12</v>
      </c>
      <c r="E1254" s="9" t="s">
        <v>58</v>
      </c>
      <c r="F1254" s="33">
        <v>1.0</v>
      </c>
      <c r="G1254" s="33">
        <v>1900.0</v>
      </c>
      <c r="H1254" s="35">
        <v>46127.0</v>
      </c>
      <c r="I1254" s="2" t="s">
        <v>14</v>
      </c>
      <c r="J1254" s="12" t="s">
        <v>1021</v>
      </c>
    </row>
    <row r="1255" ht="22.5" hidden="1" customHeight="1">
      <c r="A1255" s="2" t="s">
        <v>1022</v>
      </c>
      <c r="B1255" s="2" t="s">
        <v>963</v>
      </c>
      <c r="C1255" s="2">
        <v>8610.0</v>
      </c>
      <c r="D1255" s="8" t="s">
        <v>22</v>
      </c>
      <c r="E1255" s="9" t="s">
        <v>13</v>
      </c>
      <c r="F1255" s="33">
        <v>1.0</v>
      </c>
      <c r="G1255" s="33">
        <v>1190.0</v>
      </c>
      <c r="H1255" s="35">
        <v>46127.0</v>
      </c>
      <c r="I1255" s="2" t="s">
        <v>473</v>
      </c>
      <c r="J1255" s="12" t="s">
        <v>1023</v>
      </c>
    </row>
    <row r="1256" ht="22.5" hidden="1" customHeight="1">
      <c r="A1256" s="2" t="s">
        <v>875</v>
      </c>
      <c r="B1256" s="2" t="s">
        <v>958</v>
      </c>
      <c r="C1256" s="2" t="s">
        <v>959</v>
      </c>
      <c r="D1256" s="8" t="s">
        <v>22</v>
      </c>
      <c r="E1256" s="9" t="s">
        <v>18</v>
      </c>
      <c r="F1256" s="33">
        <v>2.0</v>
      </c>
      <c r="G1256" s="33">
        <v>1800.0</v>
      </c>
      <c r="H1256" s="35">
        <v>46127.0</v>
      </c>
      <c r="I1256" s="2" t="s">
        <v>24</v>
      </c>
      <c r="J1256" s="12" t="s">
        <v>976</v>
      </c>
    </row>
    <row r="1257" ht="22.5" hidden="1" customHeight="1">
      <c r="A1257" s="2" t="s">
        <v>1024</v>
      </c>
      <c r="B1257" s="2" t="s">
        <v>152</v>
      </c>
      <c r="C1257" s="2">
        <v>8319.0</v>
      </c>
      <c r="D1257" s="8" t="s">
        <v>22</v>
      </c>
      <c r="E1257" s="9" t="s">
        <v>58</v>
      </c>
      <c r="F1257" s="33">
        <v>1.0</v>
      </c>
      <c r="G1257" s="33">
        <v>1900.0</v>
      </c>
      <c r="H1257" s="35">
        <v>46127.0</v>
      </c>
      <c r="I1257" s="2" t="s">
        <v>14</v>
      </c>
      <c r="J1257" s="12" t="s">
        <v>1025</v>
      </c>
    </row>
    <row r="1258" ht="22.5" hidden="1" customHeight="1">
      <c r="A1258" s="2" t="s">
        <v>1024</v>
      </c>
      <c r="B1258" s="2" t="s">
        <v>1006</v>
      </c>
      <c r="C1258" s="2">
        <v>8321.0</v>
      </c>
      <c r="D1258" s="8" t="s">
        <v>46</v>
      </c>
      <c r="E1258" s="9" t="s">
        <v>26</v>
      </c>
      <c r="F1258" s="33">
        <v>1.0</v>
      </c>
      <c r="G1258" s="33">
        <v>1350.0</v>
      </c>
      <c r="H1258" s="35">
        <v>46127.0</v>
      </c>
      <c r="I1258" s="2" t="s">
        <v>14</v>
      </c>
      <c r="J1258" s="12" t="s">
        <v>1025</v>
      </c>
    </row>
    <row r="1259" ht="22.5" hidden="1" customHeight="1">
      <c r="A1259" s="2" t="s">
        <v>571</v>
      </c>
      <c r="B1259" s="2" t="s">
        <v>963</v>
      </c>
      <c r="C1259" s="2">
        <v>8610.0</v>
      </c>
      <c r="D1259" s="8" t="s">
        <v>12</v>
      </c>
      <c r="E1259" s="9" t="s">
        <v>13</v>
      </c>
      <c r="F1259" s="33">
        <v>1.0</v>
      </c>
      <c r="G1259" s="33">
        <v>1190.0</v>
      </c>
      <c r="H1259" s="35">
        <v>46127.0</v>
      </c>
      <c r="I1259" s="2" t="s">
        <v>14</v>
      </c>
      <c r="J1259" s="12" t="s">
        <v>572</v>
      </c>
    </row>
    <row r="1260" ht="22.5" hidden="1" customHeight="1">
      <c r="A1260" s="2" t="s">
        <v>571</v>
      </c>
      <c r="B1260" s="2" t="s">
        <v>963</v>
      </c>
      <c r="C1260" s="2">
        <v>8610.0</v>
      </c>
      <c r="D1260" s="8" t="s">
        <v>12</v>
      </c>
      <c r="E1260" s="9" t="s">
        <v>58</v>
      </c>
      <c r="F1260" s="33">
        <v>1.0</v>
      </c>
      <c r="G1260" s="33">
        <v>1190.0</v>
      </c>
      <c r="H1260" s="35">
        <v>46127.0</v>
      </c>
      <c r="I1260" s="2" t="s">
        <v>14</v>
      </c>
      <c r="J1260" s="12" t="s">
        <v>572</v>
      </c>
    </row>
    <row r="1261" ht="22.5" hidden="1" customHeight="1">
      <c r="A1261" s="2" t="s">
        <v>99</v>
      </c>
      <c r="B1261" s="2" t="s">
        <v>963</v>
      </c>
      <c r="C1261" s="2">
        <v>8610.0</v>
      </c>
      <c r="D1261" s="8" t="s">
        <v>12</v>
      </c>
      <c r="E1261" s="9" t="s">
        <v>13</v>
      </c>
      <c r="F1261" s="33">
        <v>1.0</v>
      </c>
      <c r="G1261" s="33">
        <v>1190.0</v>
      </c>
      <c r="H1261" s="35">
        <v>46127.0</v>
      </c>
      <c r="I1261" s="2" t="s">
        <v>24</v>
      </c>
      <c r="J1261" s="2"/>
    </row>
    <row r="1262" ht="22.5" hidden="1" customHeight="1">
      <c r="A1262" s="2" t="s">
        <v>99</v>
      </c>
      <c r="B1262" s="2" t="s">
        <v>152</v>
      </c>
      <c r="C1262" s="2">
        <v>8319.0</v>
      </c>
      <c r="D1262" s="8" t="s">
        <v>12</v>
      </c>
      <c r="E1262" s="9" t="s">
        <v>58</v>
      </c>
      <c r="F1262" s="33">
        <v>1.0</v>
      </c>
      <c r="G1262" s="33">
        <v>1900.0</v>
      </c>
      <c r="H1262" s="35">
        <v>46127.0</v>
      </c>
      <c r="I1262" s="2" t="s">
        <v>14</v>
      </c>
      <c r="J1262" s="2"/>
    </row>
    <row r="1263" ht="22.5" hidden="1" customHeight="1">
      <c r="A1263" s="2" t="s">
        <v>99</v>
      </c>
      <c r="B1263" s="2" t="s">
        <v>961</v>
      </c>
      <c r="C1263" s="2">
        <v>6612.0</v>
      </c>
      <c r="D1263" s="8" t="s">
        <v>46</v>
      </c>
      <c r="E1263" s="9">
        <v>5.0</v>
      </c>
      <c r="F1263" s="33">
        <v>1.0</v>
      </c>
      <c r="G1263" s="33">
        <v>850.0</v>
      </c>
      <c r="H1263" s="35">
        <v>46127.0</v>
      </c>
      <c r="I1263" s="2" t="s">
        <v>14</v>
      </c>
      <c r="J1263" s="12" t="s">
        <v>1026</v>
      </c>
    </row>
    <row r="1264" ht="22.5" hidden="1" customHeight="1">
      <c r="A1264" s="2" t="s">
        <v>99</v>
      </c>
      <c r="B1264" s="2" t="s">
        <v>961</v>
      </c>
      <c r="C1264" s="2">
        <v>6612.0</v>
      </c>
      <c r="D1264" s="8" t="s">
        <v>46</v>
      </c>
      <c r="E1264" s="9">
        <v>2.0</v>
      </c>
      <c r="F1264" s="33">
        <v>1.0</v>
      </c>
      <c r="G1264" s="33">
        <v>850.0</v>
      </c>
      <c r="H1264" s="35">
        <v>46127.0</v>
      </c>
      <c r="I1264" s="2" t="s">
        <v>14</v>
      </c>
      <c r="J1264" s="12" t="s">
        <v>1026</v>
      </c>
    </row>
    <row r="1265" ht="22.5" hidden="1" customHeight="1">
      <c r="A1265" s="2" t="s">
        <v>675</v>
      </c>
      <c r="B1265" s="2" t="s">
        <v>958</v>
      </c>
      <c r="C1265" s="2" t="s">
        <v>1027</v>
      </c>
      <c r="D1265" s="8" t="s">
        <v>22</v>
      </c>
      <c r="E1265" s="9" t="s">
        <v>18</v>
      </c>
      <c r="F1265" s="33">
        <v>1.0</v>
      </c>
      <c r="G1265" s="33">
        <v>1800.0</v>
      </c>
      <c r="H1265" s="35">
        <v>46127.0</v>
      </c>
      <c r="I1265" s="2" t="s">
        <v>24</v>
      </c>
      <c r="J1265" s="12" t="s">
        <v>676</v>
      </c>
    </row>
    <row r="1266" ht="22.5" hidden="1" customHeight="1">
      <c r="A1266" s="2" t="s">
        <v>1028</v>
      </c>
      <c r="B1266" s="2" t="s">
        <v>958</v>
      </c>
      <c r="C1266" s="2" t="s">
        <v>1027</v>
      </c>
      <c r="D1266" s="8" t="s">
        <v>75</v>
      </c>
      <c r="E1266" s="9" t="s">
        <v>18</v>
      </c>
      <c r="F1266" s="33">
        <v>1.0</v>
      </c>
      <c r="G1266" s="33">
        <v>1800.0</v>
      </c>
      <c r="H1266" s="35">
        <v>46127.0</v>
      </c>
      <c r="I1266" s="2" t="s">
        <v>24</v>
      </c>
      <c r="J1266" s="12" t="s">
        <v>981</v>
      </c>
    </row>
    <row r="1267" ht="22.5" hidden="1" customHeight="1">
      <c r="A1267" s="2" t="s">
        <v>1029</v>
      </c>
      <c r="B1267" s="2" t="s">
        <v>152</v>
      </c>
      <c r="C1267" s="2">
        <v>8319.0</v>
      </c>
      <c r="D1267" s="8" t="s">
        <v>75</v>
      </c>
      <c r="E1267" s="9" t="s">
        <v>58</v>
      </c>
      <c r="F1267" s="33">
        <v>1.0</v>
      </c>
      <c r="G1267" s="33">
        <v>1900.0</v>
      </c>
      <c r="H1267" s="35">
        <v>46127.0</v>
      </c>
      <c r="I1267" s="2" t="s">
        <v>14</v>
      </c>
      <c r="J1267" s="2"/>
    </row>
    <row r="1268" ht="22.5" hidden="1" customHeight="1">
      <c r="A1268" s="2" t="s">
        <v>861</v>
      </c>
      <c r="B1268" s="2" t="s">
        <v>963</v>
      </c>
      <c r="C1268" s="2">
        <v>8610.0</v>
      </c>
      <c r="D1268" s="8" t="s">
        <v>22</v>
      </c>
      <c r="E1268" s="9" t="s">
        <v>26</v>
      </c>
      <c r="F1268" s="33">
        <v>1.0</v>
      </c>
      <c r="G1268" s="33">
        <v>1190.0</v>
      </c>
      <c r="H1268" s="35">
        <v>46127.0</v>
      </c>
      <c r="I1268" s="2" t="s">
        <v>14</v>
      </c>
      <c r="J1268" s="12" t="s">
        <v>862</v>
      </c>
    </row>
    <row r="1269" ht="22.5" hidden="1" customHeight="1">
      <c r="A1269" s="2" t="s">
        <v>369</v>
      </c>
      <c r="B1269" s="2" t="s">
        <v>963</v>
      </c>
      <c r="C1269" s="2">
        <v>8610.0</v>
      </c>
      <c r="D1269" s="8" t="s">
        <v>12</v>
      </c>
      <c r="E1269" s="9" t="s">
        <v>16</v>
      </c>
      <c r="F1269" s="33">
        <v>1.0</v>
      </c>
      <c r="G1269" s="33">
        <v>1190.0</v>
      </c>
      <c r="H1269" s="35">
        <v>46127.0</v>
      </c>
      <c r="I1269" s="2" t="s">
        <v>14</v>
      </c>
      <c r="J1269" s="12" t="s">
        <v>1030</v>
      </c>
    </row>
    <row r="1270" ht="22.5" hidden="1" customHeight="1">
      <c r="A1270" s="2" t="s">
        <v>71</v>
      </c>
      <c r="B1270" s="2" t="s">
        <v>152</v>
      </c>
      <c r="C1270" s="2">
        <v>8319.0</v>
      </c>
      <c r="D1270" s="8" t="s">
        <v>22</v>
      </c>
      <c r="E1270" s="9" t="s">
        <v>58</v>
      </c>
      <c r="F1270" s="33">
        <v>1.0</v>
      </c>
      <c r="G1270" s="33">
        <v>1900.0</v>
      </c>
      <c r="H1270" s="35">
        <v>46127.0</v>
      </c>
      <c r="I1270" s="2" t="s">
        <v>14</v>
      </c>
      <c r="J1270" s="12" t="s">
        <v>955</v>
      </c>
    </row>
    <row r="1271" ht="22.5" hidden="1" customHeight="1">
      <c r="A1271" s="2" t="s">
        <v>851</v>
      </c>
      <c r="B1271" s="2" t="s">
        <v>963</v>
      </c>
      <c r="C1271" s="2">
        <v>8610.0</v>
      </c>
      <c r="D1271" s="8" t="s">
        <v>12</v>
      </c>
      <c r="E1271" s="9" t="s">
        <v>18</v>
      </c>
      <c r="F1271" s="33">
        <v>1.0</v>
      </c>
      <c r="G1271" s="33">
        <v>1190.0</v>
      </c>
      <c r="H1271" s="35">
        <v>46127.0</v>
      </c>
      <c r="I1271" s="2" t="s">
        <v>14</v>
      </c>
      <c r="J1271" s="12" t="s">
        <v>852</v>
      </c>
    </row>
    <row r="1272" ht="22.5" hidden="1" customHeight="1">
      <c r="A1272" s="2" t="s">
        <v>851</v>
      </c>
      <c r="B1272" s="2" t="s">
        <v>963</v>
      </c>
      <c r="C1272" s="2">
        <v>8610.0</v>
      </c>
      <c r="D1272" s="8" t="s">
        <v>12</v>
      </c>
      <c r="E1272" s="9" t="s">
        <v>13</v>
      </c>
      <c r="F1272" s="33">
        <v>1.0</v>
      </c>
      <c r="G1272" s="33">
        <v>1190.0</v>
      </c>
      <c r="H1272" s="35">
        <v>46127.0</v>
      </c>
      <c r="I1272" s="2" t="s">
        <v>14</v>
      </c>
      <c r="J1272" s="12" t="s">
        <v>852</v>
      </c>
    </row>
    <row r="1273" ht="22.5" hidden="1" customHeight="1">
      <c r="A1273" s="2" t="s">
        <v>851</v>
      </c>
      <c r="B1273" s="2" t="s">
        <v>963</v>
      </c>
      <c r="C1273" s="2">
        <v>8610.0</v>
      </c>
      <c r="D1273" s="8" t="s">
        <v>12</v>
      </c>
      <c r="E1273" s="9" t="s">
        <v>23</v>
      </c>
      <c r="F1273" s="33">
        <v>1.0</v>
      </c>
      <c r="G1273" s="33">
        <v>1190.0</v>
      </c>
      <c r="H1273" s="35">
        <v>46127.0</v>
      </c>
      <c r="I1273" s="2" t="s">
        <v>14</v>
      </c>
      <c r="J1273" s="12" t="s">
        <v>852</v>
      </c>
    </row>
    <row r="1274" ht="22.5" hidden="1" customHeight="1">
      <c r="A1274" s="2" t="s">
        <v>830</v>
      </c>
      <c r="B1274" s="2" t="s">
        <v>961</v>
      </c>
      <c r="C1274" s="2">
        <v>6612.0</v>
      </c>
      <c r="D1274" s="8" t="s">
        <v>46</v>
      </c>
      <c r="E1274" s="9">
        <v>2.0</v>
      </c>
      <c r="F1274" s="33">
        <v>1.0</v>
      </c>
      <c r="G1274" s="33">
        <v>850.0</v>
      </c>
      <c r="H1274" s="35">
        <v>46127.0</v>
      </c>
      <c r="I1274" s="2" t="s">
        <v>14</v>
      </c>
      <c r="J1274" s="12" t="s">
        <v>831</v>
      </c>
    </row>
    <row r="1275" ht="22.5" hidden="1" customHeight="1">
      <c r="A1275" s="2" t="s">
        <v>830</v>
      </c>
      <c r="B1275" s="2" t="s">
        <v>961</v>
      </c>
      <c r="C1275" s="2">
        <v>6612.0</v>
      </c>
      <c r="D1275" s="8" t="s">
        <v>46</v>
      </c>
      <c r="E1275" s="9">
        <v>5.0</v>
      </c>
      <c r="F1275" s="33">
        <v>1.0</v>
      </c>
      <c r="G1275" s="33">
        <v>850.0</v>
      </c>
      <c r="H1275" s="35">
        <v>46127.0</v>
      </c>
      <c r="I1275" s="2" t="s">
        <v>14</v>
      </c>
      <c r="J1275" s="12" t="s">
        <v>831</v>
      </c>
    </row>
    <row r="1276" ht="22.5" hidden="1" customHeight="1">
      <c r="A1276" s="2" t="s">
        <v>317</v>
      </c>
      <c r="B1276" s="2" t="s">
        <v>1006</v>
      </c>
      <c r="C1276" s="2">
        <v>8321.0</v>
      </c>
      <c r="D1276" s="8" t="s">
        <v>46</v>
      </c>
      <c r="E1276" s="9" t="s">
        <v>26</v>
      </c>
      <c r="F1276" s="33">
        <v>1.0</v>
      </c>
      <c r="G1276" s="33">
        <v>1350.0</v>
      </c>
      <c r="H1276" s="35">
        <v>46127.0</v>
      </c>
      <c r="I1276" s="2" t="s">
        <v>14</v>
      </c>
      <c r="J1276" s="12" t="s">
        <v>1018</v>
      </c>
    </row>
    <row r="1277" ht="22.5" hidden="1" customHeight="1">
      <c r="A1277" s="2" t="s">
        <v>921</v>
      </c>
      <c r="B1277" s="2" t="s">
        <v>958</v>
      </c>
      <c r="C1277" s="2" t="s">
        <v>1019</v>
      </c>
      <c r="D1277" s="8" t="s">
        <v>12</v>
      </c>
      <c r="E1277" s="9" t="s">
        <v>18</v>
      </c>
      <c r="F1277" s="33">
        <v>1.0</v>
      </c>
      <c r="G1277" s="33">
        <v>1800.0</v>
      </c>
      <c r="H1277" s="35">
        <v>46127.0</v>
      </c>
      <c r="I1277" s="2" t="s">
        <v>14</v>
      </c>
      <c r="J1277" s="12" t="s">
        <v>922</v>
      </c>
    </row>
    <row r="1278" ht="22.5" hidden="1" customHeight="1">
      <c r="A1278" s="2" t="s">
        <v>295</v>
      </c>
      <c r="B1278" s="2" t="s">
        <v>958</v>
      </c>
      <c r="C1278" s="2" t="s">
        <v>1019</v>
      </c>
      <c r="D1278" s="8" t="s">
        <v>12</v>
      </c>
      <c r="E1278" s="9" t="s">
        <v>18</v>
      </c>
      <c r="F1278" s="33">
        <v>1.0</v>
      </c>
      <c r="G1278" s="33">
        <v>1800.0</v>
      </c>
      <c r="H1278" s="35">
        <v>46127.0</v>
      </c>
      <c r="I1278" s="2" t="s">
        <v>14</v>
      </c>
      <c r="J1278" s="12" t="s">
        <v>1031</v>
      </c>
    </row>
    <row r="1279" ht="22.5" hidden="1" customHeight="1">
      <c r="A1279" s="2" t="s">
        <v>1032</v>
      </c>
      <c r="B1279" s="2" t="s">
        <v>961</v>
      </c>
      <c r="C1279" s="2">
        <v>6612.0</v>
      </c>
      <c r="D1279" s="8" t="s">
        <v>46</v>
      </c>
      <c r="E1279" s="9">
        <v>2.0</v>
      </c>
      <c r="F1279" s="33">
        <v>1.0</v>
      </c>
      <c r="G1279" s="33">
        <v>850.0</v>
      </c>
      <c r="H1279" s="35">
        <v>46127.0</v>
      </c>
      <c r="I1279" s="2" t="s">
        <v>14</v>
      </c>
      <c r="J1279" s="12" t="s">
        <v>1033</v>
      </c>
    </row>
    <row r="1280" ht="22.5" hidden="1" customHeight="1">
      <c r="A1280" s="2" t="s">
        <v>1032</v>
      </c>
      <c r="B1280" s="2" t="s">
        <v>961</v>
      </c>
      <c r="C1280" s="2">
        <v>6612.0</v>
      </c>
      <c r="D1280" s="8" t="s">
        <v>46</v>
      </c>
      <c r="E1280" s="9">
        <v>5.0</v>
      </c>
      <c r="F1280" s="33">
        <v>1.0</v>
      </c>
      <c r="G1280" s="33">
        <v>850.0</v>
      </c>
      <c r="H1280" s="35">
        <v>46127.0</v>
      </c>
      <c r="I1280" s="2" t="s">
        <v>14</v>
      </c>
      <c r="J1280" s="12" t="s">
        <v>1033</v>
      </c>
    </row>
    <row r="1281" ht="22.5" hidden="1" customHeight="1">
      <c r="A1281" s="2" t="s">
        <v>161</v>
      </c>
      <c r="B1281" s="2" t="s">
        <v>961</v>
      </c>
      <c r="C1281" s="2">
        <v>6612.0</v>
      </c>
      <c r="D1281" s="8" t="s">
        <v>46</v>
      </c>
      <c r="E1281" s="9">
        <v>2.0</v>
      </c>
      <c r="F1281" s="33">
        <v>1.0</v>
      </c>
      <c r="G1281" s="33">
        <v>850.0</v>
      </c>
      <c r="H1281" s="35">
        <v>46127.0</v>
      </c>
      <c r="I1281" s="2" t="s">
        <v>14</v>
      </c>
      <c r="J1281" s="12" t="s">
        <v>1034</v>
      </c>
    </row>
    <row r="1282" ht="22.5" hidden="1" customHeight="1">
      <c r="A1282" s="2" t="s">
        <v>161</v>
      </c>
      <c r="B1282" s="2" t="s">
        <v>961</v>
      </c>
      <c r="C1282" s="2">
        <v>6612.0</v>
      </c>
      <c r="D1282" s="8" t="s">
        <v>46</v>
      </c>
      <c r="E1282" s="9">
        <v>3.0</v>
      </c>
      <c r="F1282" s="33">
        <v>1.0</v>
      </c>
      <c r="G1282" s="33">
        <v>850.0</v>
      </c>
      <c r="H1282" s="35">
        <v>46127.0</v>
      </c>
      <c r="I1282" s="2" t="s">
        <v>14</v>
      </c>
      <c r="J1282" s="12" t="s">
        <v>1034</v>
      </c>
    </row>
    <row r="1283" ht="22.5" hidden="1" customHeight="1">
      <c r="A1283" s="2" t="s">
        <v>1035</v>
      </c>
      <c r="B1283" s="2" t="s">
        <v>961</v>
      </c>
      <c r="C1283" s="2">
        <v>6612.0</v>
      </c>
      <c r="D1283" s="8" t="s">
        <v>46</v>
      </c>
      <c r="E1283" s="9">
        <v>2.0</v>
      </c>
      <c r="F1283" s="33">
        <v>1.0</v>
      </c>
      <c r="G1283" s="33">
        <v>850.0</v>
      </c>
      <c r="H1283" s="35">
        <v>46127.0</v>
      </c>
      <c r="I1283" s="2" t="s">
        <v>14</v>
      </c>
      <c r="J1283" s="12" t="s">
        <v>1036</v>
      </c>
    </row>
    <row r="1284" ht="22.5" hidden="1" customHeight="1">
      <c r="A1284" s="2" t="s">
        <v>1035</v>
      </c>
      <c r="B1284" s="2" t="s">
        <v>961</v>
      </c>
      <c r="C1284" s="2">
        <v>6612.0</v>
      </c>
      <c r="D1284" s="8" t="s">
        <v>46</v>
      </c>
      <c r="E1284" s="9">
        <v>3.0</v>
      </c>
      <c r="F1284" s="33">
        <v>1.0</v>
      </c>
      <c r="G1284" s="33">
        <v>850.0</v>
      </c>
      <c r="H1284" s="35">
        <v>46127.0</v>
      </c>
      <c r="I1284" s="2" t="s">
        <v>14</v>
      </c>
      <c r="J1284" s="12" t="s">
        <v>1036</v>
      </c>
    </row>
    <row r="1285" ht="22.5" hidden="1" customHeight="1">
      <c r="A1285" s="2" t="s">
        <v>144</v>
      </c>
      <c r="B1285" s="2" t="s">
        <v>958</v>
      </c>
      <c r="C1285" s="2" t="s">
        <v>1019</v>
      </c>
      <c r="D1285" s="8" t="s">
        <v>1037</v>
      </c>
      <c r="E1285" s="9" t="s">
        <v>18</v>
      </c>
      <c r="F1285" s="33">
        <v>1.0</v>
      </c>
      <c r="G1285" s="33">
        <v>1800.0</v>
      </c>
      <c r="H1285" s="35">
        <v>46127.0</v>
      </c>
      <c r="I1285" s="2" t="s">
        <v>14</v>
      </c>
      <c r="J1285" s="12" t="s">
        <v>1038</v>
      </c>
    </row>
    <row r="1286" ht="22.5" hidden="1" customHeight="1">
      <c r="A1286" s="2" t="s">
        <v>274</v>
      </c>
      <c r="B1286" s="2" t="s">
        <v>961</v>
      </c>
      <c r="C1286" s="2">
        <v>6612.0</v>
      </c>
      <c r="D1286" s="8" t="s">
        <v>46</v>
      </c>
      <c r="E1286" s="9">
        <v>4.0</v>
      </c>
      <c r="F1286" s="33">
        <v>1.0</v>
      </c>
      <c r="G1286" s="33">
        <v>850.0</v>
      </c>
      <c r="H1286" s="35">
        <v>46127.0</v>
      </c>
      <c r="I1286" s="2" t="s">
        <v>14</v>
      </c>
      <c r="J1286" s="12" t="s">
        <v>882</v>
      </c>
    </row>
    <row r="1287" ht="22.5" hidden="1" customHeight="1">
      <c r="A1287" s="2" t="s">
        <v>274</v>
      </c>
      <c r="B1287" s="2" t="s">
        <v>961</v>
      </c>
      <c r="C1287" s="2">
        <v>6612.0</v>
      </c>
      <c r="D1287" s="8" t="s">
        <v>46</v>
      </c>
      <c r="E1287" s="9">
        <v>5.0</v>
      </c>
      <c r="F1287" s="33">
        <v>1.0</v>
      </c>
      <c r="G1287" s="33">
        <v>850.0</v>
      </c>
      <c r="H1287" s="35">
        <v>46127.0</v>
      </c>
      <c r="I1287" s="2" t="s">
        <v>14</v>
      </c>
      <c r="J1287" s="12" t="s">
        <v>882</v>
      </c>
    </row>
    <row r="1288" ht="22.5" hidden="1" customHeight="1">
      <c r="A1288" s="2" t="s">
        <v>570</v>
      </c>
      <c r="B1288" s="2" t="s">
        <v>961</v>
      </c>
      <c r="C1288" s="2">
        <v>6612.0</v>
      </c>
      <c r="D1288" s="8" t="s">
        <v>46</v>
      </c>
      <c r="E1288" s="9">
        <v>2.0</v>
      </c>
      <c r="F1288" s="33">
        <v>1.0</v>
      </c>
      <c r="G1288" s="33">
        <v>850.0</v>
      </c>
      <c r="H1288" s="35">
        <v>46127.0</v>
      </c>
      <c r="I1288" s="2" t="s">
        <v>14</v>
      </c>
      <c r="J1288" s="12" t="s">
        <v>569</v>
      </c>
    </row>
    <row r="1289" ht="22.5" hidden="1" customHeight="1">
      <c r="A1289" s="2" t="s">
        <v>570</v>
      </c>
      <c r="B1289" s="2" t="s">
        <v>961</v>
      </c>
      <c r="C1289" s="2">
        <v>6612.0</v>
      </c>
      <c r="D1289" s="8" t="s">
        <v>46</v>
      </c>
      <c r="E1289" s="9">
        <v>3.0</v>
      </c>
      <c r="F1289" s="33">
        <v>1.0</v>
      </c>
      <c r="G1289" s="33">
        <v>850.0</v>
      </c>
      <c r="H1289" s="35">
        <v>46127.0</v>
      </c>
      <c r="I1289" s="2" t="s">
        <v>14</v>
      </c>
      <c r="J1289" s="12" t="s">
        <v>569</v>
      </c>
    </row>
    <row r="1290" ht="22.5" hidden="1" customHeight="1">
      <c r="A1290" s="2" t="s">
        <v>1039</v>
      </c>
      <c r="B1290" s="2" t="s">
        <v>958</v>
      </c>
      <c r="C1290" s="2" t="s">
        <v>959</v>
      </c>
      <c r="D1290" s="8" t="s">
        <v>22</v>
      </c>
      <c r="E1290" s="9" t="s">
        <v>18</v>
      </c>
      <c r="F1290" s="33">
        <v>1.0</v>
      </c>
      <c r="G1290" s="33">
        <v>1800.0</v>
      </c>
      <c r="H1290" s="35">
        <v>46127.0</v>
      </c>
      <c r="I1290" s="2" t="s">
        <v>14</v>
      </c>
      <c r="J1290" s="12" t="s">
        <v>1040</v>
      </c>
    </row>
    <row r="1291" ht="22.5" hidden="1" customHeight="1">
      <c r="A1291" s="2" t="s">
        <v>38</v>
      </c>
      <c r="B1291" s="2" t="s">
        <v>958</v>
      </c>
      <c r="C1291" s="2" t="s">
        <v>959</v>
      </c>
      <c r="D1291" s="8" t="s">
        <v>22</v>
      </c>
      <c r="E1291" s="9" t="s">
        <v>18</v>
      </c>
      <c r="F1291" s="33">
        <v>1.0</v>
      </c>
      <c r="G1291" s="33">
        <v>1800.0</v>
      </c>
      <c r="H1291" s="35">
        <v>46127.0</v>
      </c>
      <c r="I1291" s="2" t="s">
        <v>14</v>
      </c>
      <c r="J1291" s="12" t="s">
        <v>1041</v>
      </c>
    </row>
    <row r="1292" ht="22.5" hidden="1" customHeight="1">
      <c r="A1292" s="2" t="s">
        <v>1042</v>
      </c>
      <c r="B1292" s="2" t="s">
        <v>961</v>
      </c>
      <c r="C1292" s="2">
        <v>6612.0</v>
      </c>
      <c r="D1292" s="8" t="s">
        <v>46</v>
      </c>
      <c r="E1292" s="9">
        <v>2.0</v>
      </c>
      <c r="F1292" s="33">
        <v>1.0</v>
      </c>
      <c r="G1292" s="33">
        <v>850.0</v>
      </c>
      <c r="H1292" s="35">
        <v>46127.0</v>
      </c>
      <c r="I1292" s="2" t="s">
        <v>14</v>
      </c>
      <c r="J1292" s="12" t="s">
        <v>1043</v>
      </c>
    </row>
    <row r="1293" ht="22.5" hidden="1" customHeight="1">
      <c r="A1293" s="2" t="s">
        <v>1042</v>
      </c>
      <c r="B1293" s="2" t="s">
        <v>961</v>
      </c>
      <c r="C1293" s="2">
        <v>6612.0</v>
      </c>
      <c r="D1293" s="8" t="s">
        <v>46</v>
      </c>
      <c r="E1293" s="9">
        <v>5.0</v>
      </c>
      <c r="F1293" s="33">
        <v>1.0</v>
      </c>
      <c r="G1293" s="33">
        <v>850.0</v>
      </c>
      <c r="H1293" s="35">
        <v>46127.0</v>
      </c>
      <c r="I1293" s="2" t="s">
        <v>14</v>
      </c>
      <c r="J1293" s="12" t="s">
        <v>1043</v>
      </c>
    </row>
    <row r="1294" ht="22.5" hidden="1" customHeight="1">
      <c r="A1294" s="2" t="s">
        <v>280</v>
      </c>
      <c r="B1294" s="2" t="s">
        <v>958</v>
      </c>
      <c r="C1294" s="2" t="s">
        <v>959</v>
      </c>
      <c r="D1294" s="8" t="s">
        <v>22</v>
      </c>
      <c r="E1294" s="9" t="s">
        <v>18</v>
      </c>
      <c r="F1294" s="33">
        <v>1.0</v>
      </c>
      <c r="G1294" s="33">
        <v>1800.0</v>
      </c>
      <c r="H1294" s="35">
        <v>46127.0</v>
      </c>
      <c r="I1294" s="2" t="s">
        <v>14</v>
      </c>
      <c r="J1294" s="12" t="s">
        <v>1044</v>
      </c>
    </row>
    <row r="1295" ht="22.5" hidden="1" customHeight="1">
      <c r="A1295" s="2" t="s">
        <v>1045</v>
      </c>
      <c r="B1295" s="2" t="s">
        <v>961</v>
      </c>
      <c r="C1295" s="2">
        <v>6612.0</v>
      </c>
      <c r="D1295" s="8" t="s">
        <v>46</v>
      </c>
      <c r="E1295" s="9">
        <v>3.0</v>
      </c>
      <c r="F1295" s="33">
        <v>1.0</v>
      </c>
      <c r="G1295" s="33">
        <v>850.0</v>
      </c>
      <c r="H1295" s="35">
        <v>46127.0</v>
      </c>
      <c r="I1295" s="2" t="s">
        <v>14</v>
      </c>
      <c r="J1295" s="12" t="s">
        <v>1046</v>
      </c>
    </row>
    <row r="1296" ht="22.5" hidden="1" customHeight="1">
      <c r="A1296" s="2" t="s">
        <v>1045</v>
      </c>
      <c r="B1296" s="2" t="s">
        <v>961</v>
      </c>
      <c r="C1296" s="2">
        <v>6612.0</v>
      </c>
      <c r="D1296" s="8" t="s">
        <v>46</v>
      </c>
      <c r="E1296" s="9">
        <v>5.0</v>
      </c>
      <c r="F1296" s="33">
        <v>1.0</v>
      </c>
      <c r="G1296" s="33">
        <v>850.0</v>
      </c>
      <c r="H1296" s="35">
        <v>46127.0</v>
      </c>
      <c r="I1296" s="2" t="s">
        <v>14</v>
      </c>
      <c r="J1296" s="12" t="s">
        <v>1046</v>
      </c>
    </row>
    <row r="1297" ht="22.5" hidden="1" customHeight="1">
      <c r="A1297" s="2" t="s">
        <v>112</v>
      </c>
      <c r="B1297" s="2" t="s">
        <v>961</v>
      </c>
      <c r="C1297" s="2">
        <v>6612.0</v>
      </c>
      <c r="D1297" s="8" t="s">
        <v>46</v>
      </c>
      <c r="E1297" s="9">
        <v>3.0</v>
      </c>
      <c r="F1297" s="33">
        <v>1.0</v>
      </c>
      <c r="G1297" s="33">
        <v>850.0</v>
      </c>
      <c r="H1297" s="35">
        <v>46127.0</v>
      </c>
      <c r="I1297" s="2" t="s">
        <v>14</v>
      </c>
      <c r="J1297" s="12" t="s">
        <v>1047</v>
      </c>
    </row>
    <row r="1298" ht="22.5" hidden="1" customHeight="1">
      <c r="A1298" s="2" t="s">
        <v>112</v>
      </c>
      <c r="B1298" s="2" t="s">
        <v>961</v>
      </c>
      <c r="C1298" s="2">
        <v>6612.0</v>
      </c>
      <c r="D1298" s="8" t="s">
        <v>46</v>
      </c>
      <c r="E1298" s="9">
        <v>5.0</v>
      </c>
      <c r="F1298" s="33">
        <v>1.0</v>
      </c>
      <c r="G1298" s="33">
        <v>850.0</v>
      </c>
      <c r="H1298" s="35">
        <v>46127.0</v>
      </c>
      <c r="I1298" s="2" t="s">
        <v>14</v>
      </c>
      <c r="J1298" s="12" t="s">
        <v>1047</v>
      </c>
    </row>
    <row r="1299" ht="22.5" hidden="1" customHeight="1">
      <c r="A1299" s="2" t="s">
        <v>727</v>
      </c>
      <c r="B1299" s="2" t="s">
        <v>958</v>
      </c>
      <c r="C1299" s="2" t="s">
        <v>959</v>
      </c>
      <c r="D1299" s="8" t="s">
        <v>12</v>
      </c>
      <c r="E1299" s="9" t="s">
        <v>18</v>
      </c>
      <c r="F1299" s="33">
        <v>1.0</v>
      </c>
      <c r="G1299" s="33">
        <v>1800.0</v>
      </c>
      <c r="H1299" s="35">
        <v>46127.0</v>
      </c>
      <c r="I1299" s="2" t="s">
        <v>14</v>
      </c>
      <c r="J1299" s="12" t="s">
        <v>1048</v>
      </c>
    </row>
    <row r="1300" ht="22.5" hidden="1" customHeight="1">
      <c r="A1300" s="2" t="s">
        <v>188</v>
      </c>
      <c r="B1300" s="2" t="s">
        <v>961</v>
      </c>
      <c r="C1300" s="2">
        <v>6612.0</v>
      </c>
      <c r="D1300" s="8" t="s">
        <v>46</v>
      </c>
      <c r="E1300" s="9">
        <v>3.0</v>
      </c>
      <c r="F1300" s="33">
        <v>1.0</v>
      </c>
      <c r="G1300" s="33">
        <v>850.0</v>
      </c>
      <c r="H1300" s="35">
        <v>46127.0</v>
      </c>
      <c r="I1300" s="2" t="s">
        <v>14</v>
      </c>
      <c r="J1300" s="12" t="s">
        <v>1049</v>
      </c>
    </row>
    <row r="1301" ht="22.5" hidden="1" customHeight="1">
      <c r="A1301" s="2" t="s">
        <v>188</v>
      </c>
      <c r="B1301" s="2" t="s">
        <v>961</v>
      </c>
      <c r="C1301" s="2">
        <v>6612.0</v>
      </c>
      <c r="D1301" s="8" t="s">
        <v>46</v>
      </c>
      <c r="E1301" s="9">
        <v>5.0</v>
      </c>
      <c r="F1301" s="33">
        <v>1.0</v>
      </c>
      <c r="G1301" s="33">
        <v>850.0</v>
      </c>
      <c r="H1301" s="35">
        <v>46127.0</v>
      </c>
      <c r="I1301" s="2" t="s">
        <v>14</v>
      </c>
      <c r="J1301" s="12" t="s">
        <v>1049</v>
      </c>
    </row>
    <row r="1302" ht="22.5" hidden="1" customHeight="1">
      <c r="A1302" s="2" t="s">
        <v>1050</v>
      </c>
      <c r="B1302" s="2" t="s">
        <v>958</v>
      </c>
      <c r="C1302" s="2" t="s">
        <v>959</v>
      </c>
      <c r="D1302" s="8" t="s">
        <v>12</v>
      </c>
      <c r="E1302" s="9" t="s">
        <v>18</v>
      </c>
      <c r="F1302" s="33">
        <v>1.0</v>
      </c>
      <c r="G1302" s="33">
        <v>1800.0</v>
      </c>
      <c r="H1302" s="35">
        <v>46127.0</v>
      </c>
      <c r="I1302" s="2" t="s">
        <v>14</v>
      </c>
      <c r="J1302" s="12" t="s">
        <v>1051</v>
      </c>
    </row>
    <row r="1303" ht="22.5" hidden="1" customHeight="1">
      <c r="A1303" s="2" t="s">
        <v>144</v>
      </c>
      <c r="B1303" s="2" t="s">
        <v>961</v>
      </c>
      <c r="C1303" s="2">
        <v>6612.0</v>
      </c>
      <c r="D1303" s="8" t="s">
        <v>46</v>
      </c>
      <c r="E1303" s="9">
        <v>2.0</v>
      </c>
      <c r="F1303" s="33">
        <v>1.0</v>
      </c>
      <c r="G1303" s="33">
        <v>850.0</v>
      </c>
      <c r="H1303" s="35">
        <v>46127.0</v>
      </c>
      <c r="I1303" s="2" t="s">
        <v>14</v>
      </c>
      <c r="J1303" s="12" t="s">
        <v>1038</v>
      </c>
    </row>
    <row r="1304" ht="22.5" hidden="1" customHeight="1">
      <c r="A1304" s="2" t="s">
        <v>144</v>
      </c>
      <c r="B1304" s="2" t="s">
        <v>961</v>
      </c>
      <c r="C1304" s="2">
        <v>6612.0</v>
      </c>
      <c r="D1304" s="8" t="s">
        <v>46</v>
      </c>
      <c r="E1304" s="9">
        <v>5.0</v>
      </c>
      <c r="F1304" s="33">
        <v>1.0</v>
      </c>
      <c r="G1304" s="33">
        <v>850.0</v>
      </c>
      <c r="H1304" s="35">
        <v>46127.0</v>
      </c>
      <c r="I1304" s="2" t="s">
        <v>14</v>
      </c>
      <c r="J1304" s="12" t="s">
        <v>1038</v>
      </c>
    </row>
    <row r="1305" ht="22.5" hidden="1" customHeight="1">
      <c r="A1305" s="2" t="s">
        <v>71</v>
      </c>
      <c r="B1305" s="2" t="s">
        <v>961</v>
      </c>
      <c r="C1305" s="2">
        <v>6612.0</v>
      </c>
      <c r="D1305" s="8" t="s">
        <v>46</v>
      </c>
      <c r="E1305" s="9">
        <v>2.0</v>
      </c>
      <c r="F1305" s="33">
        <v>1.0</v>
      </c>
      <c r="G1305" s="33">
        <v>850.0</v>
      </c>
      <c r="H1305" s="35">
        <v>46127.0</v>
      </c>
      <c r="I1305" s="2" t="s">
        <v>14</v>
      </c>
      <c r="J1305" s="12" t="s">
        <v>955</v>
      </c>
    </row>
    <row r="1306" ht="22.5" hidden="1" customHeight="1">
      <c r="A1306" s="2" t="s">
        <v>71</v>
      </c>
      <c r="B1306" s="2" t="s">
        <v>961</v>
      </c>
      <c r="C1306" s="2">
        <v>6612.0</v>
      </c>
      <c r="D1306" s="8" t="s">
        <v>46</v>
      </c>
      <c r="E1306" s="9">
        <v>5.0</v>
      </c>
      <c r="F1306" s="33">
        <v>1.0</v>
      </c>
      <c r="G1306" s="33">
        <v>850.0</v>
      </c>
      <c r="H1306" s="35">
        <v>46127.0</v>
      </c>
      <c r="I1306" s="2" t="s">
        <v>14</v>
      </c>
      <c r="J1306" s="12" t="s">
        <v>955</v>
      </c>
    </row>
    <row r="1307" ht="22.5" hidden="1" customHeight="1">
      <c r="A1307" s="2" t="s">
        <v>263</v>
      </c>
      <c r="B1307" s="2" t="s">
        <v>958</v>
      </c>
      <c r="C1307" s="2" t="s">
        <v>959</v>
      </c>
      <c r="D1307" s="8" t="s">
        <v>22</v>
      </c>
      <c r="E1307" s="9" t="s">
        <v>18</v>
      </c>
      <c r="F1307" s="33">
        <v>1.0</v>
      </c>
      <c r="G1307" s="33">
        <v>1800.0</v>
      </c>
      <c r="H1307" s="35">
        <v>46127.0</v>
      </c>
      <c r="I1307" s="2" t="s">
        <v>14</v>
      </c>
      <c r="J1307" s="12" t="s">
        <v>789</v>
      </c>
    </row>
    <row r="1308" ht="22.5" hidden="1" customHeight="1">
      <c r="A1308" s="2" t="s">
        <v>1052</v>
      </c>
      <c r="B1308" s="2" t="s">
        <v>961</v>
      </c>
      <c r="C1308" s="2">
        <v>6612.0</v>
      </c>
      <c r="D1308" s="8" t="s">
        <v>46</v>
      </c>
      <c r="E1308" s="9">
        <v>5.0</v>
      </c>
      <c r="F1308" s="33">
        <v>2.0</v>
      </c>
      <c r="G1308" s="33">
        <v>850.0</v>
      </c>
      <c r="H1308" s="35">
        <v>46127.0</v>
      </c>
      <c r="I1308" s="2" t="s">
        <v>14</v>
      </c>
      <c r="J1308" s="12" t="s">
        <v>1053</v>
      </c>
    </row>
    <row r="1309" ht="22.5" hidden="1" customHeight="1">
      <c r="A1309" s="2" t="s">
        <v>1052</v>
      </c>
      <c r="B1309" s="2" t="s">
        <v>961</v>
      </c>
      <c r="C1309" s="2">
        <v>6612.0</v>
      </c>
      <c r="D1309" s="8" t="s">
        <v>46</v>
      </c>
      <c r="E1309" s="9">
        <v>2.0</v>
      </c>
      <c r="F1309" s="33">
        <v>1.0</v>
      </c>
      <c r="G1309" s="33">
        <v>850.0</v>
      </c>
      <c r="H1309" s="35">
        <v>46127.0</v>
      </c>
      <c r="I1309" s="2" t="s">
        <v>14</v>
      </c>
      <c r="J1309" s="12" t="s">
        <v>1053</v>
      </c>
    </row>
    <row r="1310" ht="22.5" hidden="1" customHeight="1">
      <c r="A1310" s="2" t="s">
        <v>1052</v>
      </c>
      <c r="B1310" s="2" t="s">
        <v>961</v>
      </c>
      <c r="C1310" s="2">
        <v>6612.0</v>
      </c>
      <c r="D1310" s="8" t="s">
        <v>46</v>
      </c>
      <c r="E1310" s="9">
        <v>3.0</v>
      </c>
      <c r="F1310" s="33">
        <v>1.0</v>
      </c>
      <c r="G1310" s="33">
        <v>850.0</v>
      </c>
      <c r="H1310" s="35">
        <v>46127.0</v>
      </c>
      <c r="I1310" s="2" t="s">
        <v>14</v>
      </c>
      <c r="J1310" s="12" t="s">
        <v>1053</v>
      </c>
    </row>
    <row r="1311" ht="22.5" hidden="1" customHeight="1">
      <c r="A1311" s="2" t="s">
        <v>1054</v>
      </c>
      <c r="B1311" s="2" t="s">
        <v>1055</v>
      </c>
      <c r="C1311" s="2">
        <v>9425.0</v>
      </c>
      <c r="D1311" s="8" t="s">
        <v>12</v>
      </c>
      <c r="E1311" s="9" t="s">
        <v>58</v>
      </c>
      <c r="F1311" s="33">
        <v>1.0</v>
      </c>
      <c r="G1311" s="33">
        <v>2700.0</v>
      </c>
      <c r="H1311" s="35">
        <v>46127.0</v>
      </c>
      <c r="I1311" s="2" t="s">
        <v>14</v>
      </c>
      <c r="J1311" s="12" t="s">
        <v>1056</v>
      </c>
    </row>
    <row r="1312" ht="22.5" hidden="1" customHeight="1">
      <c r="A1312" s="2" t="s">
        <v>121</v>
      </c>
      <c r="B1312" s="2" t="s">
        <v>958</v>
      </c>
      <c r="C1312" s="2" t="s">
        <v>959</v>
      </c>
      <c r="D1312" s="8" t="s">
        <v>22</v>
      </c>
      <c r="E1312" s="9" t="s">
        <v>18</v>
      </c>
      <c r="F1312" s="33">
        <v>1.0</v>
      </c>
      <c r="G1312" s="33">
        <v>1800.0</v>
      </c>
      <c r="H1312" s="35">
        <v>46127.0</v>
      </c>
      <c r="I1312" s="2" t="s">
        <v>14</v>
      </c>
      <c r="J1312" s="12" t="s">
        <v>900</v>
      </c>
    </row>
    <row r="1313" ht="22.5" hidden="1" customHeight="1">
      <c r="A1313" s="2" t="s">
        <v>354</v>
      </c>
      <c r="B1313" s="2" t="s">
        <v>1006</v>
      </c>
      <c r="C1313" s="2">
        <v>8321.0</v>
      </c>
      <c r="D1313" s="8" t="s">
        <v>46</v>
      </c>
      <c r="E1313" s="9" t="s">
        <v>26</v>
      </c>
      <c r="F1313" s="33">
        <v>1.0</v>
      </c>
      <c r="G1313" s="33">
        <v>1350.0</v>
      </c>
      <c r="H1313" s="35">
        <v>46127.0</v>
      </c>
      <c r="I1313" s="2" t="s">
        <v>14</v>
      </c>
      <c r="J1313" s="12" t="s">
        <v>1057</v>
      </c>
    </row>
    <row r="1314" ht="22.5" hidden="1" customHeight="1">
      <c r="A1314" s="2" t="s">
        <v>266</v>
      </c>
      <c r="B1314" s="2" t="s">
        <v>1006</v>
      </c>
      <c r="C1314" s="2">
        <v>8321.0</v>
      </c>
      <c r="D1314" s="8" t="s">
        <v>46</v>
      </c>
      <c r="E1314" s="9" t="s">
        <v>26</v>
      </c>
      <c r="F1314" s="33">
        <v>1.0</v>
      </c>
      <c r="G1314" s="33">
        <v>1350.0</v>
      </c>
      <c r="H1314" s="35">
        <v>46127.0</v>
      </c>
      <c r="I1314" s="2" t="s">
        <v>14</v>
      </c>
      <c r="J1314" s="12" t="s">
        <v>982</v>
      </c>
    </row>
    <row r="1315" ht="22.5" hidden="1" customHeight="1">
      <c r="A1315" s="2" t="s">
        <v>295</v>
      </c>
      <c r="B1315" s="2" t="s">
        <v>1006</v>
      </c>
      <c r="C1315" s="2">
        <v>8321.0</v>
      </c>
      <c r="D1315" s="8" t="s">
        <v>46</v>
      </c>
      <c r="E1315" s="9" t="s">
        <v>26</v>
      </c>
      <c r="F1315" s="33">
        <v>1.0</v>
      </c>
      <c r="G1315" s="33">
        <v>1350.0</v>
      </c>
      <c r="H1315" s="35">
        <v>46127.0</v>
      </c>
      <c r="I1315" s="2" t="s">
        <v>14</v>
      </c>
      <c r="J1315" s="12" t="s">
        <v>1031</v>
      </c>
    </row>
    <row r="1316" ht="22.5" hidden="1" customHeight="1">
      <c r="A1316" s="2" t="s">
        <v>295</v>
      </c>
      <c r="B1316" s="2" t="s">
        <v>1058</v>
      </c>
      <c r="C1316" s="2">
        <v>9275.0</v>
      </c>
      <c r="D1316" s="8" t="s">
        <v>22</v>
      </c>
      <c r="E1316" s="9" t="s">
        <v>47</v>
      </c>
      <c r="F1316" s="33">
        <v>1.0</v>
      </c>
      <c r="G1316" s="33">
        <v>1390.0</v>
      </c>
      <c r="H1316" s="35">
        <v>46127.0</v>
      </c>
      <c r="I1316" s="2" t="s">
        <v>14</v>
      </c>
      <c r="J1316" s="12" t="s">
        <v>1031</v>
      </c>
    </row>
    <row r="1317" ht="22.5" hidden="1" customHeight="1">
      <c r="A1317" s="2" t="s">
        <v>127</v>
      </c>
      <c r="B1317" s="2" t="s">
        <v>1006</v>
      </c>
      <c r="C1317" s="2">
        <v>8321.0</v>
      </c>
      <c r="D1317" s="8" t="s">
        <v>46</v>
      </c>
      <c r="E1317" s="9" t="s">
        <v>58</v>
      </c>
      <c r="F1317" s="33">
        <v>1.0</v>
      </c>
      <c r="G1317" s="33">
        <v>1350.0</v>
      </c>
      <c r="H1317" s="35">
        <v>46127.0</v>
      </c>
      <c r="I1317" s="2" t="s">
        <v>14</v>
      </c>
      <c r="J1317" s="12" t="s">
        <v>1012</v>
      </c>
    </row>
    <row r="1318" ht="22.5" hidden="1" customHeight="1">
      <c r="A1318" s="2" t="s">
        <v>488</v>
      </c>
      <c r="B1318" s="2" t="s">
        <v>1006</v>
      </c>
      <c r="C1318" s="2">
        <v>8321.0</v>
      </c>
      <c r="D1318" s="8" t="s">
        <v>46</v>
      </c>
      <c r="E1318" s="9" t="s">
        <v>26</v>
      </c>
      <c r="F1318" s="33">
        <v>1.0</v>
      </c>
      <c r="G1318" s="33">
        <v>1350.0</v>
      </c>
      <c r="H1318" s="35">
        <v>46127.0</v>
      </c>
      <c r="I1318" s="2" t="s">
        <v>14</v>
      </c>
      <c r="J1318" s="12" t="s">
        <v>1059</v>
      </c>
    </row>
    <row r="1319" ht="22.5" hidden="1" customHeight="1">
      <c r="A1319" s="2" t="s">
        <v>488</v>
      </c>
      <c r="B1319" s="2" t="s">
        <v>1006</v>
      </c>
      <c r="C1319" s="2">
        <v>8321.0</v>
      </c>
      <c r="D1319" s="8" t="s">
        <v>46</v>
      </c>
      <c r="E1319" s="9" t="s">
        <v>58</v>
      </c>
      <c r="F1319" s="33">
        <v>1.0</v>
      </c>
      <c r="G1319" s="33">
        <v>1350.0</v>
      </c>
      <c r="H1319" s="35">
        <v>46127.0</v>
      </c>
      <c r="I1319" s="2" t="s">
        <v>14</v>
      </c>
      <c r="J1319" s="12" t="s">
        <v>1059</v>
      </c>
    </row>
    <row r="1320" ht="22.5" hidden="1" customHeight="1">
      <c r="A1320" s="2" t="s">
        <v>488</v>
      </c>
      <c r="B1320" s="2" t="s">
        <v>1006</v>
      </c>
      <c r="C1320" s="2">
        <v>8321.0</v>
      </c>
      <c r="D1320" s="8" t="s">
        <v>46</v>
      </c>
      <c r="E1320" s="9" t="s">
        <v>447</v>
      </c>
      <c r="F1320" s="33">
        <v>1.0</v>
      </c>
      <c r="G1320" s="33">
        <v>1350.0</v>
      </c>
      <c r="H1320" s="35">
        <v>46127.0</v>
      </c>
      <c r="I1320" s="2" t="s">
        <v>14</v>
      </c>
      <c r="J1320" s="12" t="s">
        <v>1059</v>
      </c>
    </row>
    <row r="1321" ht="22.5" hidden="1" customHeight="1">
      <c r="A1321" s="2" t="s">
        <v>193</v>
      </c>
      <c r="B1321" s="2" t="s">
        <v>1006</v>
      </c>
      <c r="C1321" s="2">
        <v>8321.0</v>
      </c>
      <c r="D1321" s="8" t="s">
        <v>46</v>
      </c>
      <c r="E1321" s="9" t="s">
        <v>26</v>
      </c>
      <c r="F1321" s="33">
        <v>1.0</v>
      </c>
      <c r="G1321" s="33">
        <v>1350.0</v>
      </c>
      <c r="H1321" s="35">
        <v>46127.0</v>
      </c>
      <c r="I1321" s="2" t="s">
        <v>14</v>
      </c>
      <c r="J1321" s="12" t="s">
        <v>977</v>
      </c>
    </row>
    <row r="1322" ht="22.5" hidden="1" customHeight="1">
      <c r="A1322" s="2" t="s">
        <v>193</v>
      </c>
      <c r="B1322" s="2" t="s">
        <v>1006</v>
      </c>
      <c r="C1322" s="2">
        <v>8321.0</v>
      </c>
      <c r="D1322" s="8" t="s">
        <v>46</v>
      </c>
      <c r="E1322" s="9" t="s">
        <v>447</v>
      </c>
      <c r="F1322" s="33">
        <v>1.0</v>
      </c>
      <c r="G1322" s="33">
        <v>1350.0</v>
      </c>
      <c r="H1322" s="35">
        <v>46127.0</v>
      </c>
      <c r="I1322" s="2" t="s">
        <v>14</v>
      </c>
      <c r="J1322" s="12" t="s">
        <v>977</v>
      </c>
    </row>
    <row r="1323" ht="22.5" hidden="1" customHeight="1">
      <c r="A1323" s="2" t="s">
        <v>369</v>
      </c>
      <c r="B1323" s="2" t="s">
        <v>1006</v>
      </c>
      <c r="C1323" s="2">
        <v>8321.0</v>
      </c>
      <c r="D1323" s="8" t="s">
        <v>46</v>
      </c>
      <c r="E1323" s="9" t="s">
        <v>26</v>
      </c>
      <c r="F1323" s="33">
        <v>1.0</v>
      </c>
      <c r="G1323" s="33">
        <v>1350.0</v>
      </c>
      <c r="H1323" s="35">
        <v>46127.0</v>
      </c>
      <c r="I1323" s="2" t="s">
        <v>14</v>
      </c>
      <c r="J1323" s="12" t="s">
        <v>1030</v>
      </c>
    </row>
    <row r="1324" ht="22.5" hidden="1" customHeight="1">
      <c r="A1324" s="2" t="s">
        <v>526</v>
      </c>
      <c r="B1324" s="2" t="s">
        <v>1006</v>
      </c>
      <c r="C1324" s="2">
        <v>8321.0</v>
      </c>
      <c r="D1324" s="8" t="s">
        <v>46</v>
      </c>
      <c r="E1324" s="9" t="s">
        <v>26</v>
      </c>
      <c r="F1324" s="33">
        <v>1.0</v>
      </c>
      <c r="G1324" s="33">
        <v>1350.0</v>
      </c>
      <c r="H1324" s="35">
        <v>46127.0</v>
      </c>
      <c r="I1324" s="2" t="s">
        <v>14</v>
      </c>
      <c r="J1324" s="12" t="s">
        <v>527</v>
      </c>
    </row>
    <row r="1325" ht="22.5" hidden="1" customHeight="1">
      <c r="A1325" s="2" t="s">
        <v>575</v>
      </c>
      <c r="B1325" s="2" t="s">
        <v>1006</v>
      </c>
      <c r="C1325" s="2">
        <v>8321.0</v>
      </c>
      <c r="D1325" s="8" t="s">
        <v>46</v>
      </c>
      <c r="E1325" s="9" t="s">
        <v>58</v>
      </c>
      <c r="F1325" s="33">
        <v>1.0</v>
      </c>
      <c r="G1325" s="33">
        <v>1350.0</v>
      </c>
      <c r="H1325" s="35">
        <v>46127.0</v>
      </c>
      <c r="I1325" s="2" t="s">
        <v>14</v>
      </c>
      <c r="J1325" s="12" t="s">
        <v>1060</v>
      </c>
    </row>
    <row r="1326" ht="22.5" hidden="1" customHeight="1">
      <c r="A1326" s="2" t="s">
        <v>1039</v>
      </c>
      <c r="B1326" s="2" t="s">
        <v>1058</v>
      </c>
      <c r="C1326" s="2">
        <v>9275.0</v>
      </c>
      <c r="D1326" s="8" t="s">
        <v>22</v>
      </c>
      <c r="E1326" s="9" t="s">
        <v>23</v>
      </c>
      <c r="F1326" s="33">
        <v>1.0</v>
      </c>
      <c r="G1326" s="33">
        <v>1390.0</v>
      </c>
      <c r="H1326" s="35">
        <v>46127.0</v>
      </c>
      <c r="I1326" s="2" t="s">
        <v>14</v>
      </c>
      <c r="J1326" s="12" t="s">
        <v>1040</v>
      </c>
    </row>
    <row r="1327" ht="22.5" hidden="1" customHeight="1">
      <c r="A1327" s="2" t="s">
        <v>707</v>
      </c>
      <c r="B1327" s="2" t="s">
        <v>1058</v>
      </c>
      <c r="C1327" s="2">
        <v>9275.0</v>
      </c>
      <c r="D1327" s="8" t="s">
        <v>22</v>
      </c>
      <c r="E1327" s="9" t="s">
        <v>13</v>
      </c>
      <c r="F1327" s="33">
        <v>1.0</v>
      </c>
      <c r="G1327" s="33">
        <v>1390.0</v>
      </c>
      <c r="H1327" s="35">
        <v>46127.0</v>
      </c>
      <c r="I1327" s="2" t="s">
        <v>14</v>
      </c>
      <c r="J1327" s="12" t="s">
        <v>1061</v>
      </c>
    </row>
    <row r="1328" ht="22.5" hidden="1" customHeight="1">
      <c r="A1328" s="2" t="s">
        <v>727</v>
      </c>
      <c r="B1328" s="2" t="s">
        <v>1058</v>
      </c>
      <c r="C1328" s="2">
        <v>9275.0</v>
      </c>
      <c r="D1328" s="8" t="s">
        <v>22</v>
      </c>
      <c r="E1328" s="9" t="s">
        <v>18</v>
      </c>
      <c r="F1328" s="33">
        <v>1.0</v>
      </c>
      <c r="G1328" s="33">
        <v>1390.0</v>
      </c>
      <c r="H1328" s="35">
        <v>46127.0</v>
      </c>
      <c r="I1328" s="2" t="s">
        <v>14</v>
      </c>
      <c r="J1328" s="12" t="s">
        <v>1062</v>
      </c>
    </row>
    <row r="1329" ht="22.5" hidden="1" customHeight="1">
      <c r="A1329" s="2" t="s">
        <v>1063</v>
      </c>
      <c r="B1329" s="2" t="s">
        <v>1058</v>
      </c>
      <c r="C1329" s="2">
        <v>9275.0</v>
      </c>
      <c r="D1329" s="8" t="s">
        <v>22</v>
      </c>
      <c r="E1329" s="9" t="s">
        <v>47</v>
      </c>
      <c r="F1329" s="33">
        <v>1.0</v>
      </c>
      <c r="G1329" s="33">
        <v>1390.0</v>
      </c>
      <c r="H1329" s="35">
        <v>46127.0</v>
      </c>
      <c r="I1329" s="2" t="s">
        <v>473</v>
      </c>
      <c r="J1329" s="12" t="s">
        <v>1064</v>
      </c>
    </row>
    <row r="1330" ht="22.5" hidden="1" customHeight="1">
      <c r="A1330" s="2" t="s">
        <v>1065</v>
      </c>
      <c r="B1330" s="2" t="s">
        <v>915</v>
      </c>
      <c r="C1330" s="2" t="s">
        <v>916</v>
      </c>
      <c r="D1330" s="8">
        <v>37.0</v>
      </c>
      <c r="E1330" s="9" t="s">
        <v>47</v>
      </c>
      <c r="F1330" s="33">
        <v>1.0</v>
      </c>
      <c r="G1330" s="33">
        <v>1950.0</v>
      </c>
      <c r="H1330" s="35">
        <v>46127.0</v>
      </c>
      <c r="I1330" s="2" t="s">
        <v>14</v>
      </c>
      <c r="J1330" s="12" t="s">
        <v>1066</v>
      </c>
    </row>
    <row r="1331" ht="22.5" hidden="1" customHeight="1">
      <c r="A1331" s="2" t="s">
        <v>426</v>
      </c>
      <c r="B1331" s="2" t="s">
        <v>915</v>
      </c>
      <c r="C1331" s="2" t="s">
        <v>916</v>
      </c>
      <c r="D1331" s="8">
        <v>37.0</v>
      </c>
      <c r="E1331" s="9" t="s">
        <v>47</v>
      </c>
      <c r="F1331" s="33">
        <v>1.0</v>
      </c>
      <c r="G1331" s="33">
        <v>1950.0</v>
      </c>
      <c r="H1331" s="35">
        <v>46127.0</v>
      </c>
      <c r="I1331" s="2" t="s">
        <v>14</v>
      </c>
      <c r="J1331" s="12" t="s">
        <v>1067</v>
      </c>
    </row>
    <row r="1332" ht="22.5" hidden="1" customHeight="1">
      <c r="A1332" s="2" t="s">
        <v>71</v>
      </c>
      <c r="B1332" s="2" t="s">
        <v>892</v>
      </c>
      <c r="C1332" s="2" t="s">
        <v>893</v>
      </c>
      <c r="D1332" s="8">
        <v>39.0</v>
      </c>
      <c r="E1332" s="9" t="s">
        <v>18</v>
      </c>
      <c r="F1332" s="33">
        <v>1.0</v>
      </c>
      <c r="G1332" s="33">
        <v>2200.0</v>
      </c>
      <c r="H1332" s="35">
        <v>46127.0</v>
      </c>
      <c r="I1332" s="2" t="s">
        <v>14</v>
      </c>
      <c r="J1332" s="12" t="s">
        <v>955</v>
      </c>
    </row>
    <row r="1333" ht="22.5" hidden="1" customHeight="1">
      <c r="A1333" s="2" t="s">
        <v>1068</v>
      </c>
      <c r="B1333" s="2" t="s">
        <v>892</v>
      </c>
      <c r="C1333" s="2" t="s">
        <v>893</v>
      </c>
      <c r="D1333" s="8">
        <v>37.0</v>
      </c>
      <c r="E1333" s="9" t="s">
        <v>18</v>
      </c>
      <c r="F1333" s="33">
        <v>1.0</v>
      </c>
      <c r="G1333" s="33">
        <v>2200.0</v>
      </c>
      <c r="H1333" s="35">
        <v>46127.0</v>
      </c>
      <c r="I1333" s="2" t="s">
        <v>14</v>
      </c>
      <c r="J1333" s="12" t="s">
        <v>1069</v>
      </c>
    </row>
    <row r="1334" ht="22.5" hidden="1" customHeight="1">
      <c r="A1334" s="2" t="s">
        <v>108</v>
      </c>
      <c r="B1334" s="2" t="s">
        <v>892</v>
      </c>
      <c r="C1334" s="2" t="s">
        <v>893</v>
      </c>
      <c r="D1334" s="8">
        <v>35.0</v>
      </c>
      <c r="E1334" s="9" t="s">
        <v>18</v>
      </c>
      <c r="F1334" s="33">
        <v>1.0</v>
      </c>
      <c r="G1334" s="33">
        <v>2200.0</v>
      </c>
      <c r="H1334" s="35">
        <v>46127.0</v>
      </c>
      <c r="I1334" s="2" t="s">
        <v>14</v>
      </c>
      <c r="J1334" s="12" t="s">
        <v>1070</v>
      </c>
    </row>
    <row r="1335" ht="22.5" hidden="1" customHeight="1">
      <c r="A1335" s="2" t="s">
        <v>751</v>
      </c>
      <c r="B1335" s="2" t="s">
        <v>892</v>
      </c>
      <c r="C1335" s="2" t="s">
        <v>893</v>
      </c>
      <c r="D1335" s="8">
        <v>37.0</v>
      </c>
      <c r="E1335" s="9" t="s">
        <v>18</v>
      </c>
      <c r="F1335" s="33">
        <v>1.0</v>
      </c>
      <c r="G1335" s="33">
        <v>2200.0</v>
      </c>
      <c r="H1335" s="35">
        <v>46127.0</v>
      </c>
      <c r="I1335" s="2" t="s">
        <v>14</v>
      </c>
      <c r="J1335" s="12" t="s">
        <v>752</v>
      </c>
    </row>
    <row r="1336" ht="22.5" hidden="1" customHeight="1">
      <c r="A1336" s="2" t="s">
        <v>1071</v>
      </c>
      <c r="B1336" s="2" t="s">
        <v>892</v>
      </c>
      <c r="C1336" s="2" t="s">
        <v>893</v>
      </c>
      <c r="D1336" s="8">
        <v>36.0</v>
      </c>
      <c r="E1336" s="9" t="s">
        <v>47</v>
      </c>
      <c r="F1336" s="33">
        <v>1.0</v>
      </c>
      <c r="G1336" s="33">
        <v>2200.0</v>
      </c>
      <c r="H1336" s="35">
        <v>46127.0</v>
      </c>
      <c r="I1336" s="2" t="s">
        <v>14</v>
      </c>
      <c r="J1336" s="12" t="s">
        <v>1072</v>
      </c>
    </row>
    <row r="1337" ht="22.5" hidden="1" customHeight="1">
      <c r="A1337" s="2" t="s">
        <v>988</v>
      </c>
      <c r="B1337" s="2" t="s">
        <v>892</v>
      </c>
      <c r="C1337" s="2" t="s">
        <v>893</v>
      </c>
      <c r="D1337" s="8">
        <v>39.0</v>
      </c>
      <c r="E1337" s="9" t="s">
        <v>47</v>
      </c>
      <c r="F1337" s="33">
        <v>1.0</v>
      </c>
      <c r="G1337" s="33">
        <v>2200.0</v>
      </c>
      <c r="H1337" s="35">
        <v>46127.0</v>
      </c>
      <c r="I1337" s="2" t="s">
        <v>14</v>
      </c>
      <c r="J1337" s="12" t="s">
        <v>771</v>
      </c>
    </row>
    <row r="1338" ht="22.5" hidden="1" customHeight="1">
      <c r="A1338" s="2" t="s">
        <v>295</v>
      </c>
      <c r="B1338" s="2" t="s">
        <v>892</v>
      </c>
      <c r="C1338" s="2" t="s">
        <v>893</v>
      </c>
      <c r="D1338" s="8">
        <v>36.0</v>
      </c>
      <c r="E1338" s="9" t="s">
        <v>18</v>
      </c>
      <c r="F1338" s="33">
        <v>1.0</v>
      </c>
      <c r="G1338" s="33">
        <v>2200.0</v>
      </c>
      <c r="H1338" s="35">
        <v>46127.0</v>
      </c>
      <c r="I1338" s="2" t="s">
        <v>14</v>
      </c>
      <c r="J1338" s="12" t="s">
        <v>1031</v>
      </c>
    </row>
    <row r="1339" ht="22.5" hidden="1" customHeight="1">
      <c r="A1339" s="2" t="s">
        <v>399</v>
      </c>
      <c r="B1339" s="2" t="s">
        <v>892</v>
      </c>
      <c r="C1339" s="2" t="s">
        <v>893</v>
      </c>
      <c r="D1339" s="8">
        <v>37.0</v>
      </c>
      <c r="E1339" s="9" t="s">
        <v>47</v>
      </c>
      <c r="F1339" s="33">
        <v>1.0</v>
      </c>
      <c r="G1339" s="33">
        <v>2200.0</v>
      </c>
      <c r="H1339" s="35">
        <v>46127.0</v>
      </c>
      <c r="I1339" s="2" t="s">
        <v>14</v>
      </c>
      <c r="J1339" s="12" t="s">
        <v>1073</v>
      </c>
    </row>
    <row r="1340" ht="22.5" hidden="1" customHeight="1">
      <c r="A1340" s="2" t="s">
        <v>1074</v>
      </c>
      <c r="B1340" s="2" t="s">
        <v>915</v>
      </c>
      <c r="C1340" s="2" t="s">
        <v>916</v>
      </c>
      <c r="D1340" s="8">
        <v>38.0</v>
      </c>
      <c r="E1340" s="9" t="s">
        <v>47</v>
      </c>
      <c r="F1340" s="33">
        <v>1.0</v>
      </c>
      <c r="G1340" s="33">
        <v>1950.0</v>
      </c>
      <c r="H1340" s="35">
        <v>46127.0</v>
      </c>
      <c r="I1340" s="2" t="s">
        <v>14</v>
      </c>
      <c r="J1340" s="12" t="s">
        <v>1075</v>
      </c>
    </row>
    <row r="1341" ht="22.5" hidden="1" customHeight="1">
      <c r="A1341" s="2" t="s">
        <v>1076</v>
      </c>
      <c r="B1341" s="2" t="s">
        <v>961</v>
      </c>
      <c r="C1341" s="2">
        <v>6612.0</v>
      </c>
      <c r="D1341" s="8" t="s">
        <v>46</v>
      </c>
      <c r="E1341" s="9">
        <v>2.0</v>
      </c>
      <c r="F1341" s="33">
        <v>1.0</v>
      </c>
      <c r="G1341" s="33">
        <v>850.0</v>
      </c>
      <c r="H1341" s="35">
        <v>46127.0</v>
      </c>
      <c r="I1341" s="2" t="s">
        <v>14</v>
      </c>
      <c r="J1341" s="12" t="s">
        <v>1077</v>
      </c>
    </row>
    <row r="1342" ht="22.5" hidden="1" customHeight="1">
      <c r="A1342" s="2" t="s">
        <v>1076</v>
      </c>
      <c r="B1342" s="2" t="s">
        <v>961</v>
      </c>
      <c r="C1342" s="2">
        <v>6612.0</v>
      </c>
      <c r="D1342" s="8" t="s">
        <v>46</v>
      </c>
      <c r="E1342" s="9">
        <v>5.0</v>
      </c>
      <c r="F1342" s="33">
        <v>1.0</v>
      </c>
      <c r="G1342" s="33">
        <v>850.0</v>
      </c>
      <c r="H1342" s="35">
        <v>46127.0</v>
      </c>
      <c r="I1342" s="2" t="s">
        <v>14</v>
      </c>
      <c r="J1342" s="12" t="s">
        <v>1077</v>
      </c>
    </row>
    <row r="1343" ht="22.5" hidden="1" customHeight="1">
      <c r="A1343" s="2" t="s">
        <v>297</v>
      </c>
      <c r="B1343" s="2" t="s">
        <v>892</v>
      </c>
      <c r="C1343" s="2" t="s">
        <v>893</v>
      </c>
      <c r="D1343" s="8">
        <v>36.0</v>
      </c>
      <c r="E1343" s="9" t="s">
        <v>18</v>
      </c>
      <c r="F1343" s="33">
        <v>1.0</v>
      </c>
      <c r="G1343" s="33">
        <v>2200.0</v>
      </c>
      <c r="H1343" s="35">
        <v>46127.0</v>
      </c>
      <c r="I1343" s="2" t="s">
        <v>14</v>
      </c>
      <c r="J1343" s="12" t="s">
        <v>1078</v>
      </c>
    </row>
    <row r="1344" ht="22.5" hidden="1" customHeight="1">
      <c r="A1344" s="2" t="s">
        <v>653</v>
      </c>
      <c r="B1344" s="2" t="s">
        <v>892</v>
      </c>
      <c r="C1344" s="2" t="s">
        <v>893</v>
      </c>
      <c r="D1344" s="8">
        <v>40.0</v>
      </c>
      <c r="E1344" s="9" t="s">
        <v>47</v>
      </c>
      <c r="F1344" s="33">
        <v>1.0</v>
      </c>
      <c r="G1344" s="33">
        <v>2200.0</v>
      </c>
      <c r="H1344" s="35">
        <v>46127.0</v>
      </c>
      <c r="I1344" s="2" t="s">
        <v>14</v>
      </c>
      <c r="J1344" s="12" t="s">
        <v>654</v>
      </c>
    </row>
    <row r="1345" ht="22.5" hidden="1" customHeight="1">
      <c r="A1345" s="2" t="s">
        <v>1079</v>
      </c>
      <c r="B1345" s="2" t="s">
        <v>892</v>
      </c>
      <c r="C1345" s="2" t="s">
        <v>893</v>
      </c>
      <c r="D1345" s="8">
        <v>39.0</v>
      </c>
      <c r="E1345" s="9" t="s">
        <v>47</v>
      </c>
      <c r="F1345" s="33">
        <v>1.0</v>
      </c>
      <c r="G1345" s="33">
        <v>2200.0</v>
      </c>
      <c r="H1345" s="35">
        <v>46127.0</v>
      </c>
      <c r="I1345" s="2" t="s">
        <v>14</v>
      </c>
      <c r="J1345" s="12" t="s">
        <v>1080</v>
      </c>
    </row>
    <row r="1346" ht="22.5" hidden="1" customHeight="1">
      <c r="A1346" s="2" t="s">
        <v>988</v>
      </c>
      <c r="B1346" s="2" t="s">
        <v>1081</v>
      </c>
      <c r="C1346" s="2">
        <v>9277.0</v>
      </c>
      <c r="D1346" s="8" t="s">
        <v>46</v>
      </c>
      <c r="E1346" s="9" t="s">
        <v>18</v>
      </c>
      <c r="F1346" s="33">
        <v>1.0</v>
      </c>
      <c r="G1346" s="33">
        <v>1415.0</v>
      </c>
      <c r="H1346" s="35">
        <v>46127.0</v>
      </c>
      <c r="I1346" s="2" t="s">
        <v>14</v>
      </c>
      <c r="J1346" s="12" t="s">
        <v>771</v>
      </c>
    </row>
    <row r="1347" ht="22.5" hidden="1" customHeight="1">
      <c r="A1347" s="2" t="s">
        <v>575</v>
      </c>
      <c r="B1347" s="2" t="s">
        <v>1081</v>
      </c>
      <c r="C1347" s="2">
        <v>9277.0</v>
      </c>
      <c r="D1347" s="8" t="s">
        <v>46</v>
      </c>
      <c r="E1347" s="9" t="s">
        <v>13</v>
      </c>
      <c r="F1347" s="33">
        <v>1.0</v>
      </c>
      <c r="G1347" s="33">
        <v>1415.0</v>
      </c>
      <c r="H1347" s="35">
        <v>46127.0</v>
      </c>
      <c r="I1347" s="2" t="s">
        <v>14</v>
      </c>
      <c r="J1347" s="12" t="s">
        <v>1060</v>
      </c>
    </row>
    <row r="1348" ht="22.5" hidden="1" customHeight="1">
      <c r="A1348" s="2" t="s">
        <v>1054</v>
      </c>
      <c r="B1348" s="2" t="s">
        <v>1082</v>
      </c>
      <c r="C1348" s="2">
        <v>9083.0</v>
      </c>
      <c r="D1348" s="8" t="s">
        <v>12</v>
      </c>
      <c r="E1348" s="9" t="s">
        <v>340</v>
      </c>
      <c r="F1348" s="33">
        <v>1.0</v>
      </c>
      <c r="G1348" s="33">
        <v>2400.0</v>
      </c>
      <c r="H1348" s="35">
        <v>46127.0</v>
      </c>
      <c r="I1348" s="2" t="s">
        <v>14</v>
      </c>
      <c r="J1348" s="12" t="s">
        <v>1056</v>
      </c>
    </row>
    <row r="1349" ht="22.5" hidden="1" customHeight="1">
      <c r="A1349" s="2" t="s">
        <v>567</v>
      </c>
      <c r="B1349" s="2" t="s">
        <v>1082</v>
      </c>
      <c r="C1349" s="2">
        <v>9083.0</v>
      </c>
      <c r="D1349" s="8" t="s">
        <v>12</v>
      </c>
      <c r="E1349" s="9" t="s">
        <v>340</v>
      </c>
      <c r="F1349" s="33">
        <v>1.0</v>
      </c>
      <c r="G1349" s="33">
        <v>2400.0</v>
      </c>
      <c r="H1349" s="35">
        <v>46127.0</v>
      </c>
      <c r="I1349" s="2" t="s">
        <v>14</v>
      </c>
      <c r="J1349" s="12" t="s">
        <v>569</v>
      </c>
    </row>
    <row r="1350" ht="22.5" hidden="1" customHeight="1">
      <c r="A1350" s="2" t="s">
        <v>1083</v>
      </c>
      <c r="B1350" s="2" t="s">
        <v>1082</v>
      </c>
      <c r="C1350" s="2">
        <v>9083.0</v>
      </c>
      <c r="D1350" s="8" t="s">
        <v>12</v>
      </c>
      <c r="E1350" s="9" t="s">
        <v>340</v>
      </c>
      <c r="F1350" s="33">
        <v>1.0</v>
      </c>
      <c r="G1350" s="33">
        <v>2400.0</v>
      </c>
      <c r="H1350" s="35">
        <v>46127.0</v>
      </c>
      <c r="I1350" s="2" t="s">
        <v>14</v>
      </c>
      <c r="J1350" s="12" t="s">
        <v>1084</v>
      </c>
    </row>
    <row r="1351" ht="22.5" hidden="1" customHeight="1">
      <c r="A1351" s="2" t="s">
        <v>295</v>
      </c>
      <c r="B1351" s="2" t="s">
        <v>935</v>
      </c>
      <c r="C1351" s="2">
        <v>1302.0</v>
      </c>
      <c r="D1351" s="8" t="s">
        <v>46</v>
      </c>
      <c r="E1351" s="9">
        <v>2.0</v>
      </c>
      <c r="F1351" s="33">
        <v>1.0</v>
      </c>
      <c r="G1351" s="33">
        <v>1200.0</v>
      </c>
      <c r="H1351" s="35">
        <v>46127.0</v>
      </c>
      <c r="I1351" s="2" t="s">
        <v>24</v>
      </c>
      <c r="J1351" s="12" t="s">
        <v>1031</v>
      </c>
    </row>
    <row r="1352" ht="22.5" hidden="1" customHeight="1">
      <c r="A1352" s="2" t="s">
        <v>736</v>
      </c>
      <c r="B1352" s="2" t="s">
        <v>935</v>
      </c>
      <c r="C1352" s="2">
        <v>1302.0</v>
      </c>
      <c r="D1352" s="8" t="s">
        <v>46</v>
      </c>
      <c r="E1352" s="9">
        <v>6.0</v>
      </c>
      <c r="F1352" s="33">
        <v>1.0</v>
      </c>
      <c r="G1352" s="33">
        <v>1200.0</v>
      </c>
      <c r="H1352" s="35">
        <v>46127.0</v>
      </c>
      <c r="I1352" s="2" t="s">
        <v>14</v>
      </c>
      <c r="J1352" s="12" t="s">
        <v>737</v>
      </c>
    </row>
    <row r="1353" ht="22.5" hidden="1" customHeight="1">
      <c r="A1353" s="2" t="s">
        <v>1085</v>
      </c>
      <c r="B1353" s="2" t="s">
        <v>935</v>
      </c>
      <c r="C1353" s="2">
        <v>1302.0</v>
      </c>
      <c r="D1353" s="8" t="s">
        <v>46</v>
      </c>
      <c r="E1353" s="9">
        <v>8.0</v>
      </c>
      <c r="F1353" s="33">
        <v>1.0</v>
      </c>
      <c r="G1353" s="33">
        <v>1200.0</v>
      </c>
      <c r="H1353" s="35">
        <v>46127.0</v>
      </c>
      <c r="I1353" s="2" t="s">
        <v>14</v>
      </c>
      <c r="J1353" s="12" t="s">
        <v>1086</v>
      </c>
    </row>
    <row r="1354" ht="22.5" hidden="1" customHeight="1">
      <c r="A1354" s="2" t="s">
        <v>1087</v>
      </c>
      <c r="B1354" s="2" t="s">
        <v>935</v>
      </c>
      <c r="C1354" s="2">
        <v>1302.0</v>
      </c>
      <c r="D1354" s="8" t="s">
        <v>46</v>
      </c>
      <c r="E1354" s="9">
        <v>3.0</v>
      </c>
      <c r="F1354" s="33">
        <v>1.0</v>
      </c>
      <c r="G1354" s="33">
        <v>1200.0</v>
      </c>
      <c r="H1354" s="35">
        <v>46127.0</v>
      </c>
      <c r="I1354" s="2" t="s">
        <v>14</v>
      </c>
      <c r="J1354" s="12" t="s">
        <v>1088</v>
      </c>
    </row>
    <row r="1355" ht="22.5" hidden="1" customHeight="1">
      <c r="A1355" s="2" t="s">
        <v>222</v>
      </c>
      <c r="B1355" s="2" t="s">
        <v>935</v>
      </c>
      <c r="C1355" s="2">
        <v>1302.0</v>
      </c>
      <c r="D1355" s="8" t="s">
        <v>46</v>
      </c>
      <c r="E1355" s="9">
        <v>3.0</v>
      </c>
      <c r="F1355" s="33">
        <v>1.0</v>
      </c>
      <c r="G1355" s="33">
        <v>1200.0</v>
      </c>
      <c r="H1355" s="35">
        <v>46127.0</v>
      </c>
      <c r="I1355" s="2" t="s">
        <v>14</v>
      </c>
      <c r="J1355" s="12" t="s">
        <v>1089</v>
      </c>
    </row>
    <row r="1356" ht="22.5" hidden="1" customHeight="1">
      <c r="A1356" s="2" t="s">
        <v>222</v>
      </c>
      <c r="B1356" s="2" t="s">
        <v>935</v>
      </c>
      <c r="C1356" s="2">
        <v>1302.0</v>
      </c>
      <c r="D1356" s="8" t="s">
        <v>46</v>
      </c>
      <c r="E1356" s="9">
        <v>5.0</v>
      </c>
      <c r="F1356" s="33">
        <v>1.0</v>
      </c>
      <c r="G1356" s="33">
        <v>1200.0</v>
      </c>
      <c r="H1356" s="35">
        <v>46127.0</v>
      </c>
      <c r="I1356" s="2" t="s">
        <v>14</v>
      </c>
      <c r="J1356" s="12" t="s">
        <v>1089</v>
      </c>
    </row>
    <row r="1357" ht="22.5" hidden="1" customHeight="1">
      <c r="A1357" s="2" t="s">
        <v>222</v>
      </c>
      <c r="B1357" s="2" t="s">
        <v>935</v>
      </c>
      <c r="C1357" s="2">
        <v>1302.0</v>
      </c>
      <c r="D1357" s="8" t="s">
        <v>46</v>
      </c>
      <c r="E1357" s="9">
        <v>9.0</v>
      </c>
      <c r="F1357" s="33">
        <v>1.0</v>
      </c>
      <c r="G1357" s="33">
        <v>1200.0</v>
      </c>
      <c r="H1357" s="35">
        <v>46127.0</v>
      </c>
      <c r="I1357" s="2" t="s">
        <v>14</v>
      </c>
      <c r="J1357" s="12" t="s">
        <v>1089</v>
      </c>
    </row>
    <row r="1358" ht="22.5" hidden="1" customHeight="1">
      <c r="A1358" s="2" t="s">
        <v>247</v>
      </c>
      <c r="B1358" s="2" t="s">
        <v>935</v>
      </c>
      <c r="C1358" s="2">
        <v>1302.0</v>
      </c>
      <c r="D1358" s="8" t="s">
        <v>46</v>
      </c>
      <c r="E1358" s="9">
        <v>3.0</v>
      </c>
      <c r="F1358" s="33">
        <v>1.0</v>
      </c>
      <c r="G1358" s="33">
        <v>1200.0</v>
      </c>
      <c r="H1358" s="35">
        <v>46127.0</v>
      </c>
      <c r="I1358" s="2" t="s">
        <v>14</v>
      </c>
      <c r="J1358" s="12" t="s">
        <v>416</v>
      </c>
    </row>
    <row r="1359" ht="22.5" hidden="1" customHeight="1">
      <c r="A1359" s="2" t="s">
        <v>247</v>
      </c>
      <c r="B1359" s="2" t="s">
        <v>935</v>
      </c>
      <c r="C1359" s="2">
        <v>1302.0</v>
      </c>
      <c r="D1359" s="8" t="s">
        <v>46</v>
      </c>
      <c r="E1359" s="9">
        <v>6.0</v>
      </c>
      <c r="F1359" s="33">
        <v>1.0</v>
      </c>
      <c r="G1359" s="33">
        <v>1200.0</v>
      </c>
      <c r="H1359" s="35">
        <v>46127.0</v>
      </c>
      <c r="I1359" s="2" t="s">
        <v>14</v>
      </c>
      <c r="J1359" s="12" t="s">
        <v>416</v>
      </c>
    </row>
    <row r="1360" ht="22.5" hidden="1" customHeight="1">
      <c r="A1360" s="2" t="s">
        <v>247</v>
      </c>
      <c r="B1360" s="2" t="s">
        <v>935</v>
      </c>
      <c r="C1360" s="2">
        <v>1302.0</v>
      </c>
      <c r="D1360" s="8" t="s">
        <v>46</v>
      </c>
      <c r="E1360" s="9">
        <v>9.0</v>
      </c>
      <c r="F1360" s="33">
        <v>1.0</v>
      </c>
      <c r="G1360" s="33">
        <v>1200.0</v>
      </c>
      <c r="H1360" s="35">
        <v>46127.0</v>
      </c>
      <c r="I1360" s="2" t="s">
        <v>14</v>
      </c>
      <c r="J1360" s="12" t="s">
        <v>416</v>
      </c>
    </row>
    <row r="1361" ht="22.5" hidden="1" customHeight="1">
      <c r="A1361" s="2" t="s">
        <v>1090</v>
      </c>
      <c r="B1361" s="2" t="s">
        <v>935</v>
      </c>
      <c r="C1361" s="2">
        <v>1302.0</v>
      </c>
      <c r="D1361" s="8" t="s">
        <v>46</v>
      </c>
      <c r="E1361" s="9">
        <v>6.0</v>
      </c>
      <c r="F1361" s="33">
        <v>1.0</v>
      </c>
      <c r="G1361" s="33">
        <v>1200.0</v>
      </c>
      <c r="H1361" s="35">
        <v>46127.0</v>
      </c>
      <c r="I1361" s="2" t="s">
        <v>14</v>
      </c>
      <c r="J1361" s="12" t="s">
        <v>1091</v>
      </c>
    </row>
    <row r="1362" ht="22.5" hidden="1" customHeight="1">
      <c r="A1362" s="2" t="s">
        <v>248</v>
      </c>
      <c r="B1362" s="2" t="s">
        <v>935</v>
      </c>
      <c r="C1362" s="2">
        <v>1302.0</v>
      </c>
      <c r="D1362" s="8" t="s">
        <v>46</v>
      </c>
      <c r="E1362" s="9">
        <v>6.0</v>
      </c>
      <c r="F1362" s="33">
        <v>1.0</v>
      </c>
      <c r="G1362" s="33">
        <v>1200.0</v>
      </c>
      <c r="H1362" s="35">
        <v>46127.0</v>
      </c>
      <c r="I1362" s="2" t="s">
        <v>14</v>
      </c>
      <c r="J1362" s="12" t="s">
        <v>868</v>
      </c>
    </row>
    <row r="1363" ht="22.5" hidden="1" customHeight="1">
      <c r="A1363" s="2" t="s">
        <v>1085</v>
      </c>
      <c r="B1363" s="2" t="s">
        <v>726</v>
      </c>
      <c r="C1363" s="2">
        <v>9091.0</v>
      </c>
      <c r="D1363" s="8" t="s">
        <v>22</v>
      </c>
      <c r="E1363" s="9" t="s">
        <v>58</v>
      </c>
      <c r="F1363" s="33">
        <v>1.0</v>
      </c>
      <c r="G1363" s="33">
        <v>1950.0</v>
      </c>
      <c r="H1363" s="35">
        <v>46127.0</v>
      </c>
      <c r="I1363" s="2" t="s">
        <v>14</v>
      </c>
      <c r="J1363" s="12" t="s">
        <v>1086</v>
      </c>
    </row>
    <row r="1364" ht="22.5" hidden="1" customHeight="1">
      <c r="A1364" s="2" t="s">
        <v>243</v>
      </c>
      <c r="B1364" s="2" t="s">
        <v>958</v>
      </c>
      <c r="C1364" s="2" t="s">
        <v>959</v>
      </c>
      <c r="D1364" s="8" t="s">
        <v>12</v>
      </c>
      <c r="E1364" s="9" t="s">
        <v>18</v>
      </c>
      <c r="F1364" s="33">
        <v>1.0</v>
      </c>
      <c r="G1364" s="33">
        <v>1800.0</v>
      </c>
      <c r="H1364" s="35">
        <v>46127.0</v>
      </c>
      <c r="I1364" s="2" t="s">
        <v>14</v>
      </c>
      <c r="J1364" s="12" t="s">
        <v>1092</v>
      </c>
    </row>
    <row r="1365" ht="22.5" hidden="1" customHeight="1">
      <c r="A1365" s="2" t="s">
        <v>1093</v>
      </c>
      <c r="B1365" s="2" t="s">
        <v>961</v>
      </c>
      <c r="C1365" s="2">
        <v>6612.0</v>
      </c>
      <c r="D1365" s="8" t="s">
        <v>46</v>
      </c>
      <c r="E1365" s="9">
        <v>2.0</v>
      </c>
      <c r="F1365" s="33">
        <v>1.0</v>
      </c>
      <c r="G1365" s="33">
        <v>850.0</v>
      </c>
      <c r="H1365" s="35">
        <v>46127.0</v>
      </c>
      <c r="I1365" s="2" t="s">
        <v>14</v>
      </c>
      <c r="J1365" s="12" t="s">
        <v>1094</v>
      </c>
    </row>
    <row r="1366" ht="22.5" hidden="1" customHeight="1">
      <c r="A1366" s="2" t="s">
        <v>1093</v>
      </c>
      <c r="B1366" s="2" t="s">
        <v>961</v>
      </c>
      <c r="C1366" s="2">
        <v>6612.0</v>
      </c>
      <c r="D1366" s="8" t="s">
        <v>46</v>
      </c>
      <c r="E1366" s="9">
        <v>5.0</v>
      </c>
      <c r="F1366" s="33">
        <v>1.0</v>
      </c>
      <c r="G1366" s="33">
        <v>850.0</v>
      </c>
      <c r="H1366" s="35">
        <v>46127.0</v>
      </c>
      <c r="I1366" s="2" t="s">
        <v>14</v>
      </c>
      <c r="J1366" s="12" t="s">
        <v>1094</v>
      </c>
    </row>
    <row r="1367" ht="22.5" hidden="1" customHeight="1">
      <c r="A1367" s="2" t="s">
        <v>1095</v>
      </c>
      <c r="B1367" s="2" t="s">
        <v>958</v>
      </c>
      <c r="C1367" s="2" t="s">
        <v>959</v>
      </c>
      <c r="D1367" s="8" t="s">
        <v>22</v>
      </c>
      <c r="E1367" s="9" t="s">
        <v>18</v>
      </c>
      <c r="F1367" s="33">
        <v>1.0</v>
      </c>
      <c r="G1367" s="33">
        <v>1800.0</v>
      </c>
      <c r="H1367" s="35">
        <v>46128.0</v>
      </c>
      <c r="I1367" s="2" t="s">
        <v>14</v>
      </c>
      <c r="J1367" s="12" t="s">
        <v>1096</v>
      </c>
    </row>
    <row r="1368" ht="22.5" hidden="1" customHeight="1">
      <c r="A1368" s="2" t="s">
        <v>1095</v>
      </c>
      <c r="B1368" s="2" t="s">
        <v>1014</v>
      </c>
      <c r="C1368" s="2">
        <v>8765.0</v>
      </c>
      <c r="D1368" s="8" t="s">
        <v>22</v>
      </c>
      <c r="E1368" s="9" t="s">
        <v>13</v>
      </c>
      <c r="F1368" s="33">
        <v>1.0</v>
      </c>
      <c r="G1368" s="33">
        <v>1800.0</v>
      </c>
      <c r="H1368" s="35">
        <v>46128.0</v>
      </c>
      <c r="I1368" s="2" t="s">
        <v>14</v>
      </c>
      <c r="J1368" s="12" t="s">
        <v>1096</v>
      </c>
    </row>
    <row r="1369" ht="22.5" hidden="1" customHeight="1">
      <c r="A1369" s="2" t="s">
        <v>332</v>
      </c>
      <c r="B1369" s="2" t="s">
        <v>1055</v>
      </c>
      <c r="C1369" s="2">
        <v>9425.0</v>
      </c>
      <c r="D1369" s="8" t="s">
        <v>22</v>
      </c>
      <c r="E1369" s="9" t="s">
        <v>58</v>
      </c>
      <c r="F1369" s="33">
        <v>1.0</v>
      </c>
      <c r="G1369" s="33">
        <v>2700.0</v>
      </c>
      <c r="H1369" s="35">
        <v>46128.0</v>
      </c>
      <c r="I1369" s="2" t="s">
        <v>14</v>
      </c>
      <c r="J1369" s="12" t="s">
        <v>500</v>
      </c>
    </row>
    <row r="1370" ht="22.5" hidden="1" customHeight="1">
      <c r="A1370" s="2" t="s">
        <v>1097</v>
      </c>
      <c r="B1370" s="2" t="s">
        <v>375</v>
      </c>
      <c r="C1370" s="2" t="s">
        <v>376</v>
      </c>
      <c r="D1370" s="8">
        <v>39.0</v>
      </c>
      <c r="E1370" s="9" t="s">
        <v>26</v>
      </c>
      <c r="F1370" s="33">
        <v>1.0</v>
      </c>
      <c r="G1370" s="33">
        <v>2350.0</v>
      </c>
      <c r="H1370" s="35">
        <v>46128.0</v>
      </c>
      <c r="I1370" s="2" t="s">
        <v>14</v>
      </c>
      <c r="J1370" s="12" t="s">
        <v>1098</v>
      </c>
    </row>
    <row r="1371" ht="22.5" hidden="1" customHeight="1">
      <c r="A1371" s="2" t="s">
        <v>1097</v>
      </c>
      <c r="B1371" s="2" t="s">
        <v>958</v>
      </c>
      <c r="C1371" s="2" t="s">
        <v>959</v>
      </c>
      <c r="D1371" s="8" t="s">
        <v>12</v>
      </c>
      <c r="E1371" s="9" t="s">
        <v>18</v>
      </c>
      <c r="F1371" s="33">
        <v>1.0</v>
      </c>
      <c r="G1371" s="33">
        <v>1800.0</v>
      </c>
      <c r="H1371" s="35">
        <v>46128.0</v>
      </c>
      <c r="I1371" s="2" t="s">
        <v>14</v>
      </c>
      <c r="J1371" s="12" t="s">
        <v>1098</v>
      </c>
    </row>
    <row r="1372" ht="22.5" hidden="1" customHeight="1">
      <c r="A1372" s="2" t="s">
        <v>265</v>
      </c>
      <c r="B1372" s="2" t="s">
        <v>182</v>
      </c>
      <c r="C1372" s="2">
        <v>9369.0</v>
      </c>
      <c r="D1372" s="8" t="s">
        <v>75</v>
      </c>
      <c r="E1372" s="9" t="s">
        <v>58</v>
      </c>
      <c r="F1372" s="33">
        <v>1.0</v>
      </c>
      <c r="G1372" s="33">
        <v>2400.0</v>
      </c>
      <c r="H1372" s="35">
        <v>46128.0</v>
      </c>
      <c r="I1372" s="2" t="s">
        <v>14</v>
      </c>
      <c r="J1372" s="12" t="s">
        <v>1099</v>
      </c>
    </row>
    <row r="1373" ht="22.5" hidden="1" customHeight="1">
      <c r="A1373" s="2" t="s">
        <v>265</v>
      </c>
      <c r="B1373" s="2" t="s">
        <v>97</v>
      </c>
      <c r="C1373" s="2">
        <v>8748.0</v>
      </c>
      <c r="D1373" s="8" t="s">
        <v>75</v>
      </c>
      <c r="E1373" s="9" t="s">
        <v>58</v>
      </c>
      <c r="F1373" s="33">
        <v>1.0</v>
      </c>
      <c r="G1373" s="33">
        <v>1800.0</v>
      </c>
      <c r="H1373" s="35">
        <v>46128.0</v>
      </c>
      <c r="I1373" s="2" t="s">
        <v>14</v>
      </c>
      <c r="J1373" s="12" t="s">
        <v>1099</v>
      </c>
    </row>
    <row r="1374" ht="22.5" hidden="1" customHeight="1">
      <c r="A1374" s="2" t="s">
        <v>720</v>
      </c>
      <c r="B1374" s="2" t="s">
        <v>1058</v>
      </c>
      <c r="C1374" s="2">
        <v>9275.0</v>
      </c>
      <c r="D1374" s="8" t="s">
        <v>22</v>
      </c>
      <c r="E1374" s="9" t="s">
        <v>18</v>
      </c>
      <c r="F1374" s="33">
        <v>1.0</v>
      </c>
      <c r="G1374" s="33">
        <v>1390.0</v>
      </c>
      <c r="H1374" s="35">
        <v>46128.0</v>
      </c>
      <c r="I1374" s="2" t="s">
        <v>14</v>
      </c>
      <c r="J1374" s="12" t="s">
        <v>869</v>
      </c>
    </row>
    <row r="1375" ht="22.5" hidden="1" customHeight="1">
      <c r="A1375" s="2" t="s">
        <v>923</v>
      </c>
      <c r="B1375" s="2" t="s">
        <v>958</v>
      </c>
      <c r="C1375" s="2" t="s">
        <v>959</v>
      </c>
      <c r="D1375" s="8" t="s">
        <v>75</v>
      </c>
      <c r="E1375" s="9" t="s">
        <v>18</v>
      </c>
      <c r="F1375" s="33">
        <v>1.0</v>
      </c>
      <c r="G1375" s="33">
        <v>1800.0</v>
      </c>
      <c r="H1375" s="35">
        <v>46128.0</v>
      </c>
      <c r="I1375" s="2" t="s">
        <v>14</v>
      </c>
      <c r="J1375" s="12" t="s">
        <v>924</v>
      </c>
    </row>
    <row r="1376" ht="22.5" hidden="1" customHeight="1">
      <c r="A1376" s="2" t="s">
        <v>923</v>
      </c>
      <c r="B1376" s="2" t="s">
        <v>365</v>
      </c>
      <c r="C1376" s="2">
        <v>9094.0</v>
      </c>
      <c r="D1376" s="8" t="s">
        <v>22</v>
      </c>
      <c r="E1376" s="9" t="s">
        <v>58</v>
      </c>
      <c r="F1376" s="33">
        <v>1.0</v>
      </c>
      <c r="G1376" s="33">
        <v>2400.0</v>
      </c>
      <c r="H1376" s="35">
        <v>46128.0</v>
      </c>
      <c r="I1376" s="2" t="s">
        <v>14</v>
      </c>
      <c r="J1376" s="12" t="s">
        <v>924</v>
      </c>
    </row>
    <row r="1377" ht="22.5" hidden="1" customHeight="1">
      <c r="A1377" s="2" t="s">
        <v>1100</v>
      </c>
      <c r="B1377" s="2" t="s">
        <v>961</v>
      </c>
      <c r="C1377" s="2">
        <v>6612.0</v>
      </c>
      <c r="D1377" s="8" t="s">
        <v>46</v>
      </c>
      <c r="E1377" s="9">
        <v>2.0</v>
      </c>
      <c r="F1377" s="33">
        <v>1.0</v>
      </c>
      <c r="G1377" s="33">
        <v>850.0</v>
      </c>
      <c r="H1377" s="35">
        <v>46128.0</v>
      </c>
      <c r="I1377" s="2" t="s">
        <v>14</v>
      </c>
      <c r="J1377" s="12" t="s">
        <v>1101</v>
      </c>
    </row>
    <row r="1378" ht="22.5" hidden="1" customHeight="1">
      <c r="A1378" s="2" t="s">
        <v>1100</v>
      </c>
      <c r="B1378" s="2" t="s">
        <v>961</v>
      </c>
      <c r="C1378" s="2">
        <v>6612.0</v>
      </c>
      <c r="D1378" s="8" t="s">
        <v>46</v>
      </c>
      <c r="E1378" s="9">
        <v>3.0</v>
      </c>
      <c r="F1378" s="33">
        <v>1.0</v>
      </c>
      <c r="G1378" s="33">
        <v>850.0</v>
      </c>
      <c r="H1378" s="35">
        <v>46128.0</v>
      </c>
      <c r="I1378" s="2" t="s">
        <v>14</v>
      </c>
      <c r="J1378" s="12" t="s">
        <v>1101</v>
      </c>
    </row>
    <row r="1379" ht="22.5" hidden="1" customHeight="1">
      <c r="A1379" s="2" t="s">
        <v>1102</v>
      </c>
      <c r="B1379" s="2" t="s">
        <v>963</v>
      </c>
      <c r="C1379" s="2">
        <v>8610.0</v>
      </c>
      <c r="D1379" s="8" t="s">
        <v>12</v>
      </c>
      <c r="E1379" s="9" t="s">
        <v>13</v>
      </c>
      <c r="F1379" s="33">
        <v>1.0</v>
      </c>
      <c r="G1379" s="33">
        <v>1190.0</v>
      </c>
      <c r="H1379" s="35">
        <v>46128.0</v>
      </c>
      <c r="I1379" s="2" t="s">
        <v>14</v>
      </c>
      <c r="J1379" s="12" t="s">
        <v>1103</v>
      </c>
    </row>
    <row r="1380" ht="22.5" hidden="1" customHeight="1">
      <c r="A1380" s="2" t="s">
        <v>1102</v>
      </c>
      <c r="B1380" s="2" t="s">
        <v>963</v>
      </c>
      <c r="C1380" s="2">
        <v>8610.0</v>
      </c>
      <c r="D1380" s="8" t="s">
        <v>12</v>
      </c>
      <c r="E1380" s="9" t="s">
        <v>18</v>
      </c>
      <c r="F1380" s="33">
        <v>1.0</v>
      </c>
      <c r="G1380" s="33">
        <v>1190.0</v>
      </c>
      <c r="H1380" s="35">
        <v>46128.0</v>
      </c>
      <c r="I1380" s="2" t="s">
        <v>14</v>
      </c>
      <c r="J1380" s="12" t="s">
        <v>1103</v>
      </c>
    </row>
    <row r="1381" ht="22.5" hidden="1" customHeight="1">
      <c r="A1381" s="2" t="s">
        <v>1104</v>
      </c>
      <c r="B1381" s="2" t="s">
        <v>963</v>
      </c>
      <c r="C1381" s="2">
        <v>8610.0</v>
      </c>
      <c r="D1381" s="8" t="s">
        <v>22</v>
      </c>
      <c r="E1381" s="9" t="s">
        <v>18</v>
      </c>
      <c r="F1381" s="33">
        <v>1.0</v>
      </c>
      <c r="G1381" s="33">
        <v>1190.0</v>
      </c>
      <c r="H1381" s="35">
        <v>46128.0</v>
      </c>
      <c r="I1381" s="2" t="s">
        <v>14</v>
      </c>
      <c r="J1381" s="12" t="s">
        <v>1105</v>
      </c>
    </row>
    <row r="1382" ht="22.5" hidden="1" customHeight="1">
      <c r="A1382" s="2" t="s">
        <v>1104</v>
      </c>
      <c r="B1382" s="2" t="s">
        <v>963</v>
      </c>
      <c r="C1382" s="2">
        <v>8610.0</v>
      </c>
      <c r="D1382" s="8" t="s">
        <v>22</v>
      </c>
      <c r="E1382" s="9" t="s">
        <v>13</v>
      </c>
      <c r="F1382" s="33">
        <v>1.0</v>
      </c>
      <c r="G1382" s="33">
        <v>1190.0</v>
      </c>
      <c r="H1382" s="35">
        <v>46128.0</v>
      </c>
      <c r="I1382" s="2" t="s">
        <v>14</v>
      </c>
      <c r="J1382" s="12" t="s">
        <v>1105</v>
      </c>
    </row>
    <row r="1383" ht="22.5" hidden="1" customHeight="1">
      <c r="A1383" s="2" t="s">
        <v>1104</v>
      </c>
      <c r="B1383" s="2" t="s">
        <v>268</v>
      </c>
      <c r="C1383" s="2" t="s">
        <v>269</v>
      </c>
      <c r="D1383" s="8">
        <v>37.0</v>
      </c>
      <c r="E1383" s="9" t="s">
        <v>18</v>
      </c>
      <c r="F1383" s="33">
        <v>1.0</v>
      </c>
      <c r="G1383" s="33">
        <v>1990.0</v>
      </c>
      <c r="H1383" s="35">
        <v>46128.0</v>
      </c>
      <c r="I1383" s="2" t="s">
        <v>14</v>
      </c>
      <c r="J1383" s="12" t="s">
        <v>1105</v>
      </c>
    </row>
    <row r="1384" ht="22.5" hidden="1" customHeight="1">
      <c r="A1384" s="2" t="s">
        <v>1104</v>
      </c>
      <c r="B1384" s="2" t="s">
        <v>1006</v>
      </c>
      <c r="C1384" s="2">
        <v>8321.0</v>
      </c>
      <c r="D1384" s="8" t="s">
        <v>46</v>
      </c>
      <c r="E1384" s="9" t="s">
        <v>26</v>
      </c>
      <c r="F1384" s="33">
        <v>1.0</v>
      </c>
      <c r="G1384" s="33">
        <v>1350.0</v>
      </c>
      <c r="H1384" s="35">
        <v>46128.0</v>
      </c>
      <c r="I1384" s="2" t="s">
        <v>14</v>
      </c>
      <c r="J1384" s="12" t="s">
        <v>1105</v>
      </c>
    </row>
    <row r="1385" ht="22.5" hidden="1" customHeight="1">
      <c r="A1385" s="2" t="s">
        <v>1104</v>
      </c>
      <c r="B1385" s="2" t="s">
        <v>1006</v>
      </c>
      <c r="C1385" s="2">
        <v>8321.0</v>
      </c>
      <c r="D1385" s="8" t="s">
        <v>46</v>
      </c>
      <c r="E1385" s="9" t="s">
        <v>447</v>
      </c>
      <c r="F1385" s="33">
        <v>1.0</v>
      </c>
      <c r="G1385" s="33">
        <v>1350.0</v>
      </c>
      <c r="H1385" s="35">
        <v>46128.0</v>
      </c>
      <c r="I1385" s="2" t="s">
        <v>14</v>
      </c>
      <c r="J1385" s="12" t="s">
        <v>1105</v>
      </c>
    </row>
    <row r="1386" ht="22.5" hidden="1" customHeight="1">
      <c r="A1386" s="2" t="s">
        <v>1104</v>
      </c>
      <c r="B1386" s="2" t="s">
        <v>961</v>
      </c>
      <c r="C1386" s="2">
        <v>6612.0</v>
      </c>
      <c r="D1386" s="8" t="s">
        <v>46</v>
      </c>
      <c r="E1386" s="9">
        <v>2.0</v>
      </c>
      <c r="F1386" s="33">
        <v>1.0</v>
      </c>
      <c r="G1386" s="33">
        <v>850.0</v>
      </c>
      <c r="H1386" s="35">
        <v>46128.0</v>
      </c>
      <c r="I1386" s="2" t="s">
        <v>14</v>
      </c>
      <c r="J1386" s="12" t="s">
        <v>1105</v>
      </c>
    </row>
    <row r="1387" ht="22.5" hidden="1" customHeight="1">
      <c r="A1387" s="2" t="s">
        <v>1104</v>
      </c>
      <c r="B1387" s="2" t="s">
        <v>961</v>
      </c>
      <c r="C1387" s="2">
        <v>6612.0</v>
      </c>
      <c r="D1387" s="8" t="s">
        <v>46</v>
      </c>
      <c r="E1387" s="9">
        <v>3.0</v>
      </c>
      <c r="F1387" s="33">
        <v>1.0</v>
      </c>
      <c r="G1387" s="33">
        <v>850.0</v>
      </c>
      <c r="H1387" s="35">
        <v>46128.0</v>
      </c>
      <c r="I1387" s="2" t="s">
        <v>14</v>
      </c>
      <c r="J1387" s="12" t="s">
        <v>1105</v>
      </c>
    </row>
    <row r="1388" ht="22.5" hidden="1" customHeight="1">
      <c r="A1388" s="2" t="s">
        <v>1104</v>
      </c>
      <c r="B1388" s="2" t="s">
        <v>961</v>
      </c>
      <c r="C1388" s="2">
        <v>6612.0</v>
      </c>
      <c r="D1388" s="8" t="s">
        <v>46</v>
      </c>
      <c r="E1388" s="9">
        <v>5.0</v>
      </c>
      <c r="F1388" s="33">
        <v>1.0</v>
      </c>
      <c r="G1388" s="33">
        <v>850.0</v>
      </c>
      <c r="H1388" s="35">
        <v>46128.0</v>
      </c>
      <c r="I1388" s="2" t="s">
        <v>14</v>
      </c>
      <c r="J1388" s="12" t="s">
        <v>1105</v>
      </c>
    </row>
    <row r="1389" ht="22.5" hidden="1" customHeight="1">
      <c r="A1389" s="2" t="s">
        <v>1106</v>
      </c>
      <c r="B1389" s="2" t="s">
        <v>892</v>
      </c>
      <c r="C1389" s="2" t="s">
        <v>893</v>
      </c>
      <c r="D1389" s="8">
        <v>37.0</v>
      </c>
      <c r="E1389" s="9" t="s">
        <v>18</v>
      </c>
      <c r="F1389" s="33">
        <v>1.0</v>
      </c>
      <c r="G1389" s="33">
        <v>2200.0</v>
      </c>
      <c r="H1389" s="35">
        <v>46128.0</v>
      </c>
      <c r="I1389" s="2" t="s">
        <v>14</v>
      </c>
      <c r="J1389" s="12" t="s">
        <v>1107</v>
      </c>
    </row>
    <row r="1390" ht="22.5" hidden="1" customHeight="1">
      <c r="A1390" s="2" t="s">
        <v>144</v>
      </c>
      <c r="B1390" s="2" t="s">
        <v>516</v>
      </c>
      <c r="C1390" s="2" t="s">
        <v>517</v>
      </c>
      <c r="D1390" s="8" t="s">
        <v>46</v>
      </c>
      <c r="E1390" s="9" t="s">
        <v>338</v>
      </c>
      <c r="F1390" s="33">
        <v>1.0</v>
      </c>
      <c r="G1390" s="33">
        <v>1390.0</v>
      </c>
      <c r="H1390" s="35">
        <v>46128.0</v>
      </c>
      <c r="I1390" s="2" t="s">
        <v>14</v>
      </c>
      <c r="J1390" s="12" t="s">
        <v>1038</v>
      </c>
    </row>
    <row r="1391" ht="22.5" hidden="1" customHeight="1">
      <c r="A1391" s="2" t="s">
        <v>941</v>
      </c>
      <c r="B1391" s="2" t="s">
        <v>1081</v>
      </c>
      <c r="C1391" s="2">
        <v>9277.0</v>
      </c>
      <c r="D1391" s="8" t="s">
        <v>46</v>
      </c>
      <c r="E1391" s="9" t="s">
        <v>13</v>
      </c>
      <c r="F1391" s="33">
        <v>1.0</v>
      </c>
      <c r="G1391" s="33">
        <v>1415.0</v>
      </c>
      <c r="H1391" s="35">
        <v>46128.0</v>
      </c>
      <c r="I1391" s="2" t="s">
        <v>14</v>
      </c>
      <c r="J1391" s="12" t="s">
        <v>942</v>
      </c>
    </row>
    <row r="1392" ht="22.5" hidden="1" customHeight="1">
      <c r="A1392" s="2" t="s">
        <v>36</v>
      </c>
      <c r="B1392" s="2" t="s">
        <v>915</v>
      </c>
      <c r="C1392" s="2" t="s">
        <v>916</v>
      </c>
      <c r="D1392" s="8">
        <v>37.0</v>
      </c>
      <c r="E1392" s="9" t="s">
        <v>47</v>
      </c>
      <c r="F1392" s="33">
        <v>1.0</v>
      </c>
      <c r="G1392" s="33">
        <v>1950.0</v>
      </c>
      <c r="H1392" s="35">
        <v>46128.0</v>
      </c>
      <c r="I1392" s="2" t="s">
        <v>14</v>
      </c>
      <c r="J1392" s="2"/>
    </row>
    <row r="1393" ht="22.5" hidden="1" customHeight="1">
      <c r="A1393" s="2" t="s">
        <v>36</v>
      </c>
      <c r="B1393" s="2" t="s">
        <v>1006</v>
      </c>
      <c r="C1393" s="2">
        <v>8321.0</v>
      </c>
      <c r="D1393" s="8" t="s">
        <v>46</v>
      </c>
      <c r="E1393" s="9" t="s">
        <v>26</v>
      </c>
      <c r="F1393" s="33">
        <v>1.0</v>
      </c>
      <c r="G1393" s="33">
        <v>1350.0</v>
      </c>
      <c r="H1393" s="35">
        <v>46128.0</v>
      </c>
      <c r="I1393" s="2" t="s">
        <v>14</v>
      </c>
      <c r="J1393" s="2"/>
    </row>
    <row r="1394" ht="22.5" hidden="1" customHeight="1">
      <c r="A1394" s="2" t="s">
        <v>1108</v>
      </c>
      <c r="B1394" s="2" t="s">
        <v>958</v>
      </c>
      <c r="C1394" s="2" t="s">
        <v>959</v>
      </c>
      <c r="D1394" s="8" t="s">
        <v>12</v>
      </c>
      <c r="E1394" s="9" t="s">
        <v>18</v>
      </c>
      <c r="F1394" s="33">
        <v>1.0</v>
      </c>
      <c r="G1394" s="33">
        <v>1800.0</v>
      </c>
      <c r="H1394" s="35">
        <v>46128.0</v>
      </c>
      <c r="I1394" s="2" t="s">
        <v>14</v>
      </c>
      <c r="J1394" s="2"/>
    </row>
    <row r="1395" ht="22.5" hidden="1" customHeight="1">
      <c r="A1395" s="2" t="s">
        <v>1109</v>
      </c>
      <c r="B1395" s="2" t="s">
        <v>963</v>
      </c>
      <c r="C1395" s="2">
        <v>8610.0</v>
      </c>
      <c r="D1395" s="8" t="s">
        <v>22</v>
      </c>
      <c r="E1395" s="9" t="s">
        <v>13</v>
      </c>
      <c r="F1395" s="33">
        <v>1.0</v>
      </c>
      <c r="G1395" s="33">
        <v>1190.0</v>
      </c>
      <c r="H1395" s="35">
        <v>46128.0</v>
      </c>
      <c r="I1395" s="2" t="s">
        <v>14</v>
      </c>
      <c r="J1395" s="12" t="s">
        <v>1110</v>
      </c>
    </row>
    <row r="1396" ht="22.5" hidden="1" customHeight="1">
      <c r="A1396" s="2" t="s">
        <v>1109</v>
      </c>
      <c r="B1396" s="2" t="s">
        <v>152</v>
      </c>
      <c r="C1396" s="2">
        <v>8319.0</v>
      </c>
      <c r="D1396" s="8" t="s">
        <v>22</v>
      </c>
      <c r="E1396" s="9" t="s">
        <v>58</v>
      </c>
      <c r="F1396" s="33">
        <v>1.0</v>
      </c>
      <c r="G1396" s="33">
        <v>1900.0</v>
      </c>
      <c r="H1396" s="35">
        <v>46128.0</v>
      </c>
      <c r="I1396" s="2" t="s">
        <v>14</v>
      </c>
      <c r="J1396" s="12" t="s">
        <v>1110</v>
      </c>
    </row>
    <row r="1397" ht="22.5" hidden="1" customHeight="1">
      <c r="A1397" s="2" t="s">
        <v>1109</v>
      </c>
      <c r="B1397" s="2" t="s">
        <v>958</v>
      </c>
      <c r="C1397" s="2" t="s">
        <v>959</v>
      </c>
      <c r="D1397" s="8" t="s">
        <v>22</v>
      </c>
      <c r="E1397" s="9" t="s">
        <v>18</v>
      </c>
      <c r="F1397" s="33">
        <v>1.0</v>
      </c>
      <c r="G1397" s="33">
        <v>1800.0</v>
      </c>
      <c r="H1397" s="35">
        <v>46128.0</v>
      </c>
      <c r="I1397" s="2" t="s">
        <v>14</v>
      </c>
      <c r="J1397" s="12" t="s">
        <v>1110</v>
      </c>
    </row>
    <row r="1398" ht="22.5" hidden="1" customHeight="1">
      <c r="A1398" s="2" t="s">
        <v>1109</v>
      </c>
      <c r="B1398" s="2" t="s">
        <v>1055</v>
      </c>
      <c r="C1398" s="2">
        <v>9425.0</v>
      </c>
      <c r="D1398" s="8" t="s">
        <v>22</v>
      </c>
      <c r="E1398" s="9" t="s">
        <v>58</v>
      </c>
      <c r="F1398" s="33">
        <v>1.0</v>
      </c>
      <c r="G1398" s="33">
        <v>2700.0</v>
      </c>
      <c r="H1398" s="35">
        <v>46128.0</v>
      </c>
      <c r="I1398" s="2" t="s">
        <v>14</v>
      </c>
      <c r="J1398" s="12" t="s">
        <v>1110</v>
      </c>
    </row>
    <row r="1399" ht="22.5" hidden="1" customHeight="1">
      <c r="A1399" s="2" t="s">
        <v>1109</v>
      </c>
      <c r="B1399" s="2" t="s">
        <v>1006</v>
      </c>
      <c r="C1399" s="2">
        <v>8321.0</v>
      </c>
      <c r="D1399" s="8" t="s">
        <v>46</v>
      </c>
      <c r="E1399" s="9" t="s">
        <v>58</v>
      </c>
      <c r="F1399" s="33">
        <v>1.0</v>
      </c>
      <c r="G1399" s="33">
        <v>1350.0</v>
      </c>
      <c r="H1399" s="35">
        <v>46128.0</v>
      </c>
      <c r="I1399" s="2" t="s">
        <v>14</v>
      </c>
      <c r="J1399" s="12" t="s">
        <v>1110</v>
      </c>
    </row>
    <row r="1400" ht="22.5" hidden="1" customHeight="1">
      <c r="A1400" s="2" t="s">
        <v>1109</v>
      </c>
      <c r="B1400" s="2" t="s">
        <v>1006</v>
      </c>
      <c r="C1400" s="2">
        <v>8321.0</v>
      </c>
      <c r="D1400" s="8" t="s">
        <v>46</v>
      </c>
      <c r="E1400" s="9" t="s">
        <v>26</v>
      </c>
      <c r="F1400" s="33">
        <v>1.0</v>
      </c>
      <c r="G1400" s="33">
        <v>1350.0</v>
      </c>
      <c r="H1400" s="35">
        <v>46128.0</v>
      </c>
      <c r="I1400" s="2" t="s">
        <v>14</v>
      </c>
      <c r="J1400" s="12" t="s">
        <v>1110</v>
      </c>
    </row>
    <row r="1401" ht="22.5" hidden="1" customHeight="1">
      <c r="A1401" s="2" t="s">
        <v>1109</v>
      </c>
      <c r="B1401" s="2" t="s">
        <v>961</v>
      </c>
      <c r="C1401" s="2">
        <v>6612.0</v>
      </c>
      <c r="D1401" s="8" t="s">
        <v>46</v>
      </c>
      <c r="E1401" s="9">
        <v>2.0</v>
      </c>
      <c r="F1401" s="33">
        <v>1.0</v>
      </c>
      <c r="G1401" s="33">
        <v>850.0</v>
      </c>
      <c r="H1401" s="35">
        <v>46128.0</v>
      </c>
      <c r="I1401" s="2" t="s">
        <v>14</v>
      </c>
      <c r="J1401" s="12" t="s">
        <v>1110</v>
      </c>
    </row>
    <row r="1402" ht="22.5" hidden="1" customHeight="1">
      <c r="A1402" s="2" t="s">
        <v>1109</v>
      </c>
      <c r="B1402" s="2" t="s">
        <v>961</v>
      </c>
      <c r="C1402" s="2">
        <v>6612.0</v>
      </c>
      <c r="D1402" s="8" t="s">
        <v>46</v>
      </c>
      <c r="E1402" s="9">
        <v>4.0</v>
      </c>
      <c r="F1402" s="33">
        <v>1.0</v>
      </c>
      <c r="G1402" s="33">
        <v>850.0</v>
      </c>
      <c r="H1402" s="35">
        <v>46128.0</v>
      </c>
      <c r="I1402" s="2" t="s">
        <v>14</v>
      </c>
      <c r="J1402" s="12" t="s">
        <v>1110</v>
      </c>
    </row>
    <row r="1403" ht="22.5" hidden="1" customHeight="1">
      <c r="A1403" s="2" t="s">
        <v>1111</v>
      </c>
      <c r="B1403" s="2" t="s">
        <v>892</v>
      </c>
      <c r="C1403" s="2" t="s">
        <v>893</v>
      </c>
      <c r="D1403" s="8">
        <v>38.0</v>
      </c>
      <c r="E1403" s="9" t="s">
        <v>47</v>
      </c>
      <c r="F1403" s="33">
        <v>1.0</v>
      </c>
      <c r="G1403" s="33">
        <v>2200.0</v>
      </c>
      <c r="H1403" s="35">
        <v>46128.0</v>
      </c>
      <c r="I1403" s="2" t="s">
        <v>14</v>
      </c>
      <c r="J1403" s="2"/>
    </row>
    <row r="1404" ht="22.5" hidden="1" customHeight="1">
      <c r="A1404" s="2" t="s">
        <v>1111</v>
      </c>
      <c r="B1404" s="2" t="s">
        <v>892</v>
      </c>
      <c r="C1404" s="2" t="s">
        <v>893</v>
      </c>
      <c r="D1404" s="8">
        <v>38.0</v>
      </c>
      <c r="E1404" s="9" t="s">
        <v>18</v>
      </c>
      <c r="F1404" s="33">
        <v>1.0</v>
      </c>
      <c r="G1404" s="33">
        <v>2200.0</v>
      </c>
      <c r="H1404" s="35">
        <v>46128.0</v>
      </c>
      <c r="I1404" s="2" t="s">
        <v>14</v>
      </c>
      <c r="J1404" s="2"/>
    </row>
    <row r="1405" ht="22.5" hidden="1" customHeight="1">
      <c r="A1405" s="2" t="s">
        <v>766</v>
      </c>
      <c r="B1405" s="2" t="s">
        <v>961</v>
      </c>
      <c r="C1405" s="2">
        <v>6612.0</v>
      </c>
      <c r="D1405" s="8" t="s">
        <v>46</v>
      </c>
      <c r="E1405" s="9">
        <v>2.0</v>
      </c>
      <c r="F1405" s="33">
        <v>1.0</v>
      </c>
      <c r="G1405" s="33">
        <v>850.0</v>
      </c>
      <c r="H1405" s="35">
        <v>46128.0</v>
      </c>
      <c r="I1405" s="2" t="s">
        <v>14</v>
      </c>
      <c r="J1405" s="12" t="s">
        <v>768</v>
      </c>
    </row>
    <row r="1406" ht="22.5" hidden="1" customHeight="1">
      <c r="A1406" s="2" t="s">
        <v>766</v>
      </c>
      <c r="B1406" s="2" t="s">
        <v>961</v>
      </c>
      <c r="C1406" s="2">
        <v>6612.0</v>
      </c>
      <c r="D1406" s="8" t="s">
        <v>46</v>
      </c>
      <c r="E1406" s="9">
        <v>5.0</v>
      </c>
      <c r="F1406" s="33">
        <v>1.0</v>
      </c>
      <c r="G1406" s="33">
        <v>850.0</v>
      </c>
      <c r="H1406" s="35">
        <v>46128.0</v>
      </c>
      <c r="I1406" s="2" t="s">
        <v>14</v>
      </c>
      <c r="J1406" s="12" t="s">
        <v>768</v>
      </c>
    </row>
    <row r="1407" ht="22.5" hidden="1" customHeight="1">
      <c r="A1407" s="2" t="s">
        <v>111</v>
      </c>
      <c r="B1407" s="2" t="s">
        <v>958</v>
      </c>
      <c r="C1407" s="2" t="s">
        <v>959</v>
      </c>
      <c r="D1407" s="8" t="s">
        <v>989</v>
      </c>
      <c r="E1407" s="9" t="s">
        <v>18</v>
      </c>
      <c r="F1407" s="33">
        <v>1.0</v>
      </c>
      <c r="G1407" s="33">
        <v>1800.0</v>
      </c>
      <c r="H1407" s="35">
        <v>46128.0</v>
      </c>
      <c r="I1407" s="2" t="s">
        <v>14</v>
      </c>
      <c r="J1407" s="12" t="s">
        <v>1112</v>
      </c>
    </row>
    <row r="1408" ht="22.5" hidden="1" customHeight="1">
      <c r="A1408" s="2" t="s">
        <v>1113</v>
      </c>
      <c r="B1408" s="2" t="s">
        <v>1006</v>
      </c>
      <c r="C1408" s="2">
        <v>8321.0</v>
      </c>
      <c r="D1408" s="8" t="s">
        <v>46</v>
      </c>
      <c r="E1408" s="9" t="s">
        <v>58</v>
      </c>
      <c r="F1408" s="33">
        <v>1.0</v>
      </c>
      <c r="G1408" s="33">
        <v>1350.0</v>
      </c>
      <c r="H1408" s="35">
        <v>46128.0</v>
      </c>
      <c r="I1408" s="2" t="s">
        <v>14</v>
      </c>
      <c r="J1408" s="12" t="s">
        <v>1114</v>
      </c>
    </row>
    <row r="1409" ht="22.5" hidden="1" customHeight="1">
      <c r="A1409" s="2" t="s">
        <v>1113</v>
      </c>
      <c r="B1409" s="2" t="s">
        <v>440</v>
      </c>
      <c r="C1409" s="2" t="s">
        <v>441</v>
      </c>
      <c r="D1409" s="8" t="s">
        <v>46</v>
      </c>
      <c r="E1409" s="9" t="s">
        <v>447</v>
      </c>
      <c r="F1409" s="33">
        <v>1.0</v>
      </c>
      <c r="G1409" s="33">
        <v>1200.0</v>
      </c>
      <c r="H1409" s="35">
        <v>46128.0</v>
      </c>
      <c r="I1409" s="2" t="s">
        <v>14</v>
      </c>
      <c r="J1409" s="12" t="s">
        <v>1114</v>
      </c>
    </row>
    <row r="1410" ht="22.5" hidden="1" customHeight="1">
      <c r="A1410" s="2" t="s">
        <v>1113</v>
      </c>
      <c r="B1410" s="2" t="s">
        <v>352</v>
      </c>
      <c r="C1410" s="2">
        <v>5709.0</v>
      </c>
      <c r="D1410" s="8" t="s">
        <v>22</v>
      </c>
      <c r="E1410" s="9" t="s">
        <v>340</v>
      </c>
      <c r="F1410" s="33">
        <v>1.0</v>
      </c>
      <c r="G1410" s="33">
        <v>2350.0</v>
      </c>
      <c r="H1410" s="35">
        <v>46128.0</v>
      </c>
      <c r="I1410" s="2" t="s">
        <v>14</v>
      </c>
      <c r="J1410" s="12" t="s">
        <v>1114</v>
      </c>
    </row>
    <row r="1411" ht="22.5" hidden="1" customHeight="1">
      <c r="A1411" s="2" t="s">
        <v>1113</v>
      </c>
      <c r="B1411" s="2" t="s">
        <v>377</v>
      </c>
      <c r="C1411" s="2" t="s">
        <v>378</v>
      </c>
      <c r="D1411" s="8" t="s">
        <v>46</v>
      </c>
      <c r="E1411" s="9" t="s">
        <v>23</v>
      </c>
      <c r="F1411" s="33">
        <v>1.0</v>
      </c>
      <c r="G1411" s="33">
        <v>750.0</v>
      </c>
      <c r="H1411" s="35">
        <v>46128.0</v>
      </c>
      <c r="I1411" s="2" t="s">
        <v>14</v>
      </c>
      <c r="J1411" s="12" t="s">
        <v>1114</v>
      </c>
    </row>
    <row r="1412" ht="22.5" hidden="1" customHeight="1">
      <c r="A1412" s="2" t="s">
        <v>1113</v>
      </c>
      <c r="B1412" s="2" t="s">
        <v>377</v>
      </c>
      <c r="C1412" s="2" t="s">
        <v>378</v>
      </c>
      <c r="D1412" s="8" t="s">
        <v>46</v>
      </c>
      <c r="E1412" s="9" t="s">
        <v>13</v>
      </c>
      <c r="F1412" s="33">
        <v>1.0</v>
      </c>
      <c r="G1412" s="33">
        <v>750.0</v>
      </c>
      <c r="H1412" s="35">
        <v>46128.0</v>
      </c>
      <c r="I1412" s="2" t="s">
        <v>14</v>
      </c>
      <c r="J1412" s="12" t="s">
        <v>1114</v>
      </c>
    </row>
    <row r="1413" ht="22.5" hidden="1" customHeight="1">
      <c r="A1413" s="2" t="s">
        <v>1113</v>
      </c>
      <c r="B1413" s="2" t="s">
        <v>762</v>
      </c>
      <c r="C1413" s="2" t="s">
        <v>763</v>
      </c>
      <c r="D1413" s="8" t="s">
        <v>46</v>
      </c>
      <c r="E1413" s="9" t="s">
        <v>1115</v>
      </c>
      <c r="F1413" s="33">
        <v>1.0</v>
      </c>
      <c r="G1413" s="33">
        <v>1990.0</v>
      </c>
      <c r="H1413" s="35">
        <v>46128.0</v>
      </c>
      <c r="I1413" s="2" t="s">
        <v>14</v>
      </c>
      <c r="J1413" s="12" t="s">
        <v>1114</v>
      </c>
    </row>
    <row r="1414" ht="22.5" hidden="1" customHeight="1">
      <c r="A1414" s="2" t="s">
        <v>1116</v>
      </c>
      <c r="B1414" s="2" t="s">
        <v>152</v>
      </c>
      <c r="C1414" s="2">
        <v>8319.0</v>
      </c>
      <c r="D1414" s="8" t="s">
        <v>12</v>
      </c>
      <c r="E1414" s="9" t="s">
        <v>58</v>
      </c>
      <c r="F1414" s="33">
        <v>1.0</v>
      </c>
      <c r="G1414" s="33">
        <v>1900.0</v>
      </c>
      <c r="H1414" s="35">
        <v>46128.0</v>
      </c>
      <c r="I1414" s="2" t="s">
        <v>14</v>
      </c>
      <c r="J1414" s="12" t="s">
        <v>1117</v>
      </c>
    </row>
    <row r="1415" ht="22.5" hidden="1" customHeight="1">
      <c r="A1415" s="2" t="s">
        <v>1116</v>
      </c>
      <c r="B1415" s="2" t="s">
        <v>963</v>
      </c>
      <c r="C1415" s="2">
        <v>8610.0</v>
      </c>
      <c r="D1415" s="8" t="s">
        <v>12</v>
      </c>
      <c r="E1415" s="9" t="s">
        <v>23</v>
      </c>
      <c r="F1415" s="33">
        <v>1.0</v>
      </c>
      <c r="G1415" s="33">
        <v>1190.0</v>
      </c>
      <c r="H1415" s="35">
        <v>46128.0</v>
      </c>
      <c r="I1415" s="2" t="s">
        <v>14</v>
      </c>
      <c r="J1415" s="12" t="s">
        <v>1117</v>
      </c>
    </row>
    <row r="1416" ht="22.5" hidden="1" customHeight="1">
      <c r="A1416" s="2" t="s">
        <v>1116</v>
      </c>
      <c r="B1416" s="2" t="s">
        <v>1006</v>
      </c>
      <c r="C1416" s="2">
        <v>8321.0</v>
      </c>
      <c r="D1416" s="8" t="s">
        <v>46</v>
      </c>
      <c r="E1416" s="9" t="s">
        <v>26</v>
      </c>
      <c r="F1416" s="33">
        <v>1.0</v>
      </c>
      <c r="G1416" s="33">
        <v>1350.0</v>
      </c>
      <c r="H1416" s="35">
        <v>46128.0</v>
      </c>
      <c r="I1416" s="2" t="s">
        <v>14</v>
      </c>
      <c r="J1416" s="12" t="s">
        <v>1117</v>
      </c>
    </row>
    <row r="1417" ht="22.5" hidden="1" customHeight="1">
      <c r="A1417" s="2" t="s">
        <v>1118</v>
      </c>
      <c r="B1417" s="2" t="s">
        <v>152</v>
      </c>
      <c r="C1417" s="2">
        <v>8319.0</v>
      </c>
      <c r="D1417" s="8" t="s">
        <v>12</v>
      </c>
      <c r="E1417" s="9" t="s">
        <v>58</v>
      </c>
      <c r="F1417" s="33">
        <v>1.0</v>
      </c>
      <c r="G1417" s="33">
        <v>1900.0</v>
      </c>
      <c r="H1417" s="35">
        <v>46128.0</v>
      </c>
      <c r="I1417" s="2" t="s">
        <v>473</v>
      </c>
      <c r="J1417" s="12" t="s">
        <v>1119</v>
      </c>
    </row>
    <row r="1418" ht="22.5" hidden="1" customHeight="1">
      <c r="A1418" s="2" t="s">
        <v>1118</v>
      </c>
      <c r="B1418" s="2" t="s">
        <v>963</v>
      </c>
      <c r="C1418" s="2">
        <v>8610.0</v>
      </c>
      <c r="D1418" s="8" t="s">
        <v>12</v>
      </c>
      <c r="E1418" s="9" t="s">
        <v>13</v>
      </c>
      <c r="F1418" s="33">
        <v>1.0</v>
      </c>
      <c r="G1418" s="33">
        <v>1190.0</v>
      </c>
      <c r="H1418" s="35">
        <v>46128.0</v>
      </c>
      <c r="I1418" s="2" t="s">
        <v>473</v>
      </c>
      <c r="J1418" s="12" t="s">
        <v>1119</v>
      </c>
    </row>
    <row r="1419" ht="22.5" hidden="1" customHeight="1">
      <c r="A1419" s="2" t="s">
        <v>144</v>
      </c>
      <c r="B1419" s="2" t="s">
        <v>377</v>
      </c>
      <c r="C1419" s="2" t="s">
        <v>378</v>
      </c>
      <c r="D1419" s="8" t="s">
        <v>46</v>
      </c>
      <c r="E1419" s="9" t="s">
        <v>18</v>
      </c>
      <c r="F1419" s="33">
        <v>1.0</v>
      </c>
      <c r="G1419" s="33">
        <v>750.0</v>
      </c>
      <c r="H1419" s="35">
        <v>46128.0</v>
      </c>
      <c r="I1419" s="2" t="s">
        <v>473</v>
      </c>
      <c r="J1419" s="12" t="s">
        <v>1038</v>
      </c>
    </row>
    <row r="1420" ht="22.5" hidden="1" customHeight="1">
      <c r="A1420" s="2" t="s">
        <v>144</v>
      </c>
      <c r="B1420" s="2" t="s">
        <v>377</v>
      </c>
      <c r="C1420" s="2" t="s">
        <v>378</v>
      </c>
      <c r="D1420" s="8" t="s">
        <v>46</v>
      </c>
      <c r="E1420" s="9" t="s">
        <v>13</v>
      </c>
      <c r="F1420" s="33">
        <v>1.0</v>
      </c>
      <c r="G1420" s="33">
        <v>750.0</v>
      </c>
      <c r="H1420" s="35">
        <v>46128.0</v>
      </c>
      <c r="I1420" s="2" t="s">
        <v>473</v>
      </c>
      <c r="J1420" s="12" t="s">
        <v>1038</v>
      </c>
    </row>
    <row r="1421" ht="22.5" hidden="1" customHeight="1">
      <c r="A1421" s="2" t="s">
        <v>144</v>
      </c>
      <c r="B1421" s="2" t="s">
        <v>762</v>
      </c>
      <c r="C1421" s="2" t="s">
        <v>763</v>
      </c>
      <c r="D1421" s="8" t="s">
        <v>46</v>
      </c>
      <c r="E1421" s="9" t="s">
        <v>1120</v>
      </c>
      <c r="F1421" s="33">
        <v>1.0</v>
      </c>
      <c r="G1421" s="33">
        <v>3980.0</v>
      </c>
      <c r="H1421" s="35">
        <v>46128.0</v>
      </c>
      <c r="I1421" s="2" t="s">
        <v>473</v>
      </c>
      <c r="J1421" s="12" t="s">
        <v>1038</v>
      </c>
    </row>
    <row r="1422" ht="22.5" hidden="1" customHeight="1">
      <c r="A1422" s="2" t="s">
        <v>948</v>
      </c>
      <c r="B1422" s="2" t="s">
        <v>963</v>
      </c>
      <c r="C1422" s="2">
        <v>8610.0</v>
      </c>
      <c r="D1422" s="8" t="s">
        <v>12</v>
      </c>
      <c r="E1422" s="9" t="s">
        <v>13</v>
      </c>
      <c r="F1422" s="33">
        <v>1.0</v>
      </c>
      <c r="G1422" s="33">
        <v>1190.0</v>
      </c>
      <c r="H1422" s="35">
        <v>46128.0</v>
      </c>
      <c r="I1422" s="2" t="s">
        <v>14</v>
      </c>
      <c r="J1422" s="12" t="s">
        <v>949</v>
      </c>
    </row>
    <row r="1423" ht="22.5" hidden="1" customHeight="1">
      <c r="A1423" s="2" t="s">
        <v>1121</v>
      </c>
      <c r="B1423" s="2" t="s">
        <v>961</v>
      </c>
      <c r="C1423" s="2">
        <v>6612.0</v>
      </c>
      <c r="D1423" s="8" t="s">
        <v>46</v>
      </c>
      <c r="E1423" s="9">
        <v>5.0</v>
      </c>
      <c r="F1423" s="33">
        <v>4.0</v>
      </c>
      <c r="G1423" s="33">
        <v>850.0</v>
      </c>
      <c r="H1423" s="35">
        <v>46128.0</v>
      </c>
      <c r="I1423" s="2" t="s">
        <v>14</v>
      </c>
      <c r="J1423" s="12" t="s">
        <v>1122</v>
      </c>
    </row>
    <row r="1424" ht="22.5" hidden="1" customHeight="1">
      <c r="A1424" s="2" t="s">
        <v>1121</v>
      </c>
      <c r="B1424" s="2" t="s">
        <v>961</v>
      </c>
      <c r="C1424" s="2">
        <v>6612.0</v>
      </c>
      <c r="D1424" s="8" t="s">
        <v>46</v>
      </c>
      <c r="E1424" s="9">
        <v>2.0</v>
      </c>
      <c r="F1424" s="33">
        <v>2.0</v>
      </c>
      <c r="G1424" s="33">
        <v>850.0</v>
      </c>
      <c r="H1424" s="35">
        <v>46128.0</v>
      </c>
      <c r="I1424" s="2" t="s">
        <v>14</v>
      </c>
      <c r="J1424" s="12" t="s">
        <v>1122</v>
      </c>
    </row>
    <row r="1425" ht="22.5" hidden="1" customHeight="1">
      <c r="A1425" s="2" t="s">
        <v>1121</v>
      </c>
      <c r="B1425" s="2" t="s">
        <v>961</v>
      </c>
      <c r="C1425" s="2">
        <v>6612.0</v>
      </c>
      <c r="D1425" s="8" t="s">
        <v>46</v>
      </c>
      <c r="E1425" s="9">
        <v>6.0</v>
      </c>
      <c r="F1425" s="33">
        <v>1.0</v>
      </c>
      <c r="G1425" s="33">
        <v>850.0</v>
      </c>
      <c r="H1425" s="35">
        <v>46128.0</v>
      </c>
      <c r="I1425" s="2" t="s">
        <v>14</v>
      </c>
      <c r="J1425" s="12" t="s">
        <v>1122</v>
      </c>
    </row>
    <row r="1426" ht="22.5" hidden="1" customHeight="1">
      <c r="A1426" s="2" t="s">
        <v>1121</v>
      </c>
      <c r="B1426" s="2" t="s">
        <v>961</v>
      </c>
      <c r="C1426" s="2">
        <v>6612.0</v>
      </c>
      <c r="D1426" s="8" t="s">
        <v>46</v>
      </c>
      <c r="E1426" s="9">
        <v>9.0</v>
      </c>
      <c r="F1426" s="33">
        <v>1.0</v>
      </c>
      <c r="G1426" s="33">
        <v>850.0</v>
      </c>
      <c r="H1426" s="35">
        <v>46128.0</v>
      </c>
      <c r="I1426" s="2" t="s">
        <v>14</v>
      </c>
      <c r="J1426" s="12" t="s">
        <v>1122</v>
      </c>
    </row>
    <row r="1427" ht="22.5" hidden="1" customHeight="1">
      <c r="A1427" s="2" t="s">
        <v>1123</v>
      </c>
      <c r="B1427" s="2" t="s">
        <v>958</v>
      </c>
      <c r="C1427" s="2" t="s">
        <v>959</v>
      </c>
      <c r="D1427" s="8" t="s">
        <v>989</v>
      </c>
      <c r="E1427" s="9" t="s">
        <v>18</v>
      </c>
      <c r="F1427" s="33">
        <v>1.0</v>
      </c>
      <c r="G1427" s="33">
        <v>1800.0</v>
      </c>
      <c r="H1427" s="35">
        <v>46128.0</v>
      </c>
      <c r="I1427" s="2" t="s">
        <v>14</v>
      </c>
      <c r="J1427" s="12" t="s">
        <v>1124</v>
      </c>
    </row>
    <row r="1428" ht="22.5" hidden="1" customHeight="1">
      <c r="A1428" s="2" t="s">
        <v>1125</v>
      </c>
      <c r="B1428" s="2" t="s">
        <v>958</v>
      </c>
      <c r="C1428" s="2" t="s">
        <v>959</v>
      </c>
      <c r="D1428" s="8" t="s">
        <v>22</v>
      </c>
      <c r="E1428" s="9" t="s">
        <v>18</v>
      </c>
      <c r="F1428" s="33">
        <v>1.0</v>
      </c>
      <c r="G1428" s="33">
        <v>1800.0</v>
      </c>
      <c r="H1428" s="35">
        <v>46129.0</v>
      </c>
      <c r="I1428" s="2" t="s">
        <v>14</v>
      </c>
      <c r="J1428" s="12" t="s">
        <v>1126</v>
      </c>
    </row>
    <row r="1429" ht="22.5" hidden="1" customHeight="1">
      <c r="A1429" s="2" t="s">
        <v>835</v>
      </c>
      <c r="B1429" s="2" t="s">
        <v>377</v>
      </c>
      <c r="C1429" s="2" t="s">
        <v>378</v>
      </c>
      <c r="D1429" s="8" t="s">
        <v>46</v>
      </c>
      <c r="E1429" s="9" t="s">
        <v>18</v>
      </c>
      <c r="F1429" s="33">
        <v>2.0</v>
      </c>
      <c r="G1429" s="33">
        <v>750.0</v>
      </c>
      <c r="H1429" s="35">
        <v>46129.0</v>
      </c>
      <c r="I1429" s="2" t="s">
        <v>14</v>
      </c>
      <c r="J1429" s="12" t="s">
        <v>945</v>
      </c>
    </row>
    <row r="1430" ht="22.5" hidden="1" customHeight="1">
      <c r="A1430" s="2" t="s">
        <v>835</v>
      </c>
      <c r="B1430" s="2" t="s">
        <v>377</v>
      </c>
      <c r="C1430" s="2" t="s">
        <v>378</v>
      </c>
      <c r="D1430" s="8" t="s">
        <v>46</v>
      </c>
      <c r="E1430" s="9" t="s">
        <v>23</v>
      </c>
      <c r="F1430" s="33">
        <v>1.0</v>
      </c>
      <c r="G1430" s="33">
        <v>750.0</v>
      </c>
      <c r="H1430" s="35">
        <v>46129.0</v>
      </c>
      <c r="I1430" s="2" t="s">
        <v>14</v>
      </c>
      <c r="J1430" s="12" t="s">
        <v>945</v>
      </c>
    </row>
    <row r="1431" ht="22.5" hidden="1" customHeight="1">
      <c r="A1431" s="2" t="s">
        <v>462</v>
      </c>
      <c r="B1431" s="2" t="s">
        <v>1055</v>
      </c>
      <c r="C1431" s="2">
        <v>9425.0</v>
      </c>
      <c r="D1431" s="8" t="s">
        <v>12</v>
      </c>
      <c r="E1431" s="9" t="s">
        <v>58</v>
      </c>
      <c r="F1431" s="33">
        <v>1.0</v>
      </c>
      <c r="G1431" s="33">
        <v>2700.0</v>
      </c>
      <c r="H1431" s="35">
        <v>46129.0</v>
      </c>
      <c r="I1431" s="2" t="s">
        <v>14</v>
      </c>
      <c r="J1431" s="12" t="s">
        <v>1127</v>
      </c>
    </row>
    <row r="1432" ht="22.5" hidden="1" customHeight="1">
      <c r="A1432" s="2" t="s">
        <v>462</v>
      </c>
      <c r="B1432" s="2" t="s">
        <v>963</v>
      </c>
      <c r="C1432" s="2">
        <v>8610.0</v>
      </c>
      <c r="D1432" s="8" t="s">
        <v>12</v>
      </c>
      <c r="E1432" s="9" t="s">
        <v>13</v>
      </c>
      <c r="F1432" s="33">
        <v>1.0</v>
      </c>
      <c r="G1432" s="33">
        <v>1190.0</v>
      </c>
      <c r="H1432" s="35">
        <v>46129.0</v>
      </c>
      <c r="I1432" s="2" t="s">
        <v>14</v>
      </c>
      <c r="J1432" s="12" t="s">
        <v>1127</v>
      </c>
    </row>
    <row r="1433" ht="22.5" hidden="1" customHeight="1">
      <c r="A1433" s="2" t="s">
        <v>462</v>
      </c>
      <c r="B1433" s="2" t="s">
        <v>141</v>
      </c>
      <c r="C1433" s="2">
        <v>8770.0</v>
      </c>
      <c r="D1433" s="8" t="s">
        <v>46</v>
      </c>
      <c r="E1433" s="9" t="s">
        <v>27</v>
      </c>
      <c r="F1433" s="33">
        <v>1.0</v>
      </c>
      <c r="G1433" s="33">
        <v>1690.0</v>
      </c>
      <c r="H1433" s="35">
        <v>46129.0</v>
      </c>
      <c r="I1433" s="2" t="s">
        <v>14</v>
      </c>
      <c r="J1433" s="12" t="s">
        <v>1127</v>
      </c>
    </row>
    <row r="1434" ht="22.5" hidden="1" customHeight="1">
      <c r="A1434" s="2" t="s">
        <v>345</v>
      </c>
      <c r="B1434" s="2" t="s">
        <v>97</v>
      </c>
      <c r="C1434" s="2">
        <v>8748.0</v>
      </c>
      <c r="D1434" s="8" t="s">
        <v>12</v>
      </c>
      <c r="E1434" s="9" t="s">
        <v>58</v>
      </c>
      <c r="F1434" s="33">
        <v>1.0</v>
      </c>
      <c r="G1434" s="33">
        <v>1800.0</v>
      </c>
      <c r="H1434" s="35">
        <v>46129.0</v>
      </c>
      <c r="I1434" s="2" t="s">
        <v>14</v>
      </c>
      <c r="J1434" s="12" t="s">
        <v>1128</v>
      </c>
    </row>
    <row r="1435" ht="22.5" hidden="1" customHeight="1">
      <c r="A1435" s="2" t="s">
        <v>345</v>
      </c>
      <c r="B1435" s="2" t="s">
        <v>1006</v>
      </c>
      <c r="C1435" s="2">
        <v>8321.0</v>
      </c>
      <c r="D1435" s="8" t="s">
        <v>46</v>
      </c>
      <c r="E1435" s="9" t="s">
        <v>26</v>
      </c>
      <c r="F1435" s="33">
        <v>1.0</v>
      </c>
      <c r="G1435" s="33">
        <v>1350.0</v>
      </c>
      <c r="H1435" s="35">
        <v>46129.0</v>
      </c>
      <c r="I1435" s="2" t="s">
        <v>14</v>
      </c>
      <c r="J1435" s="12" t="s">
        <v>1128</v>
      </c>
    </row>
    <row r="1436" ht="22.5" hidden="1" customHeight="1">
      <c r="A1436" s="2" t="s">
        <v>1129</v>
      </c>
      <c r="B1436" s="2" t="s">
        <v>268</v>
      </c>
      <c r="C1436" s="2" t="s">
        <v>269</v>
      </c>
      <c r="D1436" s="8">
        <v>37.0</v>
      </c>
      <c r="E1436" s="9" t="s">
        <v>18</v>
      </c>
      <c r="F1436" s="33">
        <v>1.0</v>
      </c>
      <c r="G1436" s="33">
        <v>1990.0</v>
      </c>
      <c r="H1436" s="35">
        <v>46129.0</v>
      </c>
      <c r="I1436" s="2" t="s">
        <v>14</v>
      </c>
      <c r="J1436" s="12" t="s">
        <v>1130</v>
      </c>
    </row>
    <row r="1437" ht="22.5" hidden="1" customHeight="1">
      <c r="A1437" s="2" t="s">
        <v>1129</v>
      </c>
      <c r="B1437" s="2" t="s">
        <v>958</v>
      </c>
      <c r="C1437" s="2" t="s">
        <v>959</v>
      </c>
      <c r="D1437" s="8" t="s">
        <v>12</v>
      </c>
      <c r="E1437" s="9" t="s">
        <v>18</v>
      </c>
      <c r="F1437" s="33">
        <v>1.0</v>
      </c>
      <c r="G1437" s="33">
        <v>1800.0</v>
      </c>
      <c r="H1437" s="35">
        <v>46129.0</v>
      </c>
      <c r="I1437" s="2" t="s">
        <v>14</v>
      </c>
      <c r="J1437" s="12" t="s">
        <v>1130</v>
      </c>
    </row>
    <row r="1438" ht="22.5" hidden="1" customHeight="1">
      <c r="A1438" s="2" t="s">
        <v>832</v>
      </c>
      <c r="B1438" s="2" t="s">
        <v>365</v>
      </c>
      <c r="C1438" s="2">
        <v>9094.0</v>
      </c>
      <c r="D1438" s="8" t="s">
        <v>22</v>
      </c>
      <c r="E1438" s="9" t="s">
        <v>58</v>
      </c>
      <c r="F1438" s="33">
        <v>1.0</v>
      </c>
      <c r="G1438" s="33">
        <v>2400.0</v>
      </c>
      <c r="H1438" s="35">
        <v>46129.0</v>
      </c>
      <c r="I1438" s="2" t="s">
        <v>14</v>
      </c>
      <c r="J1438" s="12" t="s">
        <v>833</v>
      </c>
    </row>
    <row r="1439" ht="22.5" hidden="1" customHeight="1">
      <c r="A1439" s="2" t="s">
        <v>1131</v>
      </c>
      <c r="B1439" s="2" t="s">
        <v>268</v>
      </c>
      <c r="C1439" s="2" t="s">
        <v>269</v>
      </c>
      <c r="D1439" s="8">
        <v>38.0</v>
      </c>
      <c r="E1439" s="9" t="s">
        <v>47</v>
      </c>
      <c r="F1439" s="33">
        <v>1.0</v>
      </c>
      <c r="G1439" s="33">
        <v>1990.0</v>
      </c>
      <c r="H1439" s="35">
        <v>46129.0</v>
      </c>
      <c r="I1439" s="2" t="s">
        <v>14</v>
      </c>
      <c r="J1439" s="12" t="s">
        <v>1132</v>
      </c>
    </row>
    <row r="1440" ht="22.5" hidden="1" customHeight="1">
      <c r="A1440" s="2" t="s">
        <v>1133</v>
      </c>
      <c r="B1440" s="2" t="s">
        <v>958</v>
      </c>
      <c r="C1440" s="2" t="s">
        <v>959</v>
      </c>
      <c r="D1440" s="8" t="s">
        <v>12</v>
      </c>
      <c r="E1440" s="9" t="s">
        <v>18</v>
      </c>
      <c r="F1440" s="33">
        <v>1.0</v>
      </c>
      <c r="G1440" s="33">
        <v>1800.0</v>
      </c>
      <c r="H1440" s="35">
        <v>46129.0</v>
      </c>
      <c r="I1440" s="2" t="s">
        <v>14</v>
      </c>
      <c r="J1440" s="12" t="s">
        <v>1134</v>
      </c>
    </row>
    <row r="1441" ht="22.5" hidden="1" customHeight="1">
      <c r="A1441" s="2" t="s">
        <v>1135</v>
      </c>
      <c r="B1441" s="2" t="s">
        <v>961</v>
      </c>
      <c r="C1441" s="2">
        <v>6612.0</v>
      </c>
      <c r="D1441" s="8" t="s">
        <v>46</v>
      </c>
      <c r="E1441" s="9">
        <v>2.0</v>
      </c>
      <c r="F1441" s="33">
        <v>1.0</v>
      </c>
      <c r="G1441" s="33">
        <v>850.0</v>
      </c>
      <c r="H1441" s="35">
        <v>46129.0</v>
      </c>
      <c r="I1441" s="2" t="s">
        <v>24</v>
      </c>
      <c r="J1441" s="12" t="s">
        <v>1136</v>
      </c>
    </row>
    <row r="1442" ht="22.5" hidden="1" customHeight="1">
      <c r="A1442" s="2" t="s">
        <v>1135</v>
      </c>
      <c r="B1442" s="2" t="s">
        <v>961</v>
      </c>
      <c r="C1442" s="2">
        <v>6612.0</v>
      </c>
      <c r="D1442" s="8" t="s">
        <v>46</v>
      </c>
      <c r="E1442" s="9">
        <v>9.0</v>
      </c>
      <c r="F1442" s="33">
        <v>1.0</v>
      </c>
      <c r="G1442" s="33">
        <v>850.0</v>
      </c>
      <c r="H1442" s="35">
        <v>46129.0</v>
      </c>
      <c r="I1442" s="2" t="s">
        <v>24</v>
      </c>
      <c r="J1442" s="12" t="s">
        <v>1136</v>
      </c>
    </row>
    <row r="1443" ht="22.5" hidden="1" customHeight="1">
      <c r="A1443" s="2" t="s">
        <v>52</v>
      </c>
      <c r="B1443" s="2" t="s">
        <v>141</v>
      </c>
      <c r="C1443" s="2">
        <v>8770.0</v>
      </c>
      <c r="D1443" s="8" t="s">
        <v>46</v>
      </c>
      <c r="E1443" s="9" t="s">
        <v>18</v>
      </c>
      <c r="F1443" s="33">
        <v>1.0</v>
      </c>
      <c r="G1443" s="33">
        <v>1690.0</v>
      </c>
      <c r="H1443" s="35">
        <v>46129.0</v>
      </c>
      <c r="I1443" s="2" t="s">
        <v>14</v>
      </c>
      <c r="J1443" s="12" t="s">
        <v>1137</v>
      </c>
    </row>
    <row r="1444" ht="22.5" hidden="1" customHeight="1">
      <c r="A1444" s="2" t="s">
        <v>345</v>
      </c>
      <c r="B1444" s="2" t="s">
        <v>141</v>
      </c>
      <c r="C1444" s="2">
        <v>8770.0</v>
      </c>
      <c r="D1444" s="8" t="s">
        <v>46</v>
      </c>
      <c r="E1444" s="9" t="s">
        <v>13</v>
      </c>
      <c r="F1444" s="33">
        <v>1.0</v>
      </c>
      <c r="G1444" s="33">
        <v>1690.0</v>
      </c>
      <c r="H1444" s="35">
        <v>46129.0</v>
      </c>
      <c r="I1444" s="2" t="s">
        <v>14</v>
      </c>
      <c r="J1444" s="12" t="s">
        <v>1128</v>
      </c>
    </row>
    <row r="1445" ht="22.5" hidden="1" customHeight="1">
      <c r="A1445" s="2" t="s">
        <v>345</v>
      </c>
      <c r="B1445" s="2" t="s">
        <v>141</v>
      </c>
      <c r="C1445" s="2">
        <v>8770.0</v>
      </c>
      <c r="D1445" s="8" t="s">
        <v>46</v>
      </c>
      <c r="E1445" s="9" t="s">
        <v>27</v>
      </c>
      <c r="F1445" s="33">
        <v>1.0</v>
      </c>
      <c r="G1445" s="33">
        <v>1690.0</v>
      </c>
      <c r="H1445" s="35">
        <v>46129.0</v>
      </c>
      <c r="I1445" s="2" t="s">
        <v>14</v>
      </c>
      <c r="J1445" s="12" t="s">
        <v>1128</v>
      </c>
    </row>
    <row r="1446" ht="22.5" hidden="1" customHeight="1">
      <c r="A1446" s="2" t="s">
        <v>1138</v>
      </c>
      <c r="B1446" s="2" t="s">
        <v>141</v>
      </c>
      <c r="C1446" s="2">
        <v>8770.0</v>
      </c>
      <c r="D1446" s="8" t="s">
        <v>46</v>
      </c>
      <c r="E1446" s="9" t="s">
        <v>415</v>
      </c>
      <c r="F1446" s="33">
        <v>1.0</v>
      </c>
      <c r="G1446" s="33">
        <v>1690.0</v>
      </c>
      <c r="H1446" s="35">
        <v>46129.0</v>
      </c>
      <c r="I1446" s="2" t="s">
        <v>14</v>
      </c>
      <c r="J1446" s="12" t="s">
        <v>1139</v>
      </c>
    </row>
    <row r="1447" ht="22.5" hidden="1" customHeight="1">
      <c r="A1447" s="2" t="s">
        <v>38</v>
      </c>
      <c r="B1447" s="2" t="s">
        <v>141</v>
      </c>
      <c r="C1447" s="2">
        <v>8770.0</v>
      </c>
      <c r="D1447" s="8" t="s">
        <v>46</v>
      </c>
      <c r="E1447" s="9" t="s">
        <v>27</v>
      </c>
      <c r="F1447" s="33">
        <v>1.0</v>
      </c>
      <c r="G1447" s="33">
        <v>1690.0</v>
      </c>
      <c r="H1447" s="35">
        <v>46129.0</v>
      </c>
      <c r="I1447" s="2" t="s">
        <v>14</v>
      </c>
      <c r="J1447" s="12" t="s">
        <v>1041</v>
      </c>
    </row>
    <row r="1448" ht="22.5" hidden="1" customHeight="1">
      <c r="A1448" s="2" t="s">
        <v>369</v>
      </c>
      <c r="B1448" s="2" t="s">
        <v>141</v>
      </c>
      <c r="C1448" s="2">
        <v>8770.0</v>
      </c>
      <c r="D1448" s="8" t="s">
        <v>46</v>
      </c>
      <c r="E1448" s="9" t="s">
        <v>27</v>
      </c>
      <c r="F1448" s="33">
        <v>1.0</v>
      </c>
      <c r="G1448" s="33">
        <v>1690.0</v>
      </c>
      <c r="H1448" s="35">
        <v>46129.0</v>
      </c>
      <c r="I1448" s="2" t="s">
        <v>14</v>
      </c>
      <c r="J1448" s="12" t="s">
        <v>1030</v>
      </c>
    </row>
    <row r="1449" ht="22.5" hidden="1" customHeight="1">
      <c r="A1449" s="2" t="s">
        <v>71</v>
      </c>
      <c r="B1449" s="2" t="s">
        <v>141</v>
      </c>
      <c r="C1449" s="2">
        <v>8770.0</v>
      </c>
      <c r="D1449" s="8" t="s">
        <v>46</v>
      </c>
      <c r="E1449" s="9" t="s">
        <v>27</v>
      </c>
      <c r="F1449" s="33">
        <v>1.0</v>
      </c>
      <c r="G1449" s="33">
        <v>1690.0</v>
      </c>
      <c r="H1449" s="35">
        <v>46129.0</v>
      </c>
      <c r="I1449" s="2" t="s">
        <v>14</v>
      </c>
      <c r="J1449" s="12" t="s">
        <v>955</v>
      </c>
    </row>
    <row r="1450" ht="22.5" hidden="1" customHeight="1">
      <c r="A1450" s="2" t="s">
        <v>1140</v>
      </c>
      <c r="B1450" s="2" t="s">
        <v>141</v>
      </c>
      <c r="C1450" s="2">
        <v>8770.0</v>
      </c>
      <c r="D1450" s="8" t="s">
        <v>46</v>
      </c>
      <c r="E1450" s="9" t="s">
        <v>27</v>
      </c>
      <c r="F1450" s="33">
        <v>1.0</v>
      </c>
      <c r="G1450" s="33">
        <v>1690.0</v>
      </c>
      <c r="H1450" s="35">
        <v>46129.0</v>
      </c>
      <c r="I1450" s="2" t="s">
        <v>24</v>
      </c>
      <c r="J1450" s="12" t="s">
        <v>1141</v>
      </c>
    </row>
    <row r="1451" ht="22.5" hidden="1" customHeight="1">
      <c r="A1451" s="2" t="s">
        <v>1140</v>
      </c>
      <c r="B1451" s="2" t="s">
        <v>1006</v>
      </c>
      <c r="C1451" s="2">
        <v>8321.0</v>
      </c>
      <c r="D1451" s="8" t="s">
        <v>46</v>
      </c>
      <c r="E1451" s="9" t="s">
        <v>58</v>
      </c>
      <c r="F1451" s="33">
        <v>1.0</v>
      </c>
      <c r="G1451" s="33">
        <v>1350.0</v>
      </c>
      <c r="H1451" s="35">
        <v>46129.0</v>
      </c>
      <c r="I1451" s="2" t="s">
        <v>24</v>
      </c>
      <c r="J1451" s="12" t="s">
        <v>1141</v>
      </c>
    </row>
    <row r="1452" ht="22.5" hidden="1" customHeight="1">
      <c r="A1452" s="2" t="s">
        <v>1140</v>
      </c>
      <c r="B1452" s="2" t="s">
        <v>958</v>
      </c>
      <c r="C1452" s="2" t="s">
        <v>959</v>
      </c>
      <c r="D1452" s="8" t="s">
        <v>12</v>
      </c>
      <c r="E1452" s="9" t="s">
        <v>18</v>
      </c>
      <c r="F1452" s="33">
        <v>1.0</v>
      </c>
      <c r="G1452" s="33">
        <v>1800.0</v>
      </c>
      <c r="H1452" s="35">
        <v>46129.0</v>
      </c>
      <c r="I1452" s="2" t="s">
        <v>24</v>
      </c>
      <c r="J1452" s="12" t="s">
        <v>1141</v>
      </c>
    </row>
    <row r="1453" ht="22.5" hidden="1" customHeight="1">
      <c r="A1453" s="2" t="s">
        <v>1140</v>
      </c>
      <c r="B1453" s="2" t="s">
        <v>365</v>
      </c>
      <c r="C1453" s="2">
        <v>9094.0</v>
      </c>
      <c r="D1453" s="8" t="s">
        <v>12</v>
      </c>
      <c r="E1453" s="9" t="s">
        <v>58</v>
      </c>
      <c r="F1453" s="33">
        <v>1.0</v>
      </c>
      <c r="G1453" s="33">
        <v>2400.0</v>
      </c>
      <c r="H1453" s="35">
        <v>46129.0</v>
      </c>
      <c r="I1453" s="2" t="s">
        <v>24</v>
      </c>
      <c r="J1453" s="12" t="s">
        <v>1141</v>
      </c>
    </row>
    <row r="1454" ht="22.5" hidden="1" customHeight="1">
      <c r="A1454" s="2" t="s">
        <v>1142</v>
      </c>
      <c r="B1454" s="2" t="s">
        <v>958</v>
      </c>
      <c r="C1454" s="2" t="s">
        <v>959</v>
      </c>
      <c r="D1454" s="8" t="s">
        <v>22</v>
      </c>
      <c r="E1454" s="9" t="s">
        <v>18</v>
      </c>
      <c r="F1454" s="33">
        <v>1.0</v>
      </c>
      <c r="G1454" s="33">
        <v>1800.0</v>
      </c>
      <c r="H1454" s="35">
        <v>46129.0</v>
      </c>
      <c r="I1454" s="2" t="s">
        <v>14</v>
      </c>
      <c r="J1454" s="12" t="s">
        <v>1143</v>
      </c>
    </row>
    <row r="1455" ht="22.5" hidden="1" customHeight="1">
      <c r="A1455" s="2" t="s">
        <v>1144</v>
      </c>
      <c r="B1455" s="2" t="s">
        <v>912</v>
      </c>
      <c r="C1455" s="2" t="s">
        <v>913</v>
      </c>
      <c r="D1455" s="8" t="s">
        <v>22</v>
      </c>
      <c r="E1455" s="9" t="s">
        <v>13</v>
      </c>
      <c r="F1455" s="33">
        <v>1.0</v>
      </c>
      <c r="G1455" s="33">
        <v>1650.0</v>
      </c>
      <c r="H1455" s="35">
        <v>46130.0</v>
      </c>
      <c r="I1455" s="2" t="s">
        <v>14</v>
      </c>
      <c r="J1455" s="12" t="s">
        <v>1145</v>
      </c>
    </row>
    <row r="1456" ht="22.5" hidden="1" customHeight="1">
      <c r="A1456" s="2" t="s">
        <v>1144</v>
      </c>
      <c r="B1456" s="2" t="s">
        <v>912</v>
      </c>
      <c r="C1456" s="2" t="s">
        <v>913</v>
      </c>
      <c r="D1456" s="8" t="s">
        <v>22</v>
      </c>
      <c r="E1456" s="9" t="s">
        <v>338</v>
      </c>
      <c r="F1456" s="33">
        <v>1.0</v>
      </c>
      <c r="G1456" s="33">
        <v>1650.0</v>
      </c>
      <c r="H1456" s="35">
        <v>46130.0</v>
      </c>
      <c r="I1456" s="2" t="s">
        <v>14</v>
      </c>
      <c r="J1456" s="12" t="s">
        <v>1145</v>
      </c>
    </row>
    <row r="1457" ht="22.5" hidden="1" customHeight="1">
      <c r="A1457" s="2" t="s">
        <v>1144</v>
      </c>
      <c r="B1457" s="2" t="s">
        <v>912</v>
      </c>
      <c r="C1457" s="2" t="s">
        <v>913</v>
      </c>
      <c r="D1457" s="8" t="s">
        <v>22</v>
      </c>
      <c r="E1457" s="9" t="s">
        <v>16</v>
      </c>
      <c r="F1457" s="33">
        <v>1.0</v>
      </c>
      <c r="G1457" s="33">
        <v>1650.0</v>
      </c>
      <c r="H1457" s="35">
        <v>46130.0</v>
      </c>
      <c r="I1457" s="2" t="s">
        <v>14</v>
      </c>
      <c r="J1457" s="12" t="s">
        <v>1145</v>
      </c>
    </row>
    <row r="1458" ht="22.5" hidden="1" customHeight="1">
      <c r="A1458" s="2" t="s">
        <v>1146</v>
      </c>
      <c r="B1458" s="2" t="s">
        <v>912</v>
      </c>
      <c r="C1458" s="2" t="s">
        <v>913</v>
      </c>
      <c r="D1458" s="8" t="s">
        <v>22</v>
      </c>
      <c r="E1458" s="9" t="s">
        <v>13</v>
      </c>
      <c r="F1458" s="33">
        <v>1.0</v>
      </c>
      <c r="G1458" s="33">
        <v>1650.0</v>
      </c>
      <c r="H1458" s="35">
        <v>46130.0</v>
      </c>
      <c r="I1458" s="2" t="s">
        <v>14</v>
      </c>
      <c r="J1458" s="12" t="s">
        <v>1147</v>
      </c>
    </row>
    <row r="1459" ht="22.5" hidden="1" customHeight="1">
      <c r="A1459" s="2" t="s">
        <v>329</v>
      </c>
      <c r="B1459" s="2" t="s">
        <v>1011</v>
      </c>
      <c r="C1459" s="2">
        <v>3225.0</v>
      </c>
      <c r="D1459" s="8" t="s">
        <v>22</v>
      </c>
      <c r="E1459" s="9" t="s">
        <v>58</v>
      </c>
      <c r="F1459" s="33">
        <v>1.0</v>
      </c>
      <c r="G1459" s="33">
        <v>2350.0</v>
      </c>
      <c r="H1459" s="35">
        <v>46130.0</v>
      </c>
      <c r="I1459" s="2" t="s">
        <v>14</v>
      </c>
      <c r="J1459" s="12" t="s">
        <v>1148</v>
      </c>
    </row>
    <row r="1460" ht="22.5" hidden="1" customHeight="1">
      <c r="A1460" s="2" t="s">
        <v>71</v>
      </c>
      <c r="B1460" s="2" t="s">
        <v>352</v>
      </c>
      <c r="C1460" s="2">
        <v>5709.0</v>
      </c>
      <c r="D1460" s="8" t="s">
        <v>989</v>
      </c>
      <c r="E1460" s="9" t="s">
        <v>340</v>
      </c>
      <c r="F1460" s="33">
        <v>1.0</v>
      </c>
      <c r="G1460" s="33">
        <v>2350.0</v>
      </c>
      <c r="H1460" s="35">
        <v>46130.0</v>
      </c>
      <c r="I1460" s="2" t="s">
        <v>14</v>
      </c>
      <c r="J1460" s="12" t="s">
        <v>955</v>
      </c>
    </row>
    <row r="1461" ht="22.5" hidden="1" customHeight="1">
      <c r="A1461" s="2" t="s">
        <v>1149</v>
      </c>
      <c r="B1461" s="2" t="s">
        <v>360</v>
      </c>
      <c r="C1461" s="2" t="s">
        <v>361</v>
      </c>
      <c r="D1461" s="8" t="s">
        <v>46</v>
      </c>
      <c r="E1461" s="9" t="s">
        <v>760</v>
      </c>
      <c r="F1461" s="33">
        <v>1.0</v>
      </c>
      <c r="G1461" s="33">
        <v>1890.0</v>
      </c>
      <c r="H1461" s="35">
        <v>46130.0</v>
      </c>
      <c r="I1461" s="2" t="s">
        <v>14</v>
      </c>
      <c r="J1461" s="12" t="s">
        <v>1150</v>
      </c>
    </row>
    <row r="1462" ht="22.5" hidden="1" customHeight="1">
      <c r="A1462" s="2" t="s">
        <v>1149</v>
      </c>
      <c r="B1462" s="2" t="s">
        <v>360</v>
      </c>
      <c r="C1462" s="2" t="s">
        <v>361</v>
      </c>
      <c r="D1462" s="8" t="s">
        <v>46</v>
      </c>
      <c r="E1462" s="9" t="s">
        <v>735</v>
      </c>
      <c r="F1462" s="33">
        <v>1.0</v>
      </c>
      <c r="G1462" s="33">
        <v>1890.0</v>
      </c>
      <c r="H1462" s="35">
        <v>46130.0</v>
      </c>
      <c r="I1462" s="2" t="s">
        <v>14</v>
      </c>
      <c r="J1462" s="12" t="s">
        <v>1150</v>
      </c>
    </row>
    <row r="1463" ht="22.5" hidden="1" customHeight="1">
      <c r="A1463" s="2" t="s">
        <v>481</v>
      </c>
      <c r="B1463" s="2" t="s">
        <v>892</v>
      </c>
      <c r="C1463" s="2" t="s">
        <v>893</v>
      </c>
      <c r="D1463" s="8">
        <v>38.0</v>
      </c>
      <c r="E1463" s="9" t="s">
        <v>47</v>
      </c>
      <c r="F1463" s="33">
        <v>1.0</v>
      </c>
      <c r="G1463" s="33">
        <v>2200.0</v>
      </c>
      <c r="H1463" s="35">
        <v>46130.0</v>
      </c>
      <c r="I1463" s="2" t="s">
        <v>14</v>
      </c>
      <c r="J1463" s="12" t="s">
        <v>482</v>
      </c>
    </row>
    <row r="1464" ht="22.5" hidden="1" customHeight="1">
      <c r="A1464" s="2" t="s">
        <v>423</v>
      </c>
      <c r="B1464" s="2" t="s">
        <v>182</v>
      </c>
      <c r="C1464" s="2">
        <v>9369.0</v>
      </c>
      <c r="D1464" s="8" t="s">
        <v>12</v>
      </c>
      <c r="E1464" s="9" t="s">
        <v>58</v>
      </c>
      <c r="F1464" s="33">
        <v>1.0</v>
      </c>
      <c r="G1464" s="33">
        <v>2400.0</v>
      </c>
      <c r="H1464" s="35">
        <v>46132.0</v>
      </c>
      <c r="I1464" s="2" t="s">
        <v>14</v>
      </c>
      <c r="J1464" s="12" t="s">
        <v>791</v>
      </c>
    </row>
    <row r="1465" ht="22.5" hidden="1" customHeight="1">
      <c r="A1465" s="2" t="s">
        <v>71</v>
      </c>
      <c r="B1465" s="2" t="s">
        <v>182</v>
      </c>
      <c r="C1465" s="2">
        <v>9369.0</v>
      </c>
      <c r="D1465" s="8" t="s">
        <v>22</v>
      </c>
      <c r="E1465" s="9" t="s">
        <v>58</v>
      </c>
      <c r="F1465" s="33">
        <v>1.0</v>
      </c>
      <c r="G1465" s="33">
        <v>2400.0</v>
      </c>
      <c r="H1465" s="35">
        <v>46132.0</v>
      </c>
      <c r="I1465" s="2" t="s">
        <v>14</v>
      </c>
      <c r="J1465" s="12" t="s">
        <v>955</v>
      </c>
    </row>
    <row r="1466" ht="22.5" customHeight="1">
      <c r="A1466" s="2" t="s">
        <v>1151</v>
      </c>
      <c r="B1466" s="2" t="s">
        <v>762</v>
      </c>
      <c r="C1466" s="2" t="s">
        <v>763</v>
      </c>
      <c r="D1466" s="8" t="s">
        <v>46</v>
      </c>
      <c r="E1466" s="9" t="s">
        <v>1152</v>
      </c>
      <c r="F1466" s="33">
        <v>1.0</v>
      </c>
      <c r="G1466" s="33">
        <v>1990.0</v>
      </c>
      <c r="H1466" s="35">
        <v>46133.0</v>
      </c>
      <c r="I1466" s="2" t="s">
        <v>14</v>
      </c>
      <c r="J1466" s="12" t="s">
        <v>1153</v>
      </c>
    </row>
    <row r="1467" ht="22.5" hidden="1" customHeight="1">
      <c r="A1467" s="2" t="s">
        <v>806</v>
      </c>
      <c r="B1467" s="2" t="s">
        <v>762</v>
      </c>
      <c r="C1467" s="2" t="s">
        <v>763</v>
      </c>
      <c r="D1467" s="8" t="s">
        <v>46</v>
      </c>
      <c r="E1467" s="9" t="s">
        <v>1154</v>
      </c>
      <c r="F1467" s="33">
        <v>1.0</v>
      </c>
      <c r="G1467" s="33">
        <v>1990.0</v>
      </c>
      <c r="H1467" s="35">
        <v>46133.0</v>
      </c>
      <c r="I1467" s="2" t="s">
        <v>14</v>
      </c>
      <c r="J1467" s="12" t="s">
        <v>807</v>
      </c>
    </row>
    <row r="1468" ht="22.5" hidden="1" customHeight="1">
      <c r="A1468" s="2" t="s">
        <v>247</v>
      </c>
      <c r="B1468" s="2" t="s">
        <v>762</v>
      </c>
      <c r="C1468" s="2" t="s">
        <v>763</v>
      </c>
      <c r="D1468" s="8" t="s">
        <v>46</v>
      </c>
      <c r="E1468" s="9" t="s">
        <v>1155</v>
      </c>
      <c r="F1468" s="33">
        <v>1.0</v>
      </c>
      <c r="G1468" s="33">
        <v>1990.0</v>
      </c>
      <c r="H1468" s="35">
        <v>46133.0</v>
      </c>
      <c r="I1468" s="2" t="s">
        <v>14</v>
      </c>
      <c r="J1468" s="12" t="s">
        <v>416</v>
      </c>
    </row>
    <row r="1469" ht="22.5" hidden="1" customHeight="1">
      <c r="A1469" s="2" t="s">
        <v>1156</v>
      </c>
      <c r="B1469" s="2" t="s">
        <v>762</v>
      </c>
      <c r="C1469" s="2" t="s">
        <v>763</v>
      </c>
      <c r="D1469" s="8" t="s">
        <v>46</v>
      </c>
      <c r="E1469" s="9" t="s">
        <v>1157</v>
      </c>
      <c r="F1469" s="33">
        <v>1.0</v>
      </c>
      <c r="G1469" s="33">
        <v>1990.0</v>
      </c>
      <c r="H1469" s="35">
        <v>46133.0</v>
      </c>
      <c r="I1469" s="2" t="s">
        <v>14</v>
      </c>
      <c r="J1469" s="12" t="s">
        <v>1158</v>
      </c>
    </row>
    <row r="1470" ht="22.5" hidden="1" customHeight="1">
      <c r="A1470" s="2" t="s">
        <v>1159</v>
      </c>
      <c r="B1470" s="2" t="s">
        <v>762</v>
      </c>
      <c r="C1470" s="2" t="s">
        <v>763</v>
      </c>
      <c r="D1470" s="8" t="s">
        <v>46</v>
      </c>
      <c r="E1470" s="9" t="s">
        <v>1160</v>
      </c>
      <c r="F1470" s="33">
        <v>1.0</v>
      </c>
      <c r="G1470" s="33">
        <v>2850.0</v>
      </c>
      <c r="H1470" s="35">
        <v>46133.0</v>
      </c>
      <c r="I1470" s="2" t="s">
        <v>14</v>
      </c>
      <c r="J1470" s="12" t="s">
        <v>1161</v>
      </c>
    </row>
    <row r="1471" ht="22.5" hidden="1" customHeight="1">
      <c r="A1471" s="2" t="s">
        <v>1162</v>
      </c>
      <c r="B1471" s="2" t="s">
        <v>762</v>
      </c>
      <c r="C1471" s="2" t="s">
        <v>763</v>
      </c>
      <c r="D1471" s="8" t="s">
        <v>46</v>
      </c>
      <c r="E1471" s="9" t="s">
        <v>1163</v>
      </c>
      <c r="F1471" s="33">
        <v>1.0</v>
      </c>
      <c r="G1471" s="33">
        <v>1990.0</v>
      </c>
      <c r="H1471" s="35">
        <v>46133.0</v>
      </c>
      <c r="I1471" s="2" t="s">
        <v>14</v>
      </c>
      <c r="J1471" s="12" t="s">
        <v>1164</v>
      </c>
    </row>
    <row r="1472" ht="22.5" hidden="1" customHeight="1">
      <c r="A1472" s="2" t="s">
        <v>1138</v>
      </c>
      <c r="B1472" s="2" t="s">
        <v>762</v>
      </c>
      <c r="C1472" s="2" t="s">
        <v>763</v>
      </c>
      <c r="D1472" s="8" t="s">
        <v>46</v>
      </c>
      <c r="E1472" s="9" t="s">
        <v>1165</v>
      </c>
      <c r="F1472" s="33">
        <v>2.0</v>
      </c>
      <c r="G1472" s="33">
        <v>1990.0</v>
      </c>
      <c r="H1472" s="35">
        <v>46133.0</v>
      </c>
      <c r="I1472" s="2" t="s">
        <v>14</v>
      </c>
      <c r="J1472" s="12" t="s">
        <v>1139</v>
      </c>
    </row>
    <row r="1473" ht="22.5" hidden="1" customHeight="1">
      <c r="A1473" s="2" t="s">
        <v>861</v>
      </c>
      <c r="B1473" s="2" t="s">
        <v>762</v>
      </c>
      <c r="C1473" s="2" t="s">
        <v>763</v>
      </c>
      <c r="D1473" s="8" t="s">
        <v>46</v>
      </c>
      <c r="E1473" s="9" t="s">
        <v>1166</v>
      </c>
      <c r="F1473" s="33">
        <v>1.0</v>
      </c>
      <c r="G1473" s="33">
        <v>1990.0</v>
      </c>
      <c r="H1473" s="35">
        <v>46133.0</v>
      </c>
      <c r="I1473" s="2" t="s">
        <v>14</v>
      </c>
      <c r="J1473" s="12" t="s">
        <v>862</v>
      </c>
    </row>
    <row r="1474" ht="22.5" hidden="1" customHeight="1">
      <c r="A1474" s="2" t="s">
        <v>1167</v>
      </c>
      <c r="B1474" s="2" t="s">
        <v>762</v>
      </c>
      <c r="C1474" s="2" t="s">
        <v>763</v>
      </c>
      <c r="D1474" s="8" t="s">
        <v>46</v>
      </c>
      <c r="E1474" s="9" t="s">
        <v>1168</v>
      </c>
      <c r="F1474" s="33">
        <v>1.0</v>
      </c>
      <c r="G1474" s="33">
        <v>1.0</v>
      </c>
      <c r="H1474" s="35">
        <v>46133.0</v>
      </c>
      <c r="I1474" s="2" t="s">
        <v>14</v>
      </c>
      <c r="J1474" s="12" t="s">
        <v>1169</v>
      </c>
    </row>
    <row r="1475" ht="22.5" hidden="1" customHeight="1">
      <c r="A1475" s="2" t="s">
        <v>1170</v>
      </c>
      <c r="B1475" s="2" t="s">
        <v>762</v>
      </c>
      <c r="C1475" s="2" t="s">
        <v>763</v>
      </c>
      <c r="D1475" s="8" t="s">
        <v>46</v>
      </c>
      <c r="E1475" s="9" t="s">
        <v>1171</v>
      </c>
      <c r="F1475" s="33">
        <v>1.0</v>
      </c>
      <c r="G1475" s="33">
        <v>1990.0</v>
      </c>
      <c r="H1475" s="35">
        <v>46133.0</v>
      </c>
      <c r="I1475" s="2" t="s">
        <v>14</v>
      </c>
      <c r="J1475" s="12" t="s">
        <v>1172</v>
      </c>
    </row>
    <row r="1476" ht="22.5" hidden="1" customHeight="1">
      <c r="A1476" s="2" t="s">
        <v>522</v>
      </c>
      <c r="B1476" s="2" t="s">
        <v>762</v>
      </c>
      <c r="C1476" s="2" t="s">
        <v>763</v>
      </c>
      <c r="D1476" s="8" t="s">
        <v>46</v>
      </c>
      <c r="E1476" s="9" t="s">
        <v>1173</v>
      </c>
      <c r="F1476" s="33">
        <v>1.0</v>
      </c>
      <c r="G1476" s="33">
        <v>1990.0</v>
      </c>
      <c r="H1476" s="35">
        <v>46133.0</v>
      </c>
      <c r="I1476" s="2" t="s">
        <v>14</v>
      </c>
      <c r="J1476" s="12" t="s">
        <v>1174</v>
      </c>
    </row>
    <row r="1477" ht="22.5" hidden="1" customHeight="1">
      <c r="A1477" s="2" t="s">
        <v>1175</v>
      </c>
      <c r="B1477" s="2" t="s">
        <v>762</v>
      </c>
      <c r="C1477" s="2" t="s">
        <v>763</v>
      </c>
      <c r="D1477" s="8" t="s">
        <v>46</v>
      </c>
      <c r="E1477" s="9" t="s">
        <v>1176</v>
      </c>
      <c r="F1477" s="33">
        <v>1.0</v>
      </c>
      <c r="G1477" s="33">
        <v>1990.0</v>
      </c>
      <c r="H1477" s="35">
        <v>46133.0</v>
      </c>
      <c r="I1477" s="2" t="s">
        <v>14</v>
      </c>
      <c r="J1477" s="12" t="s">
        <v>1177</v>
      </c>
    </row>
    <row r="1478" ht="22.5" hidden="1" customHeight="1">
      <c r="A1478" s="2" t="s">
        <v>1178</v>
      </c>
      <c r="B1478" s="2" t="s">
        <v>1006</v>
      </c>
      <c r="C1478" s="2">
        <v>8321.0</v>
      </c>
      <c r="D1478" s="8" t="s">
        <v>46</v>
      </c>
      <c r="E1478" s="9" t="s">
        <v>447</v>
      </c>
      <c r="F1478" s="33">
        <v>1.0</v>
      </c>
      <c r="G1478" s="33">
        <v>1350.0</v>
      </c>
      <c r="H1478" s="35">
        <v>46133.0</v>
      </c>
      <c r="I1478" s="2" t="s">
        <v>14</v>
      </c>
      <c r="J1478" s="12" t="s">
        <v>1179</v>
      </c>
    </row>
    <row r="1479" ht="22.5" hidden="1" customHeight="1">
      <c r="A1479" s="2" t="s">
        <v>1178</v>
      </c>
      <c r="B1479" s="2" t="s">
        <v>1006</v>
      </c>
      <c r="C1479" s="2">
        <v>8321.0</v>
      </c>
      <c r="D1479" s="8" t="s">
        <v>46</v>
      </c>
      <c r="E1479" s="9" t="s">
        <v>58</v>
      </c>
      <c r="F1479" s="33">
        <v>1.0</v>
      </c>
      <c r="G1479" s="33">
        <v>1350.0</v>
      </c>
      <c r="H1479" s="35">
        <v>46133.0</v>
      </c>
      <c r="I1479" s="2" t="s">
        <v>14</v>
      </c>
      <c r="J1479" s="12" t="s">
        <v>1179</v>
      </c>
    </row>
    <row r="1480" ht="22.5" hidden="1" customHeight="1">
      <c r="A1480" s="2" t="s">
        <v>124</v>
      </c>
      <c r="B1480" s="2" t="s">
        <v>912</v>
      </c>
      <c r="C1480" s="2" t="s">
        <v>913</v>
      </c>
      <c r="D1480" s="8" t="s">
        <v>75</v>
      </c>
      <c r="E1480" s="9" t="s">
        <v>198</v>
      </c>
      <c r="F1480" s="33">
        <v>1.0</v>
      </c>
      <c r="G1480" s="33">
        <v>1650.0</v>
      </c>
      <c r="H1480" s="35">
        <v>46133.0</v>
      </c>
      <c r="I1480" s="2" t="s">
        <v>14</v>
      </c>
      <c r="J1480" s="12" t="s">
        <v>1180</v>
      </c>
    </row>
    <row r="1481" ht="22.5" hidden="1" customHeight="1">
      <c r="A1481" s="2" t="s">
        <v>1181</v>
      </c>
      <c r="B1481" s="2" t="s">
        <v>963</v>
      </c>
      <c r="C1481" s="2">
        <v>8610.0</v>
      </c>
      <c r="D1481" s="8" t="s">
        <v>12</v>
      </c>
      <c r="E1481" s="9" t="s">
        <v>13</v>
      </c>
      <c r="F1481" s="33">
        <v>1.0</v>
      </c>
      <c r="G1481" s="33">
        <v>1190.0</v>
      </c>
      <c r="H1481" s="35">
        <v>46133.0</v>
      </c>
      <c r="I1481" s="2" t="s">
        <v>473</v>
      </c>
      <c r="J1481" s="12" t="s">
        <v>1182</v>
      </c>
    </row>
    <row r="1482" ht="22.5" hidden="1" customHeight="1">
      <c r="A1482" s="2" t="s">
        <v>1181</v>
      </c>
      <c r="B1482" s="2" t="s">
        <v>963</v>
      </c>
      <c r="C1482" s="2">
        <v>8610.0</v>
      </c>
      <c r="D1482" s="8" t="s">
        <v>12</v>
      </c>
      <c r="E1482" s="9" t="s">
        <v>16</v>
      </c>
      <c r="F1482" s="33">
        <v>1.0</v>
      </c>
      <c r="G1482" s="33">
        <v>1190.0</v>
      </c>
      <c r="H1482" s="35">
        <v>46133.0</v>
      </c>
      <c r="I1482" s="2" t="s">
        <v>1183</v>
      </c>
      <c r="J1482" s="12" t="s">
        <v>1182</v>
      </c>
    </row>
    <row r="1483" ht="22.5" hidden="1" customHeight="1">
      <c r="A1483" s="2" t="s">
        <v>354</v>
      </c>
      <c r="B1483" s="2" t="s">
        <v>1184</v>
      </c>
      <c r="C1483" s="2" t="s">
        <v>1185</v>
      </c>
      <c r="D1483" s="8" t="s">
        <v>1186</v>
      </c>
      <c r="E1483" s="9" t="s">
        <v>58</v>
      </c>
      <c r="F1483" s="33">
        <v>1.0</v>
      </c>
      <c r="G1483" s="33">
        <v>895.0</v>
      </c>
      <c r="H1483" s="35">
        <v>46133.0</v>
      </c>
      <c r="I1483" s="2" t="s">
        <v>14</v>
      </c>
      <c r="J1483" s="12" t="s">
        <v>1057</v>
      </c>
    </row>
    <row r="1484" ht="22.5" hidden="1" customHeight="1">
      <c r="A1484" s="2" t="s">
        <v>354</v>
      </c>
      <c r="B1484" s="2" t="s">
        <v>1184</v>
      </c>
      <c r="C1484" s="2" t="s">
        <v>1185</v>
      </c>
      <c r="D1484" s="8" t="s">
        <v>1186</v>
      </c>
      <c r="E1484" s="9" t="s">
        <v>18</v>
      </c>
      <c r="F1484" s="33">
        <v>1.0</v>
      </c>
      <c r="G1484" s="33">
        <v>895.0</v>
      </c>
      <c r="H1484" s="35">
        <v>46133.0</v>
      </c>
      <c r="I1484" s="2" t="s">
        <v>14</v>
      </c>
      <c r="J1484" s="12" t="s">
        <v>1057</v>
      </c>
    </row>
    <row r="1485" ht="22.5" hidden="1" customHeight="1">
      <c r="A1485" s="2" t="s">
        <v>1187</v>
      </c>
      <c r="B1485" s="2" t="s">
        <v>1184</v>
      </c>
      <c r="C1485" s="2" t="s">
        <v>1185</v>
      </c>
      <c r="D1485" s="8" t="s">
        <v>989</v>
      </c>
      <c r="E1485" s="9" t="s">
        <v>18</v>
      </c>
      <c r="F1485" s="33">
        <v>1.0</v>
      </c>
      <c r="G1485" s="33">
        <v>895.0</v>
      </c>
      <c r="H1485" s="35">
        <v>46133.0</v>
      </c>
      <c r="I1485" s="2" t="s">
        <v>14</v>
      </c>
      <c r="J1485" s="12" t="s">
        <v>1188</v>
      </c>
    </row>
    <row r="1486" ht="22.5" hidden="1" customHeight="1">
      <c r="A1486" s="2" t="s">
        <v>1187</v>
      </c>
      <c r="B1486" s="2" t="s">
        <v>1184</v>
      </c>
      <c r="C1486" s="2" t="s">
        <v>1185</v>
      </c>
      <c r="D1486" s="8" t="s">
        <v>989</v>
      </c>
      <c r="E1486" s="9" t="s">
        <v>58</v>
      </c>
      <c r="F1486" s="33">
        <v>1.0</v>
      </c>
      <c r="G1486" s="33">
        <v>895.0</v>
      </c>
      <c r="H1486" s="35">
        <v>46133.0</v>
      </c>
      <c r="I1486" s="2" t="s">
        <v>14</v>
      </c>
      <c r="J1486" s="12" t="s">
        <v>1188</v>
      </c>
    </row>
    <row r="1487" ht="22.5" hidden="1" customHeight="1">
      <c r="A1487" s="2" t="s">
        <v>1187</v>
      </c>
      <c r="B1487" s="2" t="s">
        <v>1184</v>
      </c>
      <c r="C1487" s="2" t="s">
        <v>1185</v>
      </c>
      <c r="D1487" s="8" t="s">
        <v>989</v>
      </c>
      <c r="E1487" s="9" t="s">
        <v>23</v>
      </c>
      <c r="F1487" s="33">
        <v>1.0</v>
      </c>
      <c r="G1487" s="33">
        <v>895.0</v>
      </c>
      <c r="H1487" s="35">
        <v>46133.0</v>
      </c>
      <c r="I1487" s="2" t="s">
        <v>14</v>
      </c>
      <c r="J1487" s="12" t="s">
        <v>1188</v>
      </c>
    </row>
    <row r="1488" ht="22.5" hidden="1" customHeight="1">
      <c r="A1488" s="2" t="s">
        <v>224</v>
      </c>
      <c r="B1488" s="2" t="s">
        <v>1184</v>
      </c>
      <c r="C1488" s="2" t="s">
        <v>1185</v>
      </c>
      <c r="D1488" s="8" t="s">
        <v>989</v>
      </c>
      <c r="E1488" s="9" t="s">
        <v>58</v>
      </c>
      <c r="F1488" s="33">
        <v>1.0</v>
      </c>
      <c r="G1488" s="33">
        <v>895.0</v>
      </c>
      <c r="H1488" s="35">
        <v>46133.0</v>
      </c>
      <c r="I1488" s="2" t="s">
        <v>473</v>
      </c>
      <c r="J1488" s="12" t="s">
        <v>1189</v>
      </c>
    </row>
    <row r="1489" ht="22.5" hidden="1" customHeight="1">
      <c r="A1489" s="2" t="s">
        <v>224</v>
      </c>
      <c r="B1489" s="2" t="s">
        <v>1184</v>
      </c>
      <c r="C1489" s="2" t="s">
        <v>1185</v>
      </c>
      <c r="D1489" s="8" t="s">
        <v>989</v>
      </c>
      <c r="E1489" s="9" t="s">
        <v>23</v>
      </c>
      <c r="F1489" s="33">
        <v>1.0</v>
      </c>
      <c r="G1489" s="33">
        <v>895.0</v>
      </c>
      <c r="H1489" s="35">
        <v>46133.0</v>
      </c>
      <c r="I1489" s="2" t="s">
        <v>473</v>
      </c>
      <c r="J1489" s="12" t="s">
        <v>1189</v>
      </c>
    </row>
    <row r="1490" ht="22.5" hidden="1" customHeight="1">
      <c r="A1490" s="2" t="s">
        <v>1178</v>
      </c>
      <c r="B1490" s="2" t="s">
        <v>1184</v>
      </c>
      <c r="C1490" s="2" t="s">
        <v>1185</v>
      </c>
      <c r="D1490" s="8" t="s">
        <v>22</v>
      </c>
      <c r="E1490" s="9" t="s">
        <v>18</v>
      </c>
      <c r="F1490" s="33">
        <v>1.0</v>
      </c>
      <c r="G1490" s="33">
        <v>895.0</v>
      </c>
      <c r="H1490" s="35">
        <v>46133.0</v>
      </c>
      <c r="I1490" s="2" t="s">
        <v>14</v>
      </c>
      <c r="J1490" s="12" t="s">
        <v>1179</v>
      </c>
    </row>
    <row r="1491" ht="22.5" hidden="1" customHeight="1">
      <c r="A1491" s="2" t="s">
        <v>1178</v>
      </c>
      <c r="B1491" s="2" t="s">
        <v>1184</v>
      </c>
      <c r="C1491" s="2" t="s">
        <v>1185</v>
      </c>
      <c r="D1491" s="8" t="s">
        <v>75</v>
      </c>
      <c r="E1491" s="9" t="s">
        <v>18</v>
      </c>
      <c r="F1491" s="33">
        <v>1.0</v>
      </c>
      <c r="G1491" s="33">
        <v>895.0</v>
      </c>
      <c r="H1491" s="35">
        <v>46133.0</v>
      </c>
      <c r="I1491" s="2" t="s">
        <v>14</v>
      </c>
      <c r="J1491" s="12" t="s">
        <v>1179</v>
      </c>
    </row>
    <row r="1492" ht="22.5" hidden="1" customHeight="1">
      <c r="A1492" s="2" t="s">
        <v>202</v>
      </c>
      <c r="B1492" s="2" t="s">
        <v>1184</v>
      </c>
      <c r="C1492" s="2" t="s">
        <v>1185</v>
      </c>
      <c r="D1492" s="8" t="s">
        <v>75</v>
      </c>
      <c r="E1492" s="9" t="s">
        <v>18</v>
      </c>
      <c r="F1492" s="33">
        <v>1.0</v>
      </c>
      <c r="G1492" s="33">
        <v>895.0</v>
      </c>
      <c r="H1492" s="35">
        <v>46133.0</v>
      </c>
      <c r="I1492" s="2" t="s">
        <v>14</v>
      </c>
      <c r="J1492" s="12" t="s">
        <v>883</v>
      </c>
    </row>
    <row r="1493" ht="22.5" hidden="1" customHeight="1">
      <c r="A1493" s="2" t="s">
        <v>202</v>
      </c>
      <c r="B1493" s="2" t="s">
        <v>1184</v>
      </c>
      <c r="C1493" s="2" t="s">
        <v>1185</v>
      </c>
      <c r="D1493" s="8" t="s">
        <v>75</v>
      </c>
      <c r="E1493" s="9" t="s">
        <v>58</v>
      </c>
      <c r="F1493" s="33">
        <v>1.0</v>
      </c>
      <c r="G1493" s="33">
        <v>895.0</v>
      </c>
      <c r="H1493" s="35">
        <v>46133.0</v>
      </c>
      <c r="I1493" s="2" t="s">
        <v>14</v>
      </c>
      <c r="J1493" s="12" t="s">
        <v>883</v>
      </c>
    </row>
    <row r="1494" ht="22.5" hidden="1" customHeight="1">
      <c r="A1494" s="2" t="s">
        <v>202</v>
      </c>
      <c r="B1494" s="2" t="s">
        <v>1184</v>
      </c>
      <c r="C1494" s="2" t="s">
        <v>1185</v>
      </c>
      <c r="D1494" s="8" t="s">
        <v>75</v>
      </c>
      <c r="E1494" s="9" t="s">
        <v>23</v>
      </c>
      <c r="F1494" s="33">
        <v>1.0</v>
      </c>
      <c r="G1494" s="33">
        <v>895.0</v>
      </c>
      <c r="H1494" s="35">
        <v>46133.0</v>
      </c>
      <c r="I1494" s="2" t="s">
        <v>14</v>
      </c>
      <c r="J1494" s="12" t="s">
        <v>883</v>
      </c>
    </row>
    <row r="1495" ht="22.5" hidden="1" customHeight="1">
      <c r="A1495" s="2" t="s">
        <v>247</v>
      </c>
      <c r="B1495" s="2" t="s">
        <v>1184</v>
      </c>
      <c r="C1495" s="2" t="s">
        <v>1185</v>
      </c>
      <c r="D1495" s="8" t="s">
        <v>1037</v>
      </c>
      <c r="E1495" s="9" t="s">
        <v>18</v>
      </c>
      <c r="F1495" s="33">
        <v>1.0</v>
      </c>
      <c r="G1495" s="33">
        <v>895.0</v>
      </c>
      <c r="H1495" s="35">
        <v>46133.0</v>
      </c>
      <c r="I1495" s="2" t="s">
        <v>14</v>
      </c>
      <c r="J1495" s="12" t="s">
        <v>416</v>
      </c>
    </row>
    <row r="1496" ht="22.5" hidden="1" customHeight="1">
      <c r="A1496" s="2" t="s">
        <v>247</v>
      </c>
      <c r="B1496" s="2" t="s">
        <v>1184</v>
      </c>
      <c r="C1496" s="2" t="s">
        <v>1185</v>
      </c>
      <c r="D1496" s="8" t="s">
        <v>1037</v>
      </c>
      <c r="E1496" s="9" t="s">
        <v>58</v>
      </c>
      <c r="F1496" s="33">
        <v>1.0</v>
      </c>
      <c r="G1496" s="33">
        <v>895.0</v>
      </c>
      <c r="H1496" s="35">
        <v>46133.0</v>
      </c>
      <c r="I1496" s="2" t="s">
        <v>14</v>
      </c>
      <c r="J1496" s="12" t="s">
        <v>416</v>
      </c>
    </row>
    <row r="1497" ht="22.5" hidden="1" customHeight="1">
      <c r="A1497" s="2" t="s">
        <v>63</v>
      </c>
      <c r="B1497" s="2" t="s">
        <v>1184</v>
      </c>
      <c r="C1497" s="2" t="s">
        <v>1185</v>
      </c>
      <c r="D1497" s="8" t="s">
        <v>989</v>
      </c>
      <c r="E1497" s="9" t="s">
        <v>23</v>
      </c>
      <c r="F1497" s="33">
        <v>1.0</v>
      </c>
      <c r="G1497" s="33">
        <v>895.0</v>
      </c>
      <c r="H1497" s="35">
        <v>46133.0</v>
      </c>
      <c r="I1497" s="2" t="s">
        <v>473</v>
      </c>
      <c r="J1497" s="12" t="s">
        <v>1190</v>
      </c>
    </row>
    <row r="1498" ht="22.5" hidden="1" customHeight="1">
      <c r="A1498" s="2" t="s">
        <v>63</v>
      </c>
      <c r="B1498" s="2" t="s">
        <v>1184</v>
      </c>
      <c r="C1498" s="2" t="s">
        <v>1185</v>
      </c>
      <c r="D1498" s="8" t="s">
        <v>989</v>
      </c>
      <c r="E1498" s="9" t="s">
        <v>18</v>
      </c>
      <c r="F1498" s="33">
        <v>1.0</v>
      </c>
      <c r="G1498" s="33">
        <v>895.0</v>
      </c>
      <c r="H1498" s="35">
        <v>46133.0</v>
      </c>
      <c r="I1498" s="2" t="s">
        <v>473</v>
      </c>
      <c r="J1498" s="12" t="s">
        <v>1190</v>
      </c>
    </row>
    <row r="1499" ht="22.5" hidden="1" customHeight="1">
      <c r="A1499" s="2" t="s">
        <v>1191</v>
      </c>
      <c r="B1499" s="2" t="s">
        <v>1184</v>
      </c>
      <c r="C1499" s="2" t="s">
        <v>1185</v>
      </c>
      <c r="D1499" s="8" t="s">
        <v>22</v>
      </c>
      <c r="E1499" s="9" t="s">
        <v>18</v>
      </c>
      <c r="F1499" s="33">
        <v>2.0</v>
      </c>
      <c r="G1499" s="33">
        <v>895.0</v>
      </c>
      <c r="H1499" s="35">
        <v>46133.0</v>
      </c>
      <c r="I1499" s="2" t="s">
        <v>14</v>
      </c>
      <c r="J1499" s="12" t="s">
        <v>1192</v>
      </c>
    </row>
    <row r="1500" ht="22.5" hidden="1" customHeight="1">
      <c r="A1500" s="2" t="s">
        <v>841</v>
      </c>
      <c r="B1500" s="2" t="s">
        <v>1184</v>
      </c>
      <c r="C1500" s="2" t="s">
        <v>1185</v>
      </c>
      <c r="D1500" s="8" t="s">
        <v>1037</v>
      </c>
      <c r="E1500" s="9" t="s">
        <v>58</v>
      </c>
      <c r="F1500" s="33">
        <v>1.0</v>
      </c>
      <c r="G1500" s="33">
        <v>845.0</v>
      </c>
      <c r="H1500" s="35">
        <v>46133.0</v>
      </c>
      <c r="I1500" s="2" t="s">
        <v>14</v>
      </c>
      <c r="J1500" s="12" t="s">
        <v>1193</v>
      </c>
    </row>
    <row r="1501" ht="22.5" hidden="1" customHeight="1">
      <c r="A1501" s="2" t="s">
        <v>841</v>
      </c>
      <c r="B1501" s="2" t="s">
        <v>1184</v>
      </c>
      <c r="C1501" s="2" t="s">
        <v>1185</v>
      </c>
      <c r="D1501" s="8" t="s">
        <v>1037</v>
      </c>
      <c r="E1501" s="9" t="s">
        <v>23</v>
      </c>
      <c r="F1501" s="33">
        <v>1.0</v>
      </c>
      <c r="G1501" s="33">
        <v>845.0</v>
      </c>
      <c r="H1501" s="35">
        <v>46133.0</v>
      </c>
      <c r="I1501" s="2" t="s">
        <v>14</v>
      </c>
      <c r="J1501" s="12" t="s">
        <v>1193</v>
      </c>
    </row>
    <row r="1502" ht="22.5" hidden="1" customHeight="1">
      <c r="A1502" s="2" t="s">
        <v>1149</v>
      </c>
      <c r="B1502" s="2" t="s">
        <v>1184</v>
      </c>
      <c r="C1502" s="2" t="s">
        <v>1185</v>
      </c>
      <c r="D1502" s="8" t="s">
        <v>1037</v>
      </c>
      <c r="E1502" s="9" t="s">
        <v>58</v>
      </c>
      <c r="F1502" s="33">
        <v>1.0</v>
      </c>
      <c r="G1502" s="33">
        <v>845.0</v>
      </c>
      <c r="H1502" s="35">
        <v>46133.0</v>
      </c>
      <c r="I1502" s="2" t="s">
        <v>14</v>
      </c>
      <c r="J1502" s="12" t="s">
        <v>1150</v>
      </c>
    </row>
    <row r="1503" ht="22.5" hidden="1" customHeight="1">
      <c r="A1503" s="2" t="s">
        <v>1149</v>
      </c>
      <c r="B1503" s="2" t="s">
        <v>1184</v>
      </c>
      <c r="C1503" s="2" t="s">
        <v>1185</v>
      </c>
      <c r="D1503" s="8" t="s">
        <v>1037</v>
      </c>
      <c r="E1503" s="9" t="s">
        <v>18</v>
      </c>
      <c r="F1503" s="33">
        <v>1.0</v>
      </c>
      <c r="G1503" s="33">
        <v>845.0</v>
      </c>
      <c r="H1503" s="35">
        <v>46133.0</v>
      </c>
      <c r="I1503" s="2" t="s">
        <v>14</v>
      </c>
      <c r="J1503" s="12" t="s">
        <v>1150</v>
      </c>
    </row>
    <row r="1504" ht="22.5" hidden="1" customHeight="1">
      <c r="A1504" s="2" t="s">
        <v>988</v>
      </c>
      <c r="B1504" s="2" t="s">
        <v>1184</v>
      </c>
      <c r="C1504" s="2" t="s">
        <v>1185</v>
      </c>
      <c r="D1504" s="8" t="s">
        <v>1037</v>
      </c>
      <c r="E1504" s="9" t="s">
        <v>58</v>
      </c>
      <c r="F1504" s="33">
        <v>1.0</v>
      </c>
      <c r="G1504" s="33">
        <v>845.0</v>
      </c>
      <c r="H1504" s="35">
        <v>46133.0</v>
      </c>
      <c r="I1504" s="2" t="s">
        <v>14</v>
      </c>
      <c r="J1504" s="12" t="s">
        <v>771</v>
      </c>
    </row>
    <row r="1505" ht="22.5" hidden="1" customHeight="1">
      <c r="A1505" s="2" t="s">
        <v>988</v>
      </c>
      <c r="B1505" s="2" t="s">
        <v>1184</v>
      </c>
      <c r="C1505" s="2" t="s">
        <v>1185</v>
      </c>
      <c r="D1505" s="8" t="s">
        <v>1037</v>
      </c>
      <c r="E1505" s="9" t="s">
        <v>18</v>
      </c>
      <c r="F1505" s="33">
        <v>1.0</v>
      </c>
      <c r="G1505" s="33">
        <v>845.0</v>
      </c>
      <c r="H1505" s="35">
        <v>46133.0</v>
      </c>
      <c r="I1505" s="2" t="s">
        <v>14</v>
      </c>
      <c r="J1505" s="12" t="s">
        <v>771</v>
      </c>
    </row>
    <row r="1506" ht="22.5" hidden="1" customHeight="1">
      <c r="A1506" s="2" t="s">
        <v>1194</v>
      </c>
      <c r="B1506" s="2" t="s">
        <v>1195</v>
      </c>
      <c r="C1506" s="2">
        <v>9031.0</v>
      </c>
      <c r="D1506" s="8" t="s">
        <v>22</v>
      </c>
      <c r="E1506" s="9" t="s">
        <v>13</v>
      </c>
      <c r="F1506" s="33">
        <v>1.0</v>
      </c>
      <c r="G1506" s="33">
        <v>1900.0</v>
      </c>
      <c r="H1506" s="35">
        <v>46133.0</v>
      </c>
      <c r="I1506" s="2" t="s">
        <v>14</v>
      </c>
      <c r="J1506" s="12" t="s">
        <v>1196</v>
      </c>
    </row>
    <row r="1507" ht="22.5" hidden="1" customHeight="1">
      <c r="A1507" s="2" t="s">
        <v>288</v>
      </c>
      <c r="B1507" s="2" t="s">
        <v>1195</v>
      </c>
      <c r="C1507" s="2">
        <v>9031.0</v>
      </c>
      <c r="D1507" s="8" t="s">
        <v>22</v>
      </c>
      <c r="E1507" s="9" t="s">
        <v>13</v>
      </c>
      <c r="F1507" s="33">
        <v>1.0</v>
      </c>
      <c r="G1507" s="33">
        <v>1900.0</v>
      </c>
      <c r="H1507" s="35">
        <v>46133.0</v>
      </c>
      <c r="I1507" s="2" t="s">
        <v>14</v>
      </c>
      <c r="J1507" s="12" t="s">
        <v>1197</v>
      </c>
    </row>
    <row r="1508" ht="22.5" hidden="1" customHeight="1">
      <c r="A1508" s="2" t="s">
        <v>793</v>
      </c>
      <c r="B1508" s="2" t="s">
        <v>1195</v>
      </c>
      <c r="C1508" s="2">
        <v>9031.0</v>
      </c>
      <c r="D1508" s="8" t="s">
        <v>22</v>
      </c>
      <c r="E1508" s="9" t="s">
        <v>13</v>
      </c>
      <c r="F1508" s="33">
        <v>1.0</v>
      </c>
      <c r="G1508" s="33">
        <v>1900.0</v>
      </c>
      <c r="H1508" s="35">
        <v>46133.0</v>
      </c>
      <c r="I1508" s="2" t="s">
        <v>24</v>
      </c>
      <c r="J1508" s="12" t="s">
        <v>1198</v>
      </c>
    </row>
    <row r="1509" ht="22.5" hidden="1" customHeight="1">
      <c r="A1509" s="2" t="s">
        <v>1118</v>
      </c>
      <c r="B1509" s="2" t="s">
        <v>1195</v>
      </c>
      <c r="C1509" s="2">
        <v>9031.0</v>
      </c>
      <c r="D1509" s="8" t="s">
        <v>12</v>
      </c>
      <c r="E1509" s="9" t="s">
        <v>13</v>
      </c>
      <c r="F1509" s="33">
        <v>1.0</v>
      </c>
      <c r="G1509" s="33">
        <v>1900.0</v>
      </c>
      <c r="H1509" s="35">
        <v>46133.0</v>
      </c>
      <c r="I1509" s="2" t="s">
        <v>473</v>
      </c>
      <c r="J1509" s="12" t="s">
        <v>1119</v>
      </c>
    </row>
    <row r="1510" ht="22.5" hidden="1" customHeight="1">
      <c r="A1510" s="2" t="s">
        <v>247</v>
      </c>
      <c r="B1510" s="2" t="s">
        <v>1195</v>
      </c>
      <c r="C1510" s="2">
        <v>9031.0</v>
      </c>
      <c r="D1510" s="8" t="s">
        <v>12</v>
      </c>
      <c r="E1510" s="9" t="s">
        <v>13</v>
      </c>
      <c r="F1510" s="33">
        <v>1.0</v>
      </c>
      <c r="G1510" s="33">
        <v>1900.0</v>
      </c>
      <c r="H1510" s="35">
        <v>46133.0</v>
      </c>
      <c r="I1510" s="2" t="s">
        <v>14</v>
      </c>
      <c r="J1510" s="12" t="s">
        <v>416</v>
      </c>
    </row>
    <row r="1511" ht="22.5" hidden="1" customHeight="1">
      <c r="A1511" s="2" t="s">
        <v>71</v>
      </c>
      <c r="B1511" s="2" t="s">
        <v>1195</v>
      </c>
      <c r="C1511" s="2">
        <v>9031.0</v>
      </c>
      <c r="D1511" s="8" t="s">
        <v>22</v>
      </c>
      <c r="E1511" s="9" t="s">
        <v>13</v>
      </c>
      <c r="F1511" s="33">
        <v>1.0</v>
      </c>
      <c r="G1511" s="33">
        <v>1900.0</v>
      </c>
      <c r="H1511" s="35">
        <v>46133.0</v>
      </c>
      <c r="I1511" s="2" t="s">
        <v>14</v>
      </c>
      <c r="J1511" s="12" t="s">
        <v>955</v>
      </c>
    </row>
    <row r="1512" ht="22.5" hidden="1" customHeight="1">
      <c r="A1512" s="2" t="s">
        <v>111</v>
      </c>
      <c r="B1512" s="2" t="s">
        <v>1199</v>
      </c>
      <c r="C1512" s="2" t="s">
        <v>1200</v>
      </c>
      <c r="D1512" s="8" t="s">
        <v>22</v>
      </c>
      <c r="E1512" s="9" t="s">
        <v>18</v>
      </c>
      <c r="F1512" s="33">
        <v>1.0</v>
      </c>
      <c r="G1512" s="33">
        <v>725.0</v>
      </c>
      <c r="H1512" s="35">
        <v>46133.0</v>
      </c>
      <c r="I1512" s="2" t="s">
        <v>14</v>
      </c>
      <c r="J1512" s="12" t="s">
        <v>1112</v>
      </c>
    </row>
    <row r="1513" ht="22.5" hidden="1" customHeight="1">
      <c r="A1513" s="2" t="s">
        <v>111</v>
      </c>
      <c r="B1513" s="2" t="s">
        <v>1201</v>
      </c>
      <c r="C1513" s="2" t="s">
        <v>1202</v>
      </c>
      <c r="D1513" s="8" t="s">
        <v>22</v>
      </c>
      <c r="E1513" s="9" t="s">
        <v>13</v>
      </c>
      <c r="F1513" s="33">
        <v>1.0</v>
      </c>
      <c r="G1513" s="33">
        <v>725.0</v>
      </c>
      <c r="H1513" s="35">
        <v>46133.0</v>
      </c>
      <c r="I1513" s="2" t="s">
        <v>14</v>
      </c>
      <c r="J1513" s="12" t="s">
        <v>1112</v>
      </c>
    </row>
    <row r="1514" ht="22.5" hidden="1" customHeight="1">
      <c r="A1514" s="2" t="s">
        <v>1065</v>
      </c>
      <c r="B1514" s="2" t="s">
        <v>1203</v>
      </c>
      <c r="C1514" s="2" t="s">
        <v>1204</v>
      </c>
      <c r="D1514" s="8" t="s">
        <v>22</v>
      </c>
      <c r="E1514" s="9" t="s">
        <v>13</v>
      </c>
      <c r="F1514" s="33">
        <v>2.0</v>
      </c>
      <c r="G1514" s="33">
        <v>725.0</v>
      </c>
      <c r="H1514" s="35">
        <v>46133.0</v>
      </c>
      <c r="I1514" s="2" t="s">
        <v>14</v>
      </c>
      <c r="J1514" s="12" t="s">
        <v>1066</v>
      </c>
    </row>
    <row r="1515" ht="22.5" hidden="1" customHeight="1">
      <c r="A1515" s="2" t="s">
        <v>1065</v>
      </c>
      <c r="B1515" s="2" t="s">
        <v>1201</v>
      </c>
      <c r="C1515" s="2" t="s">
        <v>1202</v>
      </c>
      <c r="D1515" s="8" t="s">
        <v>22</v>
      </c>
      <c r="E1515" s="9" t="s">
        <v>13</v>
      </c>
      <c r="F1515" s="33">
        <v>1.0</v>
      </c>
      <c r="G1515" s="33">
        <v>725.0</v>
      </c>
      <c r="H1515" s="35">
        <v>46133.0</v>
      </c>
      <c r="I1515" s="2" t="s">
        <v>14</v>
      </c>
      <c r="J1515" s="12" t="s">
        <v>1066</v>
      </c>
    </row>
    <row r="1516" ht="22.5" hidden="1" customHeight="1">
      <c r="A1516" s="2" t="s">
        <v>1065</v>
      </c>
      <c r="B1516" s="2" t="s">
        <v>1201</v>
      </c>
      <c r="C1516" s="2" t="s">
        <v>1202</v>
      </c>
      <c r="D1516" s="8" t="s">
        <v>22</v>
      </c>
      <c r="E1516" s="9" t="s">
        <v>47</v>
      </c>
      <c r="F1516" s="33">
        <v>1.0</v>
      </c>
      <c r="G1516" s="33">
        <v>725.0</v>
      </c>
      <c r="H1516" s="35">
        <v>46133.0</v>
      </c>
      <c r="I1516" s="2" t="s">
        <v>14</v>
      </c>
      <c r="J1516" s="12" t="s">
        <v>1066</v>
      </c>
    </row>
    <row r="1517" ht="22.5" hidden="1" customHeight="1">
      <c r="A1517" s="2" t="s">
        <v>1205</v>
      </c>
      <c r="B1517" s="2" t="s">
        <v>1199</v>
      </c>
      <c r="C1517" s="2" t="s">
        <v>1200</v>
      </c>
      <c r="D1517" s="8" t="s">
        <v>12</v>
      </c>
      <c r="E1517" s="9" t="s">
        <v>47</v>
      </c>
      <c r="F1517" s="33">
        <v>1.0</v>
      </c>
      <c r="G1517" s="33">
        <v>725.0</v>
      </c>
      <c r="H1517" s="35">
        <v>46133.0</v>
      </c>
      <c r="I1517" s="2" t="s">
        <v>14</v>
      </c>
      <c r="J1517" s="12" t="s">
        <v>1206</v>
      </c>
    </row>
    <row r="1518" ht="22.5" hidden="1" customHeight="1">
      <c r="A1518" s="2" t="s">
        <v>1205</v>
      </c>
      <c r="B1518" s="2" t="s">
        <v>1199</v>
      </c>
      <c r="C1518" s="2" t="s">
        <v>1200</v>
      </c>
      <c r="D1518" s="8" t="s">
        <v>12</v>
      </c>
      <c r="E1518" s="9" t="s">
        <v>13</v>
      </c>
      <c r="F1518" s="33">
        <v>1.0</v>
      </c>
      <c r="G1518" s="33">
        <v>725.0</v>
      </c>
      <c r="H1518" s="35">
        <v>46133.0</v>
      </c>
      <c r="I1518" s="2" t="s">
        <v>14</v>
      </c>
      <c r="J1518" s="12" t="s">
        <v>1206</v>
      </c>
    </row>
    <row r="1519" ht="22.5" hidden="1" customHeight="1">
      <c r="A1519" s="2" t="s">
        <v>575</v>
      </c>
      <c r="B1519" s="2" t="s">
        <v>1207</v>
      </c>
      <c r="C1519" s="2">
        <v>5007.0</v>
      </c>
      <c r="D1519" s="8" t="s">
        <v>22</v>
      </c>
      <c r="E1519" s="9" t="s">
        <v>18</v>
      </c>
      <c r="F1519" s="33">
        <v>1.0</v>
      </c>
      <c r="G1519" s="33">
        <v>1800.0</v>
      </c>
      <c r="H1519" s="35">
        <v>46133.0</v>
      </c>
      <c r="I1519" s="2" t="s">
        <v>1183</v>
      </c>
      <c r="J1519" s="12" t="s">
        <v>1060</v>
      </c>
    </row>
    <row r="1520" ht="22.5" hidden="1" customHeight="1">
      <c r="A1520" s="2" t="s">
        <v>575</v>
      </c>
      <c r="B1520" s="2" t="s">
        <v>1207</v>
      </c>
      <c r="C1520" s="2">
        <v>5007.0</v>
      </c>
      <c r="D1520" s="8" t="s">
        <v>22</v>
      </c>
      <c r="E1520" s="9" t="s">
        <v>13</v>
      </c>
      <c r="F1520" s="33">
        <v>1.0</v>
      </c>
      <c r="G1520" s="33">
        <v>1800.0</v>
      </c>
      <c r="H1520" s="35">
        <v>46133.0</v>
      </c>
      <c r="I1520" s="2" t="s">
        <v>1183</v>
      </c>
      <c r="J1520" s="12" t="s">
        <v>1060</v>
      </c>
    </row>
    <row r="1521" ht="22.5" hidden="1" customHeight="1">
      <c r="A1521" s="2" t="s">
        <v>1205</v>
      </c>
      <c r="B1521" s="2" t="s">
        <v>1203</v>
      </c>
      <c r="C1521" s="2" t="s">
        <v>1204</v>
      </c>
      <c r="D1521" s="8" t="s">
        <v>12</v>
      </c>
      <c r="E1521" s="9" t="s">
        <v>47</v>
      </c>
      <c r="F1521" s="33">
        <v>1.0</v>
      </c>
      <c r="G1521" s="33">
        <v>725.0</v>
      </c>
      <c r="H1521" s="35">
        <v>46133.0</v>
      </c>
      <c r="I1521" s="2" t="s">
        <v>14</v>
      </c>
      <c r="J1521" s="12" t="s">
        <v>1206</v>
      </c>
    </row>
    <row r="1522" ht="22.5" hidden="1" customHeight="1">
      <c r="A1522" s="2" t="s">
        <v>1205</v>
      </c>
      <c r="B1522" s="2" t="s">
        <v>1203</v>
      </c>
      <c r="C1522" s="2" t="s">
        <v>1204</v>
      </c>
      <c r="D1522" s="8" t="s">
        <v>12</v>
      </c>
      <c r="E1522" s="9" t="s">
        <v>13</v>
      </c>
      <c r="F1522" s="33">
        <v>1.0</v>
      </c>
      <c r="G1522" s="33">
        <v>725.0</v>
      </c>
      <c r="H1522" s="35">
        <v>46133.0</v>
      </c>
      <c r="I1522" s="2" t="s">
        <v>14</v>
      </c>
      <c r="J1522" s="12" t="s">
        <v>1206</v>
      </c>
    </row>
    <row r="1523" ht="22.5" hidden="1" customHeight="1">
      <c r="A1523" s="2" t="s">
        <v>1208</v>
      </c>
      <c r="B1523" s="2" t="s">
        <v>268</v>
      </c>
      <c r="C1523" s="2" t="s">
        <v>269</v>
      </c>
      <c r="D1523" s="8">
        <v>36.0</v>
      </c>
      <c r="E1523" s="9" t="s">
        <v>18</v>
      </c>
      <c r="F1523" s="33">
        <v>1.0</v>
      </c>
      <c r="G1523" s="33">
        <v>1990.0</v>
      </c>
      <c r="H1523" s="35">
        <v>46133.0</v>
      </c>
      <c r="I1523" s="2" t="s">
        <v>14</v>
      </c>
      <c r="J1523" s="2"/>
    </row>
    <row r="1524" ht="22.5" hidden="1" customHeight="1">
      <c r="A1524" s="2" t="s">
        <v>1209</v>
      </c>
      <c r="B1524" s="2" t="s">
        <v>268</v>
      </c>
      <c r="C1524" s="2" t="s">
        <v>269</v>
      </c>
      <c r="D1524" s="8">
        <v>36.0</v>
      </c>
      <c r="E1524" s="9" t="s">
        <v>18</v>
      </c>
      <c r="F1524" s="33">
        <v>1.0</v>
      </c>
      <c r="G1524" s="33">
        <v>1990.0</v>
      </c>
      <c r="H1524" s="35">
        <v>46133.0</v>
      </c>
      <c r="I1524" s="2" t="s">
        <v>14</v>
      </c>
      <c r="J1524" s="2"/>
    </row>
    <row r="1525" ht="22.5" hidden="1" customHeight="1">
      <c r="A1525" s="2" t="s">
        <v>971</v>
      </c>
      <c r="B1525" s="2" t="s">
        <v>1184</v>
      </c>
      <c r="C1525" s="2" t="s">
        <v>1185</v>
      </c>
      <c r="D1525" s="8" t="s">
        <v>75</v>
      </c>
      <c r="E1525" s="9" t="s">
        <v>18</v>
      </c>
      <c r="F1525" s="33">
        <v>2.0</v>
      </c>
      <c r="G1525" s="33">
        <v>845.0</v>
      </c>
      <c r="H1525" s="35">
        <v>46134.0</v>
      </c>
      <c r="I1525" s="2" t="s">
        <v>14</v>
      </c>
      <c r="J1525" s="12" t="s">
        <v>972</v>
      </c>
    </row>
    <row r="1526" ht="22.5" hidden="1" customHeight="1">
      <c r="A1526" s="2" t="s">
        <v>1210</v>
      </c>
      <c r="B1526" s="2" t="s">
        <v>958</v>
      </c>
      <c r="C1526" s="2" t="s">
        <v>959</v>
      </c>
      <c r="D1526" s="8" t="s">
        <v>12</v>
      </c>
      <c r="E1526" s="9" t="s">
        <v>18</v>
      </c>
      <c r="F1526" s="33">
        <v>1.0</v>
      </c>
      <c r="G1526" s="33">
        <v>1800.0</v>
      </c>
      <c r="H1526" s="35">
        <v>46134.0</v>
      </c>
      <c r="I1526" s="2" t="s">
        <v>14</v>
      </c>
      <c r="J1526" s="12" t="s">
        <v>1211</v>
      </c>
    </row>
    <row r="1527" ht="22.5" hidden="1" customHeight="1">
      <c r="A1527" s="2" t="s">
        <v>1210</v>
      </c>
      <c r="B1527" s="2" t="s">
        <v>1203</v>
      </c>
      <c r="C1527" s="2" t="s">
        <v>1204</v>
      </c>
      <c r="D1527" s="8" t="s">
        <v>75</v>
      </c>
      <c r="E1527" s="9" t="s">
        <v>47</v>
      </c>
      <c r="F1527" s="33">
        <v>1.0</v>
      </c>
      <c r="G1527" s="33">
        <v>725.0</v>
      </c>
      <c r="H1527" s="35">
        <v>46134.0</v>
      </c>
      <c r="I1527" s="2" t="s">
        <v>14</v>
      </c>
      <c r="J1527" s="12" t="s">
        <v>1211</v>
      </c>
    </row>
    <row r="1528" ht="22.5" hidden="1" customHeight="1">
      <c r="A1528" s="2" t="s">
        <v>1210</v>
      </c>
      <c r="B1528" s="2" t="s">
        <v>1199</v>
      </c>
      <c r="C1528" s="2" t="s">
        <v>1200</v>
      </c>
      <c r="D1528" s="8" t="s">
        <v>75</v>
      </c>
      <c r="E1528" s="9" t="s">
        <v>47</v>
      </c>
      <c r="F1528" s="33">
        <v>1.0</v>
      </c>
      <c r="G1528" s="33">
        <v>725.0</v>
      </c>
      <c r="H1528" s="35">
        <v>46134.0</v>
      </c>
      <c r="I1528" s="2" t="s">
        <v>14</v>
      </c>
      <c r="J1528" s="12" t="s">
        <v>1211</v>
      </c>
    </row>
    <row r="1529" ht="22.5" hidden="1" customHeight="1">
      <c r="A1529" s="2" t="s">
        <v>1210</v>
      </c>
      <c r="B1529" s="2" t="s">
        <v>1212</v>
      </c>
      <c r="C1529" s="2">
        <v>92212.0</v>
      </c>
      <c r="D1529" s="8" t="s">
        <v>46</v>
      </c>
      <c r="E1529" s="9" t="s">
        <v>16</v>
      </c>
      <c r="F1529" s="33">
        <v>1.0</v>
      </c>
      <c r="G1529" s="33">
        <v>1700.0</v>
      </c>
      <c r="H1529" s="35">
        <v>46134.0</v>
      </c>
      <c r="I1529" s="2" t="s">
        <v>14</v>
      </c>
      <c r="J1529" s="12" t="s">
        <v>1211</v>
      </c>
    </row>
    <row r="1530" ht="22.5" hidden="1" customHeight="1">
      <c r="A1530" s="2" t="s">
        <v>1213</v>
      </c>
      <c r="B1530" s="2" t="s">
        <v>268</v>
      </c>
      <c r="C1530" s="2" t="s">
        <v>269</v>
      </c>
      <c r="D1530" s="8">
        <v>37.0</v>
      </c>
      <c r="E1530" s="9" t="s">
        <v>18</v>
      </c>
      <c r="F1530" s="33">
        <v>1.0</v>
      </c>
      <c r="G1530" s="33">
        <v>1990.0</v>
      </c>
      <c r="H1530" s="35">
        <v>46134.0</v>
      </c>
      <c r="I1530" s="2" t="s">
        <v>24</v>
      </c>
      <c r="J1530" s="12" t="s">
        <v>1214</v>
      </c>
    </row>
    <row r="1531" ht="22.5" hidden="1" customHeight="1">
      <c r="A1531" s="2" t="s">
        <v>1213</v>
      </c>
      <c r="B1531" s="2" t="s">
        <v>892</v>
      </c>
      <c r="C1531" s="2" t="s">
        <v>893</v>
      </c>
      <c r="D1531" s="8">
        <v>37.0</v>
      </c>
      <c r="E1531" s="9" t="s">
        <v>47</v>
      </c>
      <c r="F1531" s="33">
        <v>1.0</v>
      </c>
      <c r="G1531" s="33">
        <v>2200.0</v>
      </c>
      <c r="H1531" s="35">
        <v>46134.0</v>
      </c>
      <c r="I1531" s="2" t="s">
        <v>14</v>
      </c>
      <c r="J1531" s="12" t="s">
        <v>1214</v>
      </c>
    </row>
    <row r="1532" ht="22.5" hidden="1" customHeight="1">
      <c r="A1532" s="2" t="s">
        <v>1215</v>
      </c>
      <c r="B1532" s="2" t="s">
        <v>1199</v>
      </c>
      <c r="C1532" s="2" t="s">
        <v>1200</v>
      </c>
      <c r="D1532" s="8" t="s">
        <v>22</v>
      </c>
      <c r="E1532" s="9" t="s">
        <v>47</v>
      </c>
      <c r="F1532" s="33">
        <v>1.0</v>
      </c>
      <c r="G1532" s="33">
        <v>725.0</v>
      </c>
      <c r="H1532" s="35">
        <v>46134.0</v>
      </c>
      <c r="I1532" s="2" t="s">
        <v>473</v>
      </c>
      <c r="J1532" s="2"/>
    </row>
    <row r="1533" ht="22.5" hidden="1" customHeight="1">
      <c r="A1533" s="2" t="s">
        <v>1215</v>
      </c>
      <c r="B1533" s="2" t="s">
        <v>1201</v>
      </c>
      <c r="C1533" s="2" t="s">
        <v>1202</v>
      </c>
      <c r="D1533" s="8" t="s">
        <v>22</v>
      </c>
      <c r="E1533" s="9" t="s">
        <v>47</v>
      </c>
      <c r="F1533" s="33">
        <v>1.0</v>
      </c>
      <c r="G1533" s="33">
        <v>725.0</v>
      </c>
      <c r="H1533" s="35">
        <v>46134.0</v>
      </c>
      <c r="I1533" s="2" t="s">
        <v>473</v>
      </c>
      <c r="J1533" s="2"/>
    </row>
    <row r="1534" ht="22.5" hidden="1" customHeight="1">
      <c r="A1534" s="2" t="s">
        <v>313</v>
      </c>
      <c r="B1534" s="2" t="s">
        <v>1212</v>
      </c>
      <c r="C1534" s="2">
        <v>92212.0</v>
      </c>
      <c r="D1534" s="8" t="s">
        <v>46</v>
      </c>
      <c r="E1534" s="9" t="s">
        <v>16</v>
      </c>
      <c r="F1534" s="33">
        <v>1.0</v>
      </c>
      <c r="G1534" s="33">
        <v>1700.0</v>
      </c>
      <c r="H1534" s="35">
        <v>46134.0</v>
      </c>
      <c r="I1534" s="2" t="s">
        <v>14</v>
      </c>
      <c r="J1534" s="12" t="s">
        <v>1216</v>
      </c>
    </row>
    <row r="1535" ht="22.5" hidden="1" customHeight="1">
      <c r="A1535" s="2" t="s">
        <v>1217</v>
      </c>
      <c r="B1535" s="2" t="s">
        <v>1212</v>
      </c>
      <c r="C1535" s="2">
        <v>92212.0</v>
      </c>
      <c r="D1535" s="8" t="s">
        <v>46</v>
      </c>
      <c r="E1535" s="9" t="s">
        <v>16</v>
      </c>
      <c r="F1535" s="33">
        <v>1.0</v>
      </c>
      <c r="G1535" s="33">
        <v>1700.0</v>
      </c>
      <c r="H1535" s="35">
        <v>46134.0</v>
      </c>
      <c r="I1535" s="2" t="s">
        <v>473</v>
      </c>
      <c r="J1535" s="12" t="s">
        <v>1218</v>
      </c>
    </row>
    <row r="1536" ht="22.5" hidden="1" customHeight="1">
      <c r="A1536" s="2" t="s">
        <v>1217</v>
      </c>
      <c r="B1536" s="2" t="s">
        <v>963</v>
      </c>
      <c r="C1536" s="2">
        <v>8610.0</v>
      </c>
      <c r="D1536" s="8" t="s">
        <v>12</v>
      </c>
      <c r="E1536" s="9" t="s">
        <v>13</v>
      </c>
      <c r="F1536" s="33">
        <v>1.0</v>
      </c>
      <c r="G1536" s="33">
        <v>1190.0</v>
      </c>
      <c r="H1536" s="35">
        <v>46134.0</v>
      </c>
      <c r="I1536" s="2" t="s">
        <v>1183</v>
      </c>
      <c r="J1536" s="12" t="s">
        <v>1218</v>
      </c>
    </row>
    <row r="1537" ht="22.5" hidden="1" customHeight="1">
      <c r="A1537" s="2" t="s">
        <v>1219</v>
      </c>
      <c r="B1537" s="2" t="s">
        <v>755</v>
      </c>
      <c r="C1537" s="2">
        <v>8558.0</v>
      </c>
      <c r="D1537" s="8" t="s">
        <v>12</v>
      </c>
      <c r="E1537" s="9" t="s">
        <v>16</v>
      </c>
      <c r="F1537" s="33">
        <v>1.0</v>
      </c>
      <c r="G1537" s="33">
        <v>1390.0</v>
      </c>
      <c r="H1537" s="35">
        <v>46134.0</v>
      </c>
      <c r="I1537" s="2" t="s">
        <v>473</v>
      </c>
      <c r="J1537" s="12" t="s">
        <v>1220</v>
      </c>
    </row>
    <row r="1538" ht="22.5" hidden="1" customHeight="1">
      <c r="A1538" s="2" t="s">
        <v>1219</v>
      </c>
      <c r="B1538" s="2" t="s">
        <v>755</v>
      </c>
      <c r="C1538" s="2">
        <v>8558.0</v>
      </c>
      <c r="D1538" s="8" t="s">
        <v>22</v>
      </c>
      <c r="E1538" s="9" t="s">
        <v>58</v>
      </c>
      <c r="F1538" s="33">
        <v>1.0</v>
      </c>
      <c r="G1538" s="33">
        <v>1390.0</v>
      </c>
      <c r="H1538" s="35">
        <v>46134.0</v>
      </c>
      <c r="I1538" s="2" t="s">
        <v>473</v>
      </c>
      <c r="J1538" s="12" t="s">
        <v>1220</v>
      </c>
    </row>
    <row r="1539" ht="22.5" hidden="1" customHeight="1">
      <c r="A1539" s="2" t="s">
        <v>1219</v>
      </c>
      <c r="B1539" s="2" t="s">
        <v>961</v>
      </c>
      <c r="C1539" s="2">
        <v>6612.0</v>
      </c>
      <c r="D1539" s="8" t="s">
        <v>46</v>
      </c>
      <c r="E1539" s="9">
        <v>2.0</v>
      </c>
      <c r="F1539" s="33">
        <v>1.0</v>
      </c>
      <c r="G1539" s="33">
        <v>850.0</v>
      </c>
      <c r="H1539" s="35">
        <v>46134.0</v>
      </c>
      <c r="I1539" s="2" t="s">
        <v>473</v>
      </c>
      <c r="J1539" s="12" t="s">
        <v>1220</v>
      </c>
    </row>
    <row r="1540" ht="22.5" hidden="1" customHeight="1">
      <c r="A1540" s="2" t="s">
        <v>1219</v>
      </c>
      <c r="B1540" s="2" t="s">
        <v>961</v>
      </c>
      <c r="C1540" s="2">
        <v>6612.0</v>
      </c>
      <c r="D1540" s="8" t="s">
        <v>46</v>
      </c>
      <c r="E1540" s="9">
        <v>5.0</v>
      </c>
      <c r="F1540" s="33">
        <v>1.0</v>
      </c>
      <c r="G1540" s="33">
        <v>850.0</v>
      </c>
      <c r="H1540" s="35">
        <v>46134.0</v>
      </c>
      <c r="I1540" s="2" t="s">
        <v>473</v>
      </c>
      <c r="J1540" s="12" t="s">
        <v>1220</v>
      </c>
    </row>
    <row r="1541" ht="22.5" hidden="1" customHeight="1">
      <c r="A1541" s="2" t="s">
        <v>821</v>
      </c>
      <c r="B1541" s="2" t="s">
        <v>352</v>
      </c>
      <c r="C1541" s="2">
        <v>5709.0</v>
      </c>
      <c r="D1541" s="8" t="s">
        <v>12</v>
      </c>
      <c r="E1541" s="9" t="s">
        <v>340</v>
      </c>
      <c r="F1541" s="33">
        <v>1.0</v>
      </c>
      <c r="G1541" s="33">
        <v>2350.0</v>
      </c>
      <c r="H1541" s="35">
        <v>46134.0</v>
      </c>
      <c r="I1541" s="2" t="s">
        <v>14</v>
      </c>
      <c r="J1541" s="12" t="s">
        <v>1221</v>
      </c>
    </row>
    <row r="1542" ht="22.5" hidden="1" customHeight="1">
      <c r="A1542" s="2" t="s">
        <v>1222</v>
      </c>
      <c r="B1542" s="2" t="s">
        <v>516</v>
      </c>
      <c r="C1542" s="2" t="s">
        <v>517</v>
      </c>
      <c r="D1542" s="8" t="s">
        <v>46</v>
      </c>
      <c r="E1542" s="9" t="s">
        <v>338</v>
      </c>
      <c r="F1542" s="33">
        <v>2.0</v>
      </c>
      <c r="G1542" s="33">
        <v>1390.0</v>
      </c>
      <c r="H1542" s="35">
        <v>46134.0</v>
      </c>
      <c r="I1542" s="2" t="s">
        <v>14</v>
      </c>
      <c r="J1542" s="12" t="s">
        <v>1223</v>
      </c>
    </row>
    <row r="1543" ht="22.5" hidden="1" customHeight="1">
      <c r="A1543" s="2" t="s">
        <v>1222</v>
      </c>
      <c r="B1543" s="2" t="s">
        <v>1212</v>
      </c>
      <c r="C1543" s="2">
        <v>92212.0</v>
      </c>
      <c r="D1543" s="8" t="s">
        <v>46</v>
      </c>
      <c r="E1543" s="9" t="s">
        <v>16</v>
      </c>
      <c r="F1543" s="33">
        <v>1.0</v>
      </c>
      <c r="G1543" s="33">
        <v>1700.0</v>
      </c>
      <c r="H1543" s="35">
        <v>46134.0</v>
      </c>
      <c r="I1543" s="2" t="s">
        <v>14</v>
      </c>
      <c r="J1543" s="12" t="s">
        <v>1223</v>
      </c>
    </row>
    <row r="1544" ht="22.5" hidden="1" customHeight="1">
      <c r="A1544" s="2" t="s">
        <v>1224</v>
      </c>
      <c r="B1544" s="2" t="s">
        <v>963</v>
      </c>
      <c r="C1544" s="2">
        <v>8610.0</v>
      </c>
      <c r="D1544" s="8" t="s">
        <v>22</v>
      </c>
      <c r="E1544" s="9" t="s">
        <v>13</v>
      </c>
      <c r="F1544" s="33">
        <v>1.0</v>
      </c>
      <c r="G1544" s="33">
        <v>1190.0</v>
      </c>
      <c r="H1544" s="35">
        <v>46134.0</v>
      </c>
      <c r="I1544" s="2" t="s">
        <v>14</v>
      </c>
      <c r="J1544" s="12" t="s">
        <v>1225</v>
      </c>
    </row>
    <row r="1545" ht="22.5" hidden="1" customHeight="1">
      <c r="A1545" s="2" t="s">
        <v>1224</v>
      </c>
      <c r="B1545" s="2" t="s">
        <v>1199</v>
      </c>
      <c r="C1545" s="2" t="s">
        <v>1200</v>
      </c>
      <c r="D1545" s="8" t="s">
        <v>22</v>
      </c>
      <c r="E1545" s="9" t="s">
        <v>47</v>
      </c>
      <c r="F1545" s="33">
        <v>1.0</v>
      </c>
      <c r="G1545" s="33">
        <v>725.0</v>
      </c>
      <c r="H1545" s="35">
        <v>46134.0</v>
      </c>
      <c r="I1545" s="2" t="s">
        <v>14</v>
      </c>
      <c r="J1545" s="12" t="s">
        <v>1225</v>
      </c>
    </row>
    <row r="1546" ht="22.5" hidden="1" customHeight="1">
      <c r="A1546" s="2" t="s">
        <v>1224</v>
      </c>
      <c r="B1546" s="2" t="s">
        <v>1203</v>
      </c>
      <c r="C1546" s="2" t="s">
        <v>1204</v>
      </c>
      <c r="D1546" s="8" t="s">
        <v>22</v>
      </c>
      <c r="E1546" s="9" t="s">
        <v>47</v>
      </c>
      <c r="F1546" s="33">
        <v>1.0</v>
      </c>
      <c r="G1546" s="33">
        <v>725.0</v>
      </c>
      <c r="H1546" s="35">
        <v>46134.0</v>
      </c>
      <c r="I1546" s="2" t="s">
        <v>14</v>
      </c>
      <c r="J1546" s="12" t="s">
        <v>1225</v>
      </c>
    </row>
    <row r="1547" ht="22.5" hidden="1" customHeight="1">
      <c r="A1547" s="2" t="s">
        <v>781</v>
      </c>
      <c r="B1547" s="2" t="s">
        <v>755</v>
      </c>
      <c r="C1547" s="2">
        <v>8558.0</v>
      </c>
      <c r="D1547" s="8" t="s">
        <v>22</v>
      </c>
      <c r="E1547" s="9" t="s">
        <v>18</v>
      </c>
      <c r="F1547" s="33">
        <v>2.0</v>
      </c>
      <c r="G1547" s="33">
        <v>1390.0</v>
      </c>
      <c r="H1547" s="35">
        <v>46134.0</v>
      </c>
      <c r="I1547" s="2" t="s">
        <v>14</v>
      </c>
      <c r="J1547" s="12" t="s">
        <v>1226</v>
      </c>
    </row>
    <row r="1548" ht="22.5" hidden="1" customHeight="1">
      <c r="A1548" s="2" t="s">
        <v>781</v>
      </c>
      <c r="B1548" s="2" t="s">
        <v>755</v>
      </c>
      <c r="C1548" s="2">
        <v>8558.0</v>
      </c>
      <c r="D1548" s="8" t="s">
        <v>22</v>
      </c>
      <c r="E1548" s="9" t="s">
        <v>13</v>
      </c>
      <c r="F1548" s="33">
        <v>2.0</v>
      </c>
      <c r="G1548" s="33">
        <v>1390.0</v>
      </c>
      <c r="H1548" s="35">
        <v>46134.0</v>
      </c>
      <c r="I1548" s="2" t="s">
        <v>14</v>
      </c>
      <c r="J1548" s="12" t="s">
        <v>1226</v>
      </c>
    </row>
    <row r="1549" ht="22.5" hidden="1" customHeight="1">
      <c r="A1549" s="2" t="s">
        <v>781</v>
      </c>
      <c r="B1549" s="2" t="s">
        <v>726</v>
      </c>
      <c r="C1549" s="2">
        <v>9091.0</v>
      </c>
      <c r="D1549" s="8" t="s">
        <v>22</v>
      </c>
      <c r="E1549" s="9" t="s">
        <v>58</v>
      </c>
      <c r="F1549" s="33">
        <v>1.0</v>
      </c>
      <c r="G1549" s="33">
        <v>1950.0</v>
      </c>
      <c r="H1549" s="35">
        <v>46134.0</v>
      </c>
      <c r="I1549" s="2" t="s">
        <v>14</v>
      </c>
      <c r="J1549" s="12" t="s">
        <v>1226</v>
      </c>
    </row>
    <row r="1550" ht="22.5" hidden="1" customHeight="1">
      <c r="A1550" s="2" t="s">
        <v>781</v>
      </c>
      <c r="B1550" s="2" t="s">
        <v>152</v>
      </c>
      <c r="C1550" s="2">
        <v>8319.0</v>
      </c>
      <c r="D1550" s="8" t="s">
        <v>22</v>
      </c>
      <c r="E1550" s="9" t="s">
        <v>58</v>
      </c>
      <c r="F1550" s="33">
        <v>1.0</v>
      </c>
      <c r="G1550" s="33">
        <v>1900.0</v>
      </c>
      <c r="H1550" s="35">
        <v>46134.0</v>
      </c>
      <c r="I1550" s="2" t="s">
        <v>1183</v>
      </c>
      <c r="J1550" s="12" t="s">
        <v>1226</v>
      </c>
    </row>
    <row r="1551" ht="22.5" hidden="1" customHeight="1">
      <c r="A1551" s="2" t="s">
        <v>1083</v>
      </c>
      <c r="B1551" s="2" t="s">
        <v>360</v>
      </c>
      <c r="C1551" s="2" t="s">
        <v>361</v>
      </c>
      <c r="D1551" s="8" t="s">
        <v>46</v>
      </c>
      <c r="E1551" s="9" t="s">
        <v>758</v>
      </c>
      <c r="F1551" s="33">
        <v>1.0</v>
      </c>
      <c r="G1551" s="33">
        <v>1890.0</v>
      </c>
      <c r="H1551" s="35">
        <v>46134.0</v>
      </c>
      <c r="I1551" s="2" t="s">
        <v>14</v>
      </c>
      <c r="J1551" s="12" t="s">
        <v>1084</v>
      </c>
    </row>
    <row r="1552" ht="22.5" hidden="1" customHeight="1">
      <c r="A1552" s="2" t="s">
        <v>1083</v>
      </c>
      <c r="B1552" s="2" t="s">
        <v>360</v>
      </c>
      <c r="C1552" s="2" t="s">
        <v>361</v>
      </c>
      <c r="D1552" s="8" t="s">
        <v>46</v>
      </c>
      <c r="E1552" s="9" t="s">
        <v>1227</v>
      </c>
      <c r="F1552" s="33">
        <v>1.0</v>
      </c>
      <c r="G1552" s="33">
        <v>1890.0</v>
      </c>
      <c r="H1552" s="35">
        <v>46134.0</v>
      </c>
      <c r="I1552" s="2" t="s">
        <v>14</v>
      </c>
      <c r="J1552" s="12" t="s">
        <v>1084</v>
      </c>
    </row>
    <row r="1553" ht="22.5" hidden="1" customHeight="1">
      <c r="A1553" s="2" t="s">
        <v>1032</v>
      </c>
      <c r="B1553" s="2" t="s">
        <v>1201</v>
      </c>
      <c r="C1553" s="2" t="s">
        <v>1202</v>
      </c>
      <c r="D1553" s="8" t="s">
        <v>22</v>
      </c>
      <c r="E1553" s="9" t="s">
        <v>13</v>
      </c>
      <c r="F1553" s="33">
        <v>1.0</v>
      </c>
      <c r="G1553" s="33">
        <v>725.0</v>
      </c>
      <c r="H1553" s="35">
        <v>46134.0</v>
      </c>
      <c r="I1553" s="2" t="s">
        <v>14</v>
      </c>
      <c r="J1553" s="12" t="s">
        <v>1033</v>
      </c>
    </row>
    <row r="1554" ht="22.5" hidden="1" customHeight="1">
      <c r="A1554" s="2" t="s">
        <v>1032</v>
      </c>
      <c r="B1554" s="2" t="s">
        <v>1201</v>
      </c>
      <c r="C1554" s="2" t="s">
        <v>1202</v>
      </c>
      <c r="D1554" s="8" t="s">
        <v>22</v>
      </c>
      <c r="E1554" s="9" t="s">
        <v>47</v>
      </c>
      <c r="F1554" s="33">
        <v>1.0</v>
      </c>
      <c r="G1554" s="33">
        <v>725.0</v>
      </c>
      <c r="H1554" s="35">
        <v>46134.0</v>
      </c>
      <c r="I1554" s="2" t="s">
        <v>14</v>
      </c>
      <c r="J1554" s="12" t="s">
        <v>1033</v>
      </c>
    </row>
    <row r="1555" ht="22.5" hidden="1" customHeight="1">
      <c r="A1555" s="2" t="s">
        <v>25</v>
      </c>
      <c r="B1555" s="2" t="s">
        <v>1203</v>
      </c>
      <c r="C1555" s="2" t="s">
        <v>1204</v>
      </c>
      <c r="D1555" s="8" t="s">
        <v>75</v>
      </c>
      <c r="E1555" s="9" t="s">
        <v>47</v>
      </c>
      <c r="F1555" s="33">
        <v>1.0</v>
      </c>
      <c r="G1555" s="33">
        <v>725.0</v>
      </c>
      <c r="H1555" s="35">
        <v>46134.0</v>
      </c>
      <c r="I1555" s="2" t="s">
        <v>14</v>
      </c>
      <c r="J1555" s="12" t="s">
        <v>1228</v>
      </c>
    </row>
    <row r="1556" ht="22.5" hidden="1" customHeight="1">
      <c r="A1556" s="2" t="s">
        <v>25</v>
      </c>
      <c r="B1556" s="2" t="s">
        <v>1201</v>
      </c>
      <c r="C1556" s="2" t="s">
        <v>1202</v>
      </c>
      <c r="D1556" s="8" t="s">
        <v>75</v>
      </c>
      <c r="E1556" s="9" t="s">
        <v>47</v>
      </c>
      <c r="F1556" s="33">
        <v>1.0</v>
      </c>
      <c r="G1556" s="33">
        <v>725.0</v>
      </c>
      <c r="H1556" s="35">
        <v>46134.0</v>
      </c>
      <c r="I1556" s="2" t="s">
        <v>14</v>
      </c>
      <c r="J1556" s="12" t="s">
        <v>1228</v>
      </c>
    </row>
    <row r="1557" ht="22.5" hidden="1" customHeight="1">
      <c r="A1557" s="2" t="s">
        <v>821</v>
      </c>
      <c r="B1557" s="2" t="s">
        <v>1011</v>
      </c>
      <c r="C1557" s="2">
        <v>3225.0</v>
      </c>
      <c r="D1557" s="8" t="s">
        <v>12</v>
      </c>
      <c r="E1557" s="9" t="s">
        <v>58</v>
      </c>
      <c r="F1557" s="33">
        <v>1.0</v>
      </c>
      <c r="G1557" s="33">
        <v>2350.0</v>
      </c>
      <c r="H1557" s="35">
        <v>46134.0</v>
      </c>
      <c r="I1557" s="2" t="s">
        <v>14</v>
      </c>
      <c r="J1557" s="12" t="s">
        <v>1221</v>
      </c>
    </row>
    <row r="1558" ht="22.5" hidden="1" customHeight="1">
      <c r="A1558" s="2" t="s">
        <v>345</v>
      </c>
      <c r="B1558" s="2" t="s">
        <v>1199</v>
      </c>
      <c r="C1558" s="2" t="s">
        <v>1200</v>
      </c>
      <c r="D1558" s="8" t="s">
        <v>12</v>
      </c>
      <c r="E1558" s="9" t="s">
        <v>13</v>
      </c>
      <c r="F1558" s="33">
        <v>1.0</v>
      </c>
      <c r="G1558" s="33">
        <v>725.0</v>
      </c>
      <c r="H1558" s="35">
        <v>46134.0</v>
      </c>
      <c r="I1558" s="2" t="s">
        <v>14</v>
      </c>
      <c r="J1558" s="12" t="s">
        <v>1128</v>
      </c>
    </row>
    <row r="1559" ht="22.5" hidden="1" customHeight="1">
      <c r="A1559" s="2" t="s">
        <v>345</v>
      </c>
      <c r="B1559" s="2" t="s">
        <v>1199</v>
      </c>
      <c r="C1559" s="2" t="s">
        <v>1200</v>
      </c>
      <c r="D1559" s="8" t="s">
        <v>22</v>
      </c>
      <c r="E1559" s="9" t="s">
        <v>16</v>
      </c>
      <c r="F1559" s="33">
        <v>1.0</v>
      </c>
      <c r="G1559" s="33">
        <v>725.0</v>
      </c>
      <c r="H1559" s="35">
        <v>46134.0</v>
      </c>
      <c r="I1559" s="2" t="s">
        <v>14</v>
      </c>
      <c r="J1559" s="12" t="s">
        <v>1128</v>
      </c>
    </row>
    <row r="1560" ht="22.5" hidden="1" customHeight="1">
      <c r="A1560" s="2" t="s">
        <v>1229</v>
      </c>
      <c r="B1560" s="2" t="s">
        <v>1006</v>
      </c>
      <c r="C1560" s="2">
        <v>8321.0</v>
      </c>
      <c r="D1560" s="8" t="s">
        <v>46</v>
      </c>
      <c r="E1560" s="9" t="s">
        <v>26</v>
      </c>
      <c r="F1560" s="33">
        <v>1.0</v>
      </c>
      <c r="G1560" s="33">
        <v>1350.0</v>
      </c>
      <c r="H1560" s="35">
        <v>46134.0</v>
      </c>
      <c r="I1560" s="2" t="s">
        <v>14</v>
      </c>
      <c r="J1560" s="12" t="s">
        <v>1230</v>
      </c>
    </row>
    <row r="1561" ht="22.5" hidden="1" customHeight="1">
      <c r="A1561" s="2" t="s">
        <v>1231</v>
      </c>
      <c r="B1561" s="2" t="s">
        <v>1232</v>
      </c>
      <c r="C1561" s="2" t="s">
        <v>1233</v>
      </c>
      <c r="D1561" s="8" t="s">
        <v>46</v>
      </c>
      <c r="E1561" s="9" t="s">
        <v>13</v>
      </c>
      <c r="F1561" s="33">
        <v>1.0</v>
      </c>
      <c r="G1561" s="33">
        <v>1550.0</v>
      </c>
      <c r="H1561" s="35">
        <v>46134.0</v>
      </c>
      <c r="I1561" s="2" t="s">
        <v>14</v>
      </c>
      <c r="J1561" s="12" t="s">
        <v>1234</v>
      </c>
    </row>
    <row r="1562" ht="22.5" hidden="1" customHeight="1">
      <c r="A1562" s="2" t="s">
        <v>1235</v>
      </c>
      <c r="B1562" s="2" t="s">
        <v>1232</v>
      </c>
      <c r="C1562" s="2" t="s">
        <v>1233</v>
      </c>
      <c r="D1562" s="8" t="s">
        <v>46</v>
      </c>
      <c r="E1562" s="9" t="s">
        <v>13</v>
      </c>
      <c r="F1562" s="33">
        <v>1.0</v>
      </c>
      <c r="G1562" s="33">
        <v>1550.0</v>
      </c>
      <c r="H1562" s="35">
        <v>46134.0</v>
      </c>
      <c r="I1562" s="2" t="s">
        <v>14</v>
      </c>
      <c r="J1562" s="12" t="s">
        <v>1236</v>
      </c>
    </row>
    <row r="1563" ht="22.5" hidden="1" customHeight="1">
      <c r="A1563" s="2" t="s">
        <v>80</v>
      </c>
      <c r="B1563" s="2" t="s">
        <v>141</v>
      </c>
      <c r="C1563" s="2">
        <v>8770.0</v>
      </c>
      <c r="D1563" s="8" t="s">
        <v>46</v>
      </c>
      <c r="E1563" s="9" t="s">
        <v>58</v>
      </c>
      <c r="F1563" s="33">
        <v>1.0</v>
      </c>
      <c r="G1563" s="33">
        <v>1690.0</v>
      </c>
      <c r="H1563" s="35">
        <v>46134.0</v>
      </c>
      <c r="I1563" s="2" t="s">
        <v>14</v>
      </c>
      <c r="J1563" s="12" t="s">
        <v>1237</v>
      </c>
    </row>
    <row r="1564" ht="22.5" hidden="1" customHeight="1">
      <c r="A1564" s="2" t="s">
        <v>80</v>
      </c>
      <c r="B1564" s="2" t="s">
        <v>516</v>
      </c>
      <c r="C1564" s="2" t="s">
        <v>517</v>
      </c>
      <c r="D1564" s="8" t="s">
        <v>46</v>
      </c>
      <c r="E1564" s="9" t="s">
        <v>338</v>
      </c>
      <c r="F1564" s="33">
        <v>1.0</v>
      </c>
      <c r="G1564" s="33">
        <v>1390.0</v>
      </c>
      <c r="H1564" s="35">
        <v>46134.0</v>
      </c>
      <c r="I1564" s="2" t="s">
        <v>14</v>
      </c>
      <c r="J1564" s="12" t="s">
        <v>1237</v>
      </c>
    </row>
    <row r="1565" ht="22.5" hidden="1" customHeight="1">
      <c r="A1565" s="2" t="s">
        <v>80</v>
      </c>
      <c r="B1565" s="2" t="s">
        <v>1195</v>
      </c>
      <c r="C1565" s="2">
        <v>9031.0</v>
      </c>
      <c r="D1565" s="8" t="s">
        <v>22</v>
      </c>
      <c r="E1565" s="9" t="s">
        <v>13</v>
      </c>
      <c r="F1565" s="33">
        <v>1.0</v>
      </c>
      <c r="G1565" s="33">
        <v>1900.0</v>
      </c>
      <c r="H1565" s="35">
        <v>46134.0</v>
      </c>
      <c r="I1565" s="2" t="s">
        <v>14</v>
      </c>
      <c r="J1565" s="12" t="s">
        <v>1237</v>
      </c>
    </row>
    <row r="1566" ht="22.5" hidden="1" customHeight="1">
      <c r="A1566" s="2" t="s">
        <v>159</v>
      </c>
      <c r="B1566" s="2" t="s">
        <v>1184</v>
      </c>
      <c r="C1566" s="2" t="s">
        <v>1185</v>
      </c>
      <c r="D1566" s="8" t="s">
        <v>75</v>
      </c>
      <c r="E1566" s="9" t="s">
        <v>23</v>
      </c>
      <c r="F1566" s="33">
        <v>1.0</v>
      </c>
      <c r="G1566" s="33">
        <v>845.0</v>
      </c>
      <c r="H1566" s="35">
        <v>46135.0</v>
      </c>
      <c r="I1566" s="2" t="s">
        <v>14</v>
      </c>
      <c r="J1566" s="12" t="s">
        <v>1238</v>
      </c>
    </row>
    <row r="1567" ht="22.5" hidden="1" customHeight="1">
      <c r="A1567" s="2" t="s">
        <v>159</v>
      </c>
      <c r="B1567" s="2" t="s">
        <v>1184</v>
      </c>
      <c r="C1567" s="2" t="s">
        <v>1185</v>
      </c>
      <c r="D1567" s="8" t="s">
        <v>75</v>
      </c>
      <c r="E1567" s="9" t="s">
        <v>18</v>
      </c>
      <c r="F1567" s="33">
        <v>1.0</v>
      </c>
      <c r="G1567" s="33">
        <v>845.0</v>
      </c>
      <c r="H1567" s="35">
        <v>46135.0</v>
      </c>
      <c r="I1567" s="2" t="s">
        <v>14</v>
      </c>
      <c r="J1567" s="12" t="s">
        <v>1238</v>
      </c>
    </row>
    <row r="1568" ht="22.5" hidden="1" customHeight="1">
      <c r="A1568" s="2" t="s">
        <v>490</v>
      </c>
      <c r="B1568" s="2" t="s">
        <v>1199</v>
      </c>
      <c r="C1568" s="2" t="s">
        <v>1200</v>
      </c>
      <c r="D1568" s="8" t="s">
        <v>22</v>
      </c>
      <c r="E1568" s="9" t="s">
        <v>13</v>
      </c>
      <c r="F1568" s="33">
        <v>1.0</v>
      </c>
      <c r="G1568" s="33">
        <v>725.0</v>
      </c>
      <c r="H1568" s="35">
        <v>46135.0</v>
      </c>
      <c r="I1568" s="2" t="s">
        <v>14</v>
      </c>
      <c r="J1568" s="12" t="s">
        <v>1239</v>
      </c>
    </row>
    <row r="1569" ht="22.5" hidden="1" customHeight="1">
      <c r="A1569" s="2" t="s">
        <v>490</v>
      </c>
      <c r="B1569" s="2" t="s">
        <v>1199</v>
      </c>
      <c r="C1569" s="2" t="s">
        <v>1200</v>
      </c>
      <c r="D1569" s="8" t="s">
        <v>22</v>
      </c>
      <c r="E1569" s="9" t="s">
        <v>47</v>
      </c>
      <c r="F1569" s="33">
        <v>1.0</v>
      </c>
      <c r="G1569" s="33">
        <v>725.0</v>
      </c>
      <c r="H1569" s="35">
        <v>46135.0</v>
      </c>
      <c r="I1569" s="2" t="s">
        <v>14</v>
      </c>
      <c r="J1569" s="12" t="s">
        <v>1239</v>
      </c>
    </row>
    <row r="1570" ht="22.5" hidden="1" customHeight="1">
      <c r="A1570" s="2" t="s">
        <v>1240</v>
      </c>
      <c r="B1570" s="2" t="s">
        <v>1232</v>
      </c>
      <c r="C1570" s="2" t="s">
        <v>1233</v>
      </c>
      <c r="D1570" s="8" t="s">
        <v>46</v>
      </c>
      <c r="E1570" s="9" t="s">
        <v>13</v>
      </c>
      <c r="F1570" s="33">
        <v>1.0</v>
      </c>
      <c r="G1570" s="33">
        <v>1550.0</v>
      </c>
      <c r="H1570" s="35">
        <v>46135.0</v>
      </c>
      <c r="I1570" s="2" t="s">
        <v>14</v>
      </c>
      <c r="J1570" s="12" t="s">
        <v>1241</v>
      </c>
    </row>
    <row r="1571" ht="22.5" hidden="1" customHeight="1">
      <c r="A1571" s="2" t="s">
        <v>1240</v>
      </c>
      <c r="B1571" s="2" t="s">
        <v>1201</v>
      </c>
      <c r="C1571" s="2" t="s">
        <v>1202</v>
      </c>
      <c r="D1571" s="8" t="s">
        <v>22</v>
      </c>
      <c r="E1571" s="9" t="s">
        <v>13</v>
      </c>
      <c r="F1571" s="33">
        <v>1.0</v>
      </c>
      <c r="G1571" s="33">
        <v>725.0</v>
      </c>
      <c r="H1571" s="35">
        <v>46135.0</v>
      </c>
      <c r="I1571" s="2" t="s">
        <v>14</v>
      </c>
      <c r="J1571" s="12" t="s">
        <v>1241</v>
      </c>
    </row>
    <row r="1572" ht="22.5" hidden="1" customHeight="1">
      <c r="A1572" s="2" t="s">
        <v>1240</v>
      </c>
      <c r="B1572" s="2" t="s">
        <v>1199</v>
      </c>
      <c r="C1572" s="2" t="s">
        <v>1200</v>
      </c>
      <c r="D1572" s="8" t="s">
        <v>22</v>
      </c>
      <c r="E1572" s="9" t="s">
        <v>47</v>
      </c>
      <c r="F1572" s="33">
        <v>1.0</v>
      </c>
      <c r="G1572" s="33">
        <v>725.0</v>
      </c>
      <c r="H1572" s="35">
        <v>46135.0</v>
      </c>
      <c r="I1572" s="2" t="s">
        <v>14</v>
      </c>
      <c r="J1572" s="12" t="s">
        <v>1241</v>
      </c>
    </row>
    <row r="1573" ht="22.5" hidden="1" customHeight="1">
      <c r="A1573" s="2" t="s">
        <v>1242</v>
      </c>
      <c r="B1573" s="2" t="s">
        <v>1184</v>
      </c>
      <c r="C1573" s="2" t="s">
        <v>1185</v>
      </c>
      <c r="D1573" s="8" t="s">
        <v>1186</v>
      </c>
      <c r="E1573" s="9" t="s">
        <v>58</v>
      </c>
      <c r="F1573" s="33">
        <v>1.0</v>
      </c>
      <c r="G1573" s="33">
        <v>845.0</v>
      </c>
      <c r="H1573" s="35">
        <v>46135.0</v>
      </c>
      <c r="I1573" s="2" t="s">
        <v>14</v>
      </c>
      <c r="J1573" s="12" t="s">
        <v>1243</v>
      </c>
    </row>
    <row r="1574" ht="22.5" hidden="1" customHeight="1">
      <c r="A1574" s="2" t="s">
        <v>1242</v>
      </c>
      <c r="B1574" s="2" t="s">
        <v>1184</v>
      </c>
      <c r="C1574" s="2" t="s">
        <v>1185</v>
      </c>
      <c r="D1574" s="8" t="s">
        <v>1186</v>
      </c>
      <c r="E1574" s="9" t="s">
        <v>18</v>
      </c>
      <c r="F1574" s="33">
        <v>1.0</v>
      </c>
      <c r="G1574" s="33">
        <v>845.0</v>
      </c>
      <c r="H1574" s="35">
        <v>46135.0</v>
      </c>
      <c r="I1574" s="2" t="s">
        <v>14</v>
      </c>
      <c r="J1574" s="12" t="s">
        <v>1243</v>
      </c>
    </row>
    <row r="1575" ht="22.5" hidden="1" customHeight="1">
      <c r="A1575" s="2" t="s">
        <v>1242</v>
      </c>
      <c r="B1575" s="2" t="s">
        <v>1199</v>
      </c>
      <c r="C1575" s="2" t="s">
        <v>1200</v>
      </c>
      <c r="D1575" s="8" t="s">
        <v>75</v>
      </c>
      <c r="E1575" s="9" t="s">
        <v>47</v>
      </c>
      <c r="F1575" s="33">
        <v>1.0</v>
      </c>
      <c r="G1575" s="33">
        <v>725.0</v>
      </c>
      <c r="H1575" s="35">
        <v>46135.0</v>
      </c>
      <c r="I1575" s="2" t="s">
        <v>14</v>
      </c>
      <c r="J1575" s="12" t="s">
        <v>1243</v>
      </c>
    </row>
    <row r="1576" ht="22.5" hidden="1" customHeight="1">
      <c r="A1576" s="2" t="s">
        <v>1242</v>
      </c>
      <c r="B1576" s="2" t="s">
        <v>1201</v>
      </c>
      <c r="C1576" s="2" t="s">
        <v>1202</v>
      </c>
      <c r="D1576" s="8" t="s">
        <v>75</v>
      </c>
      <c r="E1576" s="9" t="s">
        <v>47</v>
      </c>
      <c r="F1576" s="33">
        <v>1.0</v>
      </c>
      <c r="G1576" s="33">
        <v>725.0</v>
      </c>
      <c r="H1576" s="35">
        <v>46135.0</v>
      </c>
      <c r="I1576" s="2" t="s">
        <v>14</v>
      </c>
      <c r="J1576" s="12" t="s">
        <v>1243</v>
      </c>
    </row>
    <row r="1577" ht="22.5" hidden="1" customHeight="1">
      <c r="A1577" s="2" t="s">
        <v>1156</v>
      </c>
      <c r="B1577" s="2" t="s">
        <v>1199</v>
      </c>
      <c r="C1577" s="2" t="s">
        <v>1200</v>
      </c>
      <c r="D1577" s="8" t="s">
        <v>22</v>
      </c>
      <c r="E1577" s="9" t="s">
        <v>47</v>
      </c>
      <c r="F1577" s="33">
        <v>2.0</v>
      </c>
      <c r="G1577" s="33">
        <v>725.0</v>
      </c>
      <c r="H1577" s="35">
        <v>46135.0</v>
      </c>
      <c r="I1577" s="2" t="s">
        <v>14</v>
      </c>
      <c r="J1577" s="12" t="s">
        <v>1158</v>
      </c>
    </row>
    <row r="1578" ht="22.5" hidden="1" customHeight="1">
      <c r="A1578" s="2" t="s">
        <v>1244</v>
      </c>
      <c r="B1578" s="2" t="s">
        <v>1199</v>
      </c>
      <c r="C1578" s="2" t="s">
        <v>1200</v>
      </c>
      <c r="D1578" s="8" t="s">
        <v>75</v>
      </c>
      <c r="E1578" s="9" t="s">
        <v>18</v>
      </c>
      <c r="F1578" s="33">
        <v>1.0</v>
      </c>
      <c r="G1578" s="33">
        <v>725.0</v>
      </c>
      <c r="H1578" s="35">
        <v>46135.0</v>
      </c>
      <c r="I1578" s="2" t="s">
        <v>14</v>
      </c>
      <c r="J1578" s="12" t="s">
        <v>1245</v>
      </c>
    </row>
    <row r="1579" ht="22.5" hidden="1" customHeight="1">
      <c r="A1579" s="2" t="s">
        <v>1244</v>
      </c>
      <c r="B1579" s="2" t="s">
        <v>1199</v>
      </c>
      <c r="C1579" s="2" t="s">
        <v>1200</v>
      </c>
      <c r="D1579" s="8" t="s">
        <v>75</v>
      </c>
      <c r="E1579" s="9" t="s">
        <v>47</v>
      </c>
      <c r="F1579" s="33">
        <v>1.0</v>
      </c>
      <c r="G1579" s="33">
        <v>725.0</v>
      </c>
      <c r="H1579" s="35">
        <v>46135.0</v>
      </c>
      <c r="I1579" s="2" t="s">
        <v>14</v>
      </c>
      <c r="J1579" s="12" t="s">
        <v>1245</v>
      </c>
    </row>
    <row r="1580" ht="22.5" hidden="1" customHeight="1">
      <c r="A1580" s="2" t="s">
        <v>1244</v>
      </c>
      <c r="B1580" s="2" t="s">
        <v>1201</v>
      </c>
      <c r="C1580" s="2" t="s">
        <v>1202</v>
      </c>
      <c r="D1580" s="8" t="s">
        <v>75</v>
      </c>
      <c r="E1580" s="9" t="s">
        <v>47</v>
      </c>
      <c r="F1580" s="33">
        <v>1.0</v>
      </c>
      <c r="G1580" s="33">
        <v>725.0</v>
      </c>
      <c r="H1580" s="35">
        <v>46135.0</v>
      </c>
      <c r="I1580" s="2" t="s">
        <v>14</v>
      </c>
      <c r="J1580" s="12" t="s">
        <v>1245</v>
      </c>
    </row>
    <row r="1581" ht="22.5" hidden="1" customHeight="1">
      <c r="A1581" s="2" t="s">
        <v>1244</v>
      </c>
      <c r="B1581" s="2" t="s">
        <v>1203</v>
      </c>
      <c r="C1581" s="2" t="s">
        <v>1204</v>
      </c>
      <c r="D1581" s="8" t="s">
        <v>75</v>
      </c>
      <c r="E1581" s="9" t="s">
        <v>47</v>
      </c>
      <c r="F1581" s="33">
        <v>1.0</v>
      </c>
      <c r="G1581" s="33">
        <v>725.0</v>
      </c>
      <c r="H1581" s="35">
        <v>46135.0</v>
      </c>
      <c r="I1581" s="2" t="s">
        <v>14</v>
      </c>
      <c r="J1581" s="12" t="s">
        <v>1245</v>
      </c>
    </row>
    <row r="1582" ht="22.5" hidden="1" customHeight="1">
      <c r="A1582" s="2" t="s">
        <v>1246</v>
      </c>
      <c r="B1582" s="2" t="s">
        <v>1199</v>
      </c>
      <c r="C1582" s="2" t="s">
        <v>1200</v>
      </c>
      <c r="D1582" s="8" t="s">
        <v>22</v>
      </c>
      <c r="E1582" s="9" t="s">
        <v>47</v>
      </c>
      <c r="F1582" s="33">
        <v>1.0</v>
      </c>
      <c r="G1582" s="33">
        <v>725.0</v>
      </c>
      <c r="H1582" s="35">
        <v>46135.0</v>
      </c>
      <c r="I1582" s="2" t="s">
        <v>14</v>
      </c>
      <c r="J1582" s="12" t="s">
        <v>1247</v>
      </c>
    </row>
    <row r="1583" ht="22.5" hidden="1" customHeight="1">
      <c r="A1583" s="2" t="s">
        <v>1246</v>
      </c>
      <c r="B1583" s="2" t="s">
        <v>1201</v>
      </c>
      <c r="C1583" s="2" t="s">
        <v>1202</v>
      </c>
      <c r="D1583" s="8" t="s">
        <v>22</v>
      </c>
      <c r="E1583" s="9" t="s">
        <v>47</v>
      </c>
      <c r="F1583" s="33">
        <v>1.0</v>
      </c>
      <c r="G1583" s="33">
        <v>725.0</v>
      </c>
      <c r="H1583" s="35">
        <v>46135.0</v>
      </c>
      <c r="I1583" s="2" t="s">
        <v>14</v>
      </c>
      <c r="J1583" s="12" t="s">
        <v>1247</v>
      </c>
    </row>
    <row r="1584" ht="22.5" hidden="1" customHeight="1">
      <c r="A1584" s="2" t="s">
        <v>122</v>
      </c>
      <c r="B1584" s="2" t="s">
        <v>1199</v>
      </c>
      <c r="C1584" s="2" t="s">
        <v>1200</v>
      </c>
      <c r="D1584" s="8" t="s">
        <v>75</v>
      </c>
      <c r="E1584" s="9" t="s">
        <v>18</v>
      </c>
      <c r="F1584" s="33">
        <v>1.0</v>
      </c>
      <c r="G1584" s="33">
        <v>725.0</v>
      </c>
      <c r="H1584" s="35">
        <v>46135.0</v>
      </c>
      <c r="I1584" s="2" t="s">
        <v>14</v>
      </c>
      <c r="J1584" s="12" t="s">
        <v>1248</v>
      </c>
    </row>
    <row r="1585" ht="22.5" hidden="1" customHeight="1">
      <c r="A1585" s="2" t="s">
        <v>122</v>
      </c>
      <c r="B1585" s="2" t="s">
        <v>1199</v>
      </c>
      <c r="C1585" s="2" t="s">
        <v>1200</v>
      </c>
      <c r="D1585" s="8" t="s">
        <v>75</v>
      </c>
      <c r="E1585" s="9" t="s">
        <v>13</v>
      </c>
      <c r="F1585" s="33">
        <v>1.0</v>
      </c>
      <c r="G1585" s="33">
        <v>725.0</v>
      </c>
      <c r="H1585" s="35">
        <v>46135.0</v>
      </c>
      <c r="I1585" s="2" t="s">
        <v>14</v>
      </c>
      <c r="J1585" s="12" t="s">
        <v>1248</v>
      </c>
    </row>
    <row r="1586" ht="22.5" hidden="1" customHeight="1">
      <c r="A1586" s="2" t="s">
        <v>122</v>
      </c>
      <c r="B1586" s="2" t="s">
        <v>1201</v>
      </c>
      <c r="C1586" s="2" t="s">
        <v>1202</v>
      </c>
      <c r="D1586" s="8" t="s">
        <v>75</v>
      </c>
      <c r="E1586" s="9" t="s">
        <v>47</v>
      </c>
      <c r="F1586" s="33">
        <v>1.0</v>
      </c>
      <c r="G1586" s="33">
        <v>725.0</v>
      </c>
      <c r="H1586" s="35">
        <v>46135.0</v>
      </c>
      <c r="I1586" s="2" t="s">
        <v>14</v>
      </c>
      <c r="J1586" s="12" t="s">
        <v>1248</v>
      </c>
    </row>
    <row r="1587" ht="22.5" hidden="1" customHeight="1">
      <c r="A1587" s="2" t="s">
        <v>122</v>
      </c>
      <c r="B1587" s="2" t="s">
        <v>1201</v>
      </c>
      <c r="C1587" s="2" t="s">
        <v>1202</v>
      </c>
      <c r="D1587" s="8" t="s">
        <v>75</v>
      </c>
      <c r="E1587" s="9" t="s">
        <v>13</v>
      </c>
      <c r="F1587" s="33">
        <v>1.0</v>
      </c>
      <c r="G1587" s="33">
        <v>725.0</v>
      </c>
      <c r="H1587" s="35">
        <v>46135.0</v>
      </c>
      <c r="I1587" s="2" t="s">
        <v>14</v>
      </c>
      <c r="J1587" s="12" t="s">
        <v>1248</v>
      </c>
    </row>
    <row r="1588" ht="22.5" hidden="1" customHeight="1">
      <c r="A1588" s="2" t="s">
        <v>301</v>
      </c>
      <c r="B1588" s="2" t="s">
        <v>1199</v>
      </c>
      <c r="C1588" s="2" t="s">
        <v>1200</v>
      </c>
      <c r="D1588" s="8" t="s">
        <v>75</v>
      </c>
      <c r="E1588" s="9" t="s">
        <v>47</v>
      </c>
      <c r="F1588" s="33">
        <v>1.0</v>
      </c>
      <c r="G1588" s="33">
        <v>725.0</v>
      </c>
      <c r="H1588" s="35">
        <v>46135.0</v>
      </c>
      <c r="I1588" s="2" t="s">
        <v>14</v>
      </c>
      <c r="J1588" s="12" t="s">
        <v>1249</v>
      </c>
    </row>
    <row r="1589" ht="22.5" hidden="1" customHeight="1">
      <c r="A1589" s="2" t="s">
        <v>301</v>
      </c>
      <c r="B1589" s="2" t="s">
        <v>1201</v>
      </c>
      <c r="C1589" s="2" t="s">
        <v>1202</v>
      </c>
      <c r="D1589" s="8" t="s">
        <v>75</v>
      </c>
      <c r="E1589" s="9" t="s">
        <v>47</v>
      </c>
      <c r="F1589" s="33">
        <v>1.0</v>
      </c>
      <c r="G1589" s="33">
        <v>725.0</v>
      </c>
      <c r="H1589" s="35">
        <v>46135.0</v>
      </c>
      <c r="I1589" s="2" t="s">
        <v>14</v>
      </c>
      <c r="J1589" s="12" t="s">
        <v>1249</v>
      </c>
    </row>
    <row r="1590" ht="22.5" hidden="1" customHeight="1">
      <c r="A1590" s="2" t="s">
        <v>1024</v>
      </c>
      <c r="B1590" s="2" t="s">
        <v>1199</v>
      </c>
      <c r="C1590" s="2" t="s">
        <v>1200</v>
      </c>
      <c r="D1590" s="8" t="s">
        <v>22</v>
      </c>
      <c r="E1590" s="9" t="s">
        <v>18</v>
      </c>
      <c r="F1590" s="33">
        <v>1.0</v>
      </c>
      <c r="G1590" s="33">
        <v>725.0</v>
      </c>
      <c r="H1590" s="35">
        <v>46135.0</v>
      </c>
      <c r="I1590" s="2" t="s">
        <v>14</v>
      </c>
      <c r="J1590" s="12" t="s">
        <v>1025</v>
      </c>
    </row>
    <row r="1591" ht="22.5" hidden="1" customHeight="1">
      <c r="A1591" s="2" t="s">
        <v>1024</v>
      </c>
      <c r="B1591" s="2" t="s">
        <v>1199</v>
      </c>
      <c r="C1591" s="2" t="s">
        <v>1200</v>
      </c>
      <c r="D1591" s="8" t="s">
        <v>22</v>
      </c>
      <c r="E1591" s="9" t="s">
        <v>47</v>
      </c>
      <c r="F1591" s="33">
        <v>1.0</v>
      </c>
      <c r="G1591" s="33">
        <v>725.0</v>
      </c>
      <c r="H1591" s="35">
        <v>46135.0</v>
      </c>
      <c r="I1591" s="2" t="s">
        <v>14</v>
      </c>
      <c r="J1591" s="12" t="s">
        <v>1025</v>
      </c>
    </row>
    <row r="1592" ht="22.5" hidden="1" customHeight="1">
      <c r="A1592" s="2" t="s">
        <v>1024</v>
      </c>
      <c r="B1592" s="2" t="s">
        <v>1232</v>
      </c>
      <c r="C1592" s="2" t="s">
        <v>1233</v>
      </c>
      <c r="D1592" s="8" t="s">
        <v>46</v>
      </c>
      <c r="E1592" s="9" t="s">
        <v>13</v>
      </c>
      <c r="F1592" s="33">
        <v>1.0</v>
      </c>
      <c r="G1592" s="33">
        <v>1550.0</v>
      </c>
      <c r="H1592" s="35">
        <v>46135.0</v>
      </c>
      <c r="I1592" s="2" t="s">
        <v>14</v>
      </c>
      <c r="J1592" s="12" t="s">
        <v>1025</v>
      </c>
    </row>
    <row r="1593" ht="22.5" hidden="1" customHeight="1">
      <c r="A1593" s="2" t="s">
        <v>1250</v>
      </c>
      <c r="B1593" s="2" t="s">
        <v>1184</v>
      </c>
      <c r="C1593" s="2" t="s">
        <v>1185</v>
      </c>
      <c r="D1593" s="8" t="s">
        <v>75</v>
      </c>
      <c r="E1593" s="9" t="s">
        <v>23</v>
      </c>
      <c r="F1593" s="33">
        <v>1.0</v>
      </c>
      <c r="G1593" s="33">
        <v>845.0</v>
      </c>
      <c r="H1593" s="35">
        <v>46135.0</v>
      </c>
      <c r="I1593" s="2" t="s">
        <v>14</v>
      </c>
      <c r="J1593" s="12" t="s">
        <v>1234</v>
      </c>
    </row>
    <row r="1594" ht="22.5" hidden="1" customHeight="1">
      <c r="A1594" s="2" t="s">
        <v>1250</v>
      </c>
      <c r="B1594" s="2" t="s">
        <v>1184</v>
      </c>
      <c r="C1594" s="2" t="s">
        <v>1185</v>
      </c>
      <c r="D1594" s="8" t="s">
        <v>75</v>
      </c>
      <c r="E1594" s="9" t="s">
        <v>18</v>
      </c>
      <c r="F1594" s="33">
        <v>1.0</v>
      </c>
      <c r="G1594" s="33">
        <v>845.0</v>
      </c>
      <c r="H1594" s="35">
        <v>46135.0</v>
      </c>
      <c r="I1594" s="2" t="s">
        <v>14</v>
      </c>
      <c r="J1594" s="12" t="s">
        <v>1234</v>
      </c>
    </row>
    <row r="1595" ht="22.5" hidden="1" customHeight="1">
      <c r="A1595" s="2" t="s">
        <v>1251</v>
      </c>
      <c r="B1595" s="2" t="s">
        <v>958</v>
      </c>
      <c r="C1595" s="2" t="s">
        <v>959</v>
      </c>
      <c r="D1595" s="8" t="s">
        <v>22</v>
      </c>
      <c r="E1595" s="9" t="s">
        <v>18</v>
      </c>
      <c r="F1595" s="33">
        <v>1.0</v>
      </c>
      <c r="G1595" s="33">
        <v>1800.0</v>
      </c>
      <c r="H1595" s="35">
        <v>46135.0</v>
      </c>
      <c r="I1595" s="2" t="s">
        <v>14</v>
      </c>
      <c r="J1595" s="12" t="s">
        <v>1252</v>
      </c>
    </row>
    <row r="1596" ht="22.5" hidden="1" customHeight="1">
      <c r="A1596" s="2" t="s">
        <v>1251</v>
      </c>
      <c r="B1596" s="2" t="s">
        <v>1212</v>
      </c>
      <c r="C1596" s="2">
        <v>92212.0</v>
      </c>
      <c r="D1596" s="8" t="s">
        <v>46</v>
      </c>
      <c r="E1596" s="9" t="s">
        <v>16</v>
      </c>
      <c r="F1596" s="33">
        <v>1.0</v>
      </c>
      <c r="G1596" s="33">
        <v>1700.0</v>
      </c>
      <c r="H1596" s="35">
        <v>46135.0</v>
      </c>
      <c r="I1596" s="2" t="s">
        <v>14</v>
      </c>
      <c r="J1596" s="12" t="s">
        <v>1252</v>
      </c>
    </row>
    <row r="1597" ht="22.5" hidden="1" customHeight="1">
      <c r="A1597" s="2" t="s">
        <v>1251</v>
      </c>
      <c r="B1597" s="2" t="s">
        <v>892</v>
      </c>
      <c r="C1597" s="2" t="s">
        <v>893</v>
      </c>
      <c r="D1597" s="8">
        <v>37.0</v>
      </c>
      <c r="E1597" s="9" t="s">
        <v>18</v>
      </c>
      <c r="F1597" s="33">
        <v>1.0</v>
      </c>
      <c r="G1597" s="33">
        <v>2200.0</v>
      </c>
      <c r="H1597" s="35">
        <v>46135.0</v>
      </c>
      <c r="I1597" s="2" t="s">
        <v>14</v>
      </c>
      <c r="J1597" s="12" t="s">
        <v>1252</v>
      </c>
    </row>
    <row r="1598" ht="22.5" hidden="1" customHeight="1">
      <c r="A1598" s="2" t="s">
        <v>1253</v>
      </c>
      <c r="B1598" s="2" t="s">
        <v>1254</v>
      </c>
      <c r="C1598" s="2" t="s">
        <v>1255</v>
      </c>
      <c r="D1598" s="8" t="s">
        <v>22</v>
      </c>
      <c r="E1598" s="9" t="s">
        <v>1256</v>
      </c>
      <c r="F1598" s="33">
        <v>1.0</v>
      </c>
      <c r="G1598" s="33">
        <v>1200.0</v>
      </c>
      <c r="H1598" s="35">
        <v>46135.0</v>
      </c>
      <c r="I1598" s="2" t="s">
        <v>14</v>
      </c>
      <c r="J1598" s="12" t="s">
        <v>1257</v>
      </c>
    </row>
    <row r="1599" ht="22.5" hidden="1" customHeight="1">
      <c r="A1599" s="2" t="s">
        <v>1253</v>
      </c>
      <c r="B1599" s="2" t="s">
        <v>1254</v>
      </c>
      <c r="C1599" s="2" t="s">
        <v>1255</v>
      </c>
      <c r="D1599" s="8" t="s">
        <v>22</v>
      </c>
      <c r="E1599" s="9" t="s">
        <v>1258</v>
      </c>
      <c r="F1599" s="33">
        <v>1.0</v>
      </c>
      <c r="G1599" s="33">
        <v>1200.0</v>
      </c>
      <c r="H1599" s="35">
        <v>46135.0</v>
      </c>
      <c r="I1599" s="2" t="s">
        <v>14</v>
      </c>
      <c r="J1599" s="12" t="s">
        <v>1257</v>
      </c>
    </row>
    <row r="1600" ht="22.5" hidden="1" customHeight="1">
      <c r="A1600" s="2" t="s">
        <v>1253</v>
      </c>
      <c r="B1600" s="2" t="s">
        <v>1232</v>
      </c>
      <c r="C1600" s="2" t="s">
        <v>1233</v>
      </c>
      <c r="D1600" s="8" t="s">
        <v>46</v>
      </c>
      <c r="E1600" s="9" t="s">
        <v>13</v>
      </c>
      <c r="F1600" s="33">
        <v>1.0</v>
      </c>
      <c r="G1600" s="33">
        <v>1550.0</v>
      </c>
      <c r="H1600" s="35">
        <v>46135.0</v>
      </c>
      <c r="I1600" s="2" t="s">
        <v>14</v>
      </c>
      <c r="J1600" s="12" t="s">
        <v>1257</v>
      </c>
    </row>
    <row r="1601" ht="22.5" hidden="1" customHeight="1">
      <c r="A1601" s="2" t="s">
        <v>1259</v>
      </c>
      <c r="B1601" s="2" t="s">
        <v>1254</v>
      </c>
      <c r="C1601" s="2" t="s">
        <v>1255</v>
      </c>
      <c r="D1601" s="8" t="s">
        <v>75</v>
      </c>
      <c r="E1601" s="9" t="s">
        <v>1260</v>
      </c>
      <c r="F1601" s="33">
        <v>1.0</v>
      </c>
      <c r="G1601" s="33">
        <v>1200.0</v>
      </c>
      <c r="H1601" s="35">
        <v>46135.0</v>
      </c>
      <c r="I1601" s="2" t="s">
        <v>473</v>
      </c>
      <c r="J1601" s="12" t="s">
        <v>1261</v>
      </c>
    </row>
    <row r="1602" ht="22.5" hidden="1" customHeight="1">
      <c r="A1602" s="2" t="s">
        <v>244</v>
      </c>
      <c r="B1602" s="2" t="s">
        <v>1195</v>
      </c>
      <c r="C1602" s="2">
        <v>9031.0</v>
      </c>
      <c r="D1602" s="8" t="s">
        <v>22</v>
      </c>
      <c r="E1602" s="9" t="s">
        <v>13</v>
      </c>
      <c r="F1602" s="33">
        <v>1.0</v>
      </c>
      <c r="G1602" s="33">
        <v>1900.0</v>
      </c>
      <c r="H1602" s="35">
        <v>46135.0</v>
      </c>
      <c r="I1602" s="2" t="s">
        <v>14</v>
      </c>
      <c r="J1602" s="12" t="s">
        <v>1262</v>
      </c>
    </row>
    <row r="1603" ht="22.5" hidden="1" customHeight="1">
      <c r="A1603" s="2" t="s">
        <v>244</v>
      </c>
      <c r="B1603" s="2" t="s">
        <v>1232</v>
      </c>
      <c r="C1603" s="2" t="s">
        <v>1233</v>
      </c>
      <c r="D1603" s="8" t="s">
        <v>46</v>
      </c>
      <c r="E1603" s="9" t="s">
        <v>13</v>
      </c>
      <c r="F1603" s="33">
        <v>1.0</v>
      </c>
      <c r="G1603" s="33">
        <v>1550.0</v>
      </c>
      <c r="H1603" s="35">
        <v>46135.0</v>
      </c>
      <c r="I1603" s="2" t="s">
        <v>14</v>
      </c>
      <c r="J1603" s="12" t="s">
        <v>1262</v>
      </c>
    </row>
    <row r="1604" ht="22.5" hidden="1" customHeight="1">
      <c r="A1604" s="2" t="s">
        <v>1263</v>
      </c>
      <c r="B1604" s="2" t="s">
        <v>1199</v>
      </c>
      <c r="C1604" s="2" t="s">
        <v>1200</v>
      </c>
      <c r="D1604" s="8" t="s">
        <v>75</v>
      </c>
      <c r="E1604" s="9" t="s">
        <v>13</v>
      </c>
      <c r="F1604" s="33">
        <v>1.0</v>
      </c>
      <c r="G1604" s="33">
        <v>725.0</v>
      </c>
      <c r="H1604" s="35">
        <v>46135.0</v>
      </c>
      <c r="I1604" s="2" t="s">
        <v>14</v>
      </c>
      <c r="J1604" s="12" t="s">
        <v>1264</v>
      </c>
    </row>
    <row r="1605" ht="22.5" hidden="1" customHeight="1">
      <c r="A1605" s="2" t="s">
        <v>1263</v>
      </c>
      <c r="B1605" s="2" t="s">
        <v>1201</v>
      </c>
      <c r="C1605" s="2" t="s">
        <v>1202</v>
      </c>
      <c r="D1605" s="8" t="s">
        <v>75</v>
      </c>
      <c r="E1605" s="9" t="s">
        <v>13</v>
      </c>
      <c r="F1605" s="33">
        <v>1.0</v>
      </c>
      <c r="G1605" s="33">
        <v>725.0</v>
      </c>
      <c r="H1605" s="35">
        <v>46135.0</v>
      </c>
      <c r="I1605" s="2" t="s">
        <v>14</v>
      </c>
      <c r="J1605" s="12" t="s">
        <v>1264</v>
      </c>
    </row>
    <row r="1606" ht="22.5" hidden="1" customHeight="1">
      <c r="A1606" s="2" t="s">
        <v>1263</v>
      </c>
      <c r="B1606" s="2" t="s">
        <v>1184</v>
      </c>
      <c r="C1606" s="2" t="s">
        <v>1185</v>
      </c>
      <c r="D1606" s="8" t="s">
        <v>989</v>
      </c>
      <c r="E1606" s="9" t="s">
        <v>23</v>
      </c>
      <c r="F1606" s="33">
        <v>1.0</v>
      </c>
      <c r="G1606" s="33">
        <v>845.0</v>
      </c>
      <c r="H1606" s="35">
        <v>46135.0</v>
      </c>
      <c r="I1606" s="2" t="s">
        <v>14</v>
      </c>
      <c r="J1606" s="12" t="s">
        <v>1264</v>
      </c>
    </row>
    <row r="1607" ht="22.5" hidden="1" customHeight="1">
      <c r="A1607" s="2" t="s">
        <v>1263</v>
      </c>
      <c r="B1607" s="2" t="s">
        <v>1184</v>
      </c>
      <c r="C1607" s="2" t="s">
        <v>1185</v>
      </c>
      <c r="D1607" s="8" t="s">
        <v>989</v>
      </c>
      <c r="E1607" s="9" t="s">
        <v>18</v>
      </c>
      <c r="F1607" s="33">
        <v>1.0</v>
      </c>
      <c r="G1607" s="33">
        <v>845.0</v>
      </c>
      <c r="H1607" s="35">
        <v>46135.0</v>
      </c>
      <c r="I1607" s="2" t="s">
        <v>14</v>
      </c>
      <c r="J1607" s="12" t="s">
        <v>1264</v>
      </c>
    </row>
    <row r="1608" ht="22.5" hidden="1" customHeight="1">
      <c r="A1608" s="2" t="s">
        <v>79</v>
      </c>
      <c r="B1608" s="2" t="s">
        <v>1199</v>
      </c>
      <c r="C1608" s="2" t="s">
        <v>1200</v>
      </c>
      <c r="D1608" s="8" t="s">
        <v>12</v>
      </c>
      <c r="E1608" s="9" t="s">
        <v>13</v>
      </c>
      <c r="F1608" s="33">
        <v>1.0</v>
      </c>
      <c r="G1608" s="33">
        <v>725.0</v>
      </c>
      <c r="H1608" s="35">
        <v>46135.0</v>
      </c>
      <c r="I1608" s="2" t="s">
        <v>14</v>
      </c>
      <c r="J1608" s="12" t="s">
        <v>1265</v>
      </c>
    </row>
    <row r="1609" ht="22.5" hidden="1" customHeight="1">
      <c r="A1609" s="2" t="s">
        <v>79</v>
      </c>
      <c r="B1609" s="2" t="s">
        <v>1201</v>
      </c>
      <c r="C1609" s="2" t="s">
        <v>1202</v>
      </c>
      <c r="D1609" s="8" t="s">
        <v>12</v>
      </c>
      <c r="E1609" s="9" t="s">
        <v>13</v>
      </c>
      <c r="F1609" s="33">
        <v>1.0</v>
      </c>
      <c r="G1609" s="33">
        <v>725.0</v>
      </c>
      <c r="H1609" s="35">
        <v>46135.0</v>
      </c>
      <c r="I1609" s="2" t="s">
        <v>14</v>
      </c>
      <c r="J1609" s="12" t="s">
        <v>1265</v>
      </c>
    </row>
    <row r="1610" ht="22.5" hidden="1" customHeight="1">
      <c r="A1610" s="2" t="s">
        <v>974</v>
      </c>
      <c r="B1610" s="2" t="s">
        <v>1232</v>
      </c>
      <c r="C1610" s="2" t="s">
        <v>1233</v>
      </c>
      <c r="D1610" s="8" t="s">
        <v>46</v>
      </c>
      <c r="E1610" s="9" t="s">
        <v>13</v>
      </c>
      <c r="F1610" s="33">
        <v>1.0</v>
      </c>
      <c r="G1610" s="33">
        <v>1550.0</v>
      </c>
      <c r="H1610" s="35">
        <v>46135.0</v>
      </c>
      <c r="I1610" s="2" t="s">
        <v>14</v>
      </c>
      <c r="J1610" s="12" t="s">
        <v>975</v>
      </c>
    </row>
    <row r="1611" ht="22.5" hidden="1" customHeight="1">
      <c r="A1611" s="2" t="s">
        <v>609</v>
      </c>
      <c r="B1611" s="2" t="s">
        <v>1199</v>
      </c>
      <c r="C1611" s="2" t="s">
        <v>1200</v>
      </c>
      <c r="D1611" s="8" t="s">
        <v>75</v>
      </c>
      <c r="E1611" s="9" t="s">
        <v>18</v>
      </c>
      <c r="F1611" s="33">
        <v>1.0</v>
      </c>
      <c r="G1611" s="33">
        <v>725.0</v>
      </c>
      <c r="H1611" s="35">
        <v>46135.0</v>
      </c>
      <c r="I1611" s="2" t="s">
        <v>14</v>
      </c>
      <c r="J1611" s="12" t="s">
        <v>1266</v>
      </c>
    </row>
    <row r="1612" ht="22.5" hidden="1" customHeight="1">
      <c r="A1612" s="2" t="s">
        <v>609</v>
      </c>
      <c r="B1612" s="2" t="s">
        <v>1199</v>
      </c>
      <c r="C1612" s="2" t="s">
        <v>1200</v>
      </c>
      <c r="D1612" s="8" t="s">
        <v>75</v>
      </c>
      <c r="E1612" s="9" t="s">
        <v>47</v>
      </c>
      <c r="F1612" s="33">
        <v>1.0</v>
      </c>
      <c r="G1612" s="33">
        <v>725.0</v>
      </c>
      <c r="H1612" s="35">
        <v>46135.0</v>
      </c>
      <c r="I1612" s="2" t="s">
        <v>14</v>
      </c>
      <c r="J1612" s="12" t="s">
        <v>1266</v>
      </c>
    </row>
    <row r="1613" ht="22.5" hidden="1" customHeight="1">
      <c r="A1613" s="2" t="s">
        <v>997</v>
      </c>
      <c r="B1613" s="2" t="s">
        <v>1184</v>
      </c>
      <c r="C1613" s="2" t="s">
        <v>1185</v>
      </c>
      <c r="D1613" s="8" t="s">
        <v>75</v>
      </c>
      <c r="E1613" s="9" t="s">
        <v>58</v>
      </c>
      <c r="F1613" s="33">
        <v>1.0</v>
      </c>
      <c r="G1613" s="33">
        <v>845.0</v>
      </c>
      <c r="H1613" s="35">
        <v>46135.0</v>
      </c>
      <c r="I1613" s="2" t="s">
        <v>14</v>
      </c>
      <c r="J1613" s="12" t="s">
        <v>998</v>
      </c>
    </row>
    <row r="1614" ht="22.5" hidden="1" customHeight="1">
      <c r="A1614" s="2" t="s">
        <v>997</v>
      </c>
      <c r="B1614" s="2" t="s">
        <v>1184</v>
      </c>
      <c r="C1614" s="2" t="s">
        <v>1185</v>
      </c>
      <c r="D1614" s="8" t="s">
        <v>75</v>
      </c>
      <c r="E1614" s="9" t="s">
        <v>18</v>
      </c>
      <c r="F1614" s="33">
        <v>1.0</v>
      </c>
      <c r="G1614" s="33">
        <v>845.0</v>
      </c>
      <c r="H1614" s="35">
        <v>46135.0</v>
      </c>
      <c r="I1614" s="2" t="s">
        <v>14</v>
      </c>
      <c r="J1614" s="12" t="s">
        <v>998</v>
      </c>
    </row>
    <row r="1615" ht="22.5" hidden="1" customHeight="1">
      <c r="A1615" s="2" t="s">
        <v>526</v>
      </c>
      <c r="B1615" s="2" t="s">
        <v>1184</v>
      </c>
      <c r="C1615" s="2" t="s">
        <v>1185</v>
      </c>
      <c r="D1615" s="8" t="s">
        <v>1037</v>
      </c>
      <c r="E1615" s="9" t="s">
        <v>58</v>
      </c>
      <c r="F1615" s="33">
        <v>1.0</v>
      </c>
      <c r="G1615" s="33">
        <v>845.0</v>
      </c>
      <c r="H1615" s="35">
        <v>46135.0</v>
      </c>
      <c r="I1615" s="2" t="s">
        <v>14</v>
      </c>
      <c r="J1615" s="12" t="s">
        <v>527</v>
      </c>
    </row>
    <row r="1616" ht="22.5" hidden="1" customHeight="1">
      <c r="A1616" s="2" t="s">
        <v>526</v>
      </c>
      <c r="B1616" s="2" t="s">
        <v>1184</v>
      </c>
      <c r="C1616" s="2" t="s">
        <v>1185</v>
      </c>
      <c r="D1616" s="8" t="s">
        <v>1037</v>
      </c>
      <c r="E1616" s="9" t="s">
        <v>18</v>
      </c>
      <c r="F1616" s="33">
        <v>1.0</v>
      </c>
      <c r="G1616" s="33">
        <v>845.0</v>
      </c>
      <c r="H1616" s="35">
        <v>46135.0</v>
      </c>
      <c r="I1616" s="2" t="s">
        <v>14</v>
      </c>
      <c r="J1616" s="12" t="s">
        <v>527</v>
      </c>
    </row>
    <row r="1617" ht="22.5" hidden="1" customHeight="1">
      <c r="A1617" s="2" t="s">
        <v>37</v>
      </c>
      <c r="B1617" s="2" t="s">
        <v>1195</v>
      </c>
      <c r="C1617" s="2">
        <v>9031.0</v>
      </c>
      <c r="D1617" s="8" t="s">
        <v>12</v>
      </c>
      <c r="E1617" s="9" t="s">
        <v>13</v>
      </c>
      <c r="F1617" s="33">
        <v>1.0</v>
      </c>
      <c r="G1617" s="33">
        <v>1900.0</v>
      </c>
      <c r="H1617" s="35">
        <v>46135.0</v>
      </c>
      <c r="I1617" s="2" t="s">
        <v>14</v>
      </c>
      <c r="J1617" s="12" t="s">
        <v>506</v>
      </c>
    </row>
    <row r="1618" ht="22.5" hidden="1" customHeight="1">
      <c r="A1618" s="2" t="s">
        <v>291</v>
      </c>
      <c r="B1618" s="2" t="s">
        <v>1184</v>
      </c>
      <c r="C1618" s="2" t="s">
        <v>1185</v>
      </c>
      <c r="D1618" s="8" t="s">
        <v>75</v>
      </c>
      <c r="E1618" s="9" t="s">
        <v>23</v>
      </c>
      <c r="F1618" s="33">
        <v>1.0</v>
      </c>
      <c r="G1618" s="33">
        <v>845.0</v>
      </c>
      <c r="H1618" s="35">
        <v>46135.0</v>
      </c>
      <c r="I1618" s="2" t="s">
        <v>14</v>
      </c>
      <c r="J1618" s="12" t="s">
        <v>1267</v>
      </c>
    </row>
    <row r="1619" ht="22.5" hidden="1" customHeight="1">
      <c r="A1619" s="2" t="s">
        <v>291</v>
      </c>
      <c r="B1619" s="2" t="s">
        <v>1184</v>
      </c>
      <c r="C1619" s="2" t="s">
        <v>1185</v>
      </c>
      <c r="D1619" s="8" t="s">
        <v>75</v>
      </c>
      <c r="E1619" s="9" t="s">
        <v>18</v>
      </c>
      <c r="F1619" s="33">
        <v>1.0</v>
      </c>
      <c r="G1619" s="33">
        <v>845.0</v>
      </c>
      <c r="H1619" s="35">
        <v>46135.0</v>
      </c>
      <c r="I1619" s="2" t="s">
        <v>14</v>
      </c>
      <c r="J1619" s="12" t="s">
        <v>1267</v>
      </c>
    </row>
    <row r="1620" ht="22.5" hidden="1" customHeight="1">
      <c r="A1620" s="2" t="s">
        <v>1268</v>
      </c>
      <c r="B1620" s="2" t="s">
        <v>516</v>
      </c>
      <c r="C1620" s="2" t="s">
        <v>517</v>
      </c>
      <c r="D1620" s="8" t="s">
        <v>46</v>
      </c>
      <c r="E1620" s="9" t="s">
        <v>338</v>
      </c>
      <c r="F1620" s="33">
        <v>2.0</v>
      </c>
      <c r="G1620" s="33">
        <v>1390.0</v>
      </c>
      <c r="H1620" s="35">
        <v>46135.0</v>
      </c>
      <c r="I1620" s="2" t="s">
        <v>14</v>
      </c>
      <c r="J1620" s="12" t="s">
        <v>1269</v>
      </c>
    </row>
    <row r="1621" ht="22.5" hidden="1" customHeight="1">
      <c r="A1621" s="2" t="s">
        <v>609</v>
      </c>
      <c r="B1621" s="2" t="s">
        <v>1184</v>
      </c>
      <c r="C1621" s="2" t="s">
        <v>1185</v>
      </c>
      <c r="D1621" s="8" t="s">
        <v>75</v>
      </c>
      <c r="E1621" s="9" t="s">
        <v>23</v>
      </c>
      <c r="F1621" s="33">
        <v>1.0</v>
      </c>
      <c r="G1621" s="33">
        <v>845.0</v>
      </c>
      <c r="H1621" s="35">
        <v>46135.0</v>
      </c>
      <c r="I1621" s="2" t="s">
        <v>14</v>
      </c>
      <c r="J1621" s="12" t="s">
        <v>1266</v>
      </c>
    </row>
    <row r="1622" ht="22.5" hidden="1" customHeight="1">
      <c r="A1622" s="2" t="s">
        <v>609</v>
      </c>
      <c r="B1622" s="2" t="s">
        <v>1184</v>
      </c>
      <c r="C1622" s="2" t="s">
        <v>1185</v>
      </c>
      <c r="D1622" s="8" t="s">
        <v>75</v>
      </c>
      <c r="E1622" s="9" t="s">
        <v>18</v>
      </c>
      <c r="F1622" s="33">
        <v>1.0</v>
      </c>
      <c r="G1622" s="33">
        <v>845.0</v>
      </c>
      <c r="H1622" s="35">
        <v>46135.0</v>
      </c>
      <c r="I1622" s="2" t="s">
        <v>14</v>
      </c>
      <c r="J1622" s="12" t="s">
        <v>1266</v>
      </c>
    </row>
    <row r="1623" ht="22.5" hidden="1" customHeight="1">
      <c r="A1623" s="2" t="s">
        <v>266</v>
      </c>
      <c r="B1623" s="2" t="s">
        <v>440</v>
      </c>
      <c r="C1623" s="2" t="s">
        <v>441</v>
      </c>
      <c r="D1623" s="8" t="s">
        <v>46</v>
      </c>
      <c r="E1623" s="9" t="s">
        <v>26</v>
      </c>
      <c r="F1623" s="33">
        <v>2.0</v>
      </c>
      <c r="G1623" s="33">
        <v>1200.0</v>
      </c>
      <c r="H1623" s="35">
        <v>46135.0</v>
      </c>
      <c r="I1623" s="2" t="s">
        <v>14</v>
      </c>
      <c r="J1623" s="12" t="s">
        <v>982</v>
      </c>
    </row>
    <row r="1624" ht="22.5" hidden="1" customHeight="1">
      <c r="A1624" s="2" t="s">
        <v>266</v>
      </c>
      <c r="B1624" s="2" t="s">
        <v>961</v>
      </c>
      <c r="C1624" s="2">
        <v>6612.0</v>
      </c>
      <c r="D1624" s="8" t="s">
        <v>46</v>
      </c>
      <c r="E1624" s="9">
        <v>2.0</v>
      </c>
      <c r="F1624" s="33">
        <v>1.0</v>
      </c>
      <c r="G1624" s="33">
        <v>850.0</v>
      </c>
      <c r="H1624" s="35">
        <v>46135.0</v>
      </c>
      <c r="I1624" s="2" t="s">
        <v>14</v>
      </c>
      <c r="J1624" s="12" t="s">
        <v>982</v>
      </c>
    </row>
    <row r="1625" ht="22.5" hidden="1" customHeight="1">
      <c r="A1625" s="2" t="s">
        <v>266</v>
      </c>
      <c r="B1625" s="2" t="s">
        <v>961</v>
      </c>
      <c r="C1625" s="2">
        <v>6612.0</v>
      </c>
      <c r="D1625" s="8" t="s">
        <v>46</v>
      </c>
      <c r="E1625" s="9">
        <v>5.0</v>
      </c>
      <c r="F1625" s="33">
        <v>1.0</v>
      </c>
      <c r="G1625" s="33">
        <v>850.0</v>
      </c>
      <c r="H1625" s="35">
        <v>46135.0</v>
      </c>
      <c r="I1625" s="2" t="s">
        <v>14</v>
      </c>
      <c r="J1625" s="12" t="s">
        <v>982</v>
      </c>
    </row>
    <row r="1626" ht="22.5" hidden="1" customHeight="1">
      <c r="A1626" s="2" t="s">
        <v>275</v>
      </c>
      <c r="B1626" s="2" t="s">
        <v>1184</v>
      </c>
      <c r="C1626" s="2" t="s">
        <v>1185</v>
      </c>
      <c r="D1626" s="8" t="s">
        <v>1037</v>
      </c>
      <c r="E1626" s="9" t="s">
        <v>23</v>
      </c>
      <c r="F1626" s="33">
        <v>1.0</v>
      </c>
      <c r="G1626" s="33">
        <v>845.0</v>
      </c>
      <c r="H1626" s="35">
        <v>46135.0</v>
      </c>
      <c r="I1626" s="2" t="s">
        <v>14</v>
      </c>
      <c r="J1626" s="12" t="s">
        <v>1270</v>
      </c>
    </row>
    <row r="1627" ht="22.5" hidden="1" customHeight="1">
      <c r="A1627" s="2" t="s">
        <v>275</v>
      </c>
      <c r="B1627" s="2" t="s">
        <v>1184</v>
      </c>
      <c r="C1627" s="2" t="s">
        <v>1185</v>
      </c>
      <c r="D1627" s="8" t="s">
        <v>1037</v>
      </c>
      <c r="E1627" s="9" t="s">
        <v>18</v>
      </c>
      <c r="F1627" s="33">
        <v>1.0</v>
      </c>
      <c r="G1627" s="33">
        <v>845.0</v>
      </c>
      <c r="H1627" s="35">
        <v>46135.0</v>
      </c>
      <c r="I1627" s="2" t="s">
        <v>14</v>
      </c>
      <c r="J1627" s="12" t="s">
        <v>1270</v>
      </c>
    </row>
    <row r="1628" ht="22.5" hidden="1" customHeight="1">
      <c r="A1628" s="2" t="s">
        <v>1271</v>
      </c>
      <c r="B1628" s="2" t="s">
        <v>1184</v>
      </c>
      <c r="C1628" s="2" t="s">
        <v>1185</v>
      </c>
      <c r="D1628" s="8" t="s">
        <v>989</v>
      </c>
      <c r="E1628" s="9" t="s">
        <v>58</v>
      </c>
      <c r="F1628" s="33">
        <v>1.0</v>
      </c>
      <c r="G1628" s="33">
        <v>845.0</v>
      </c>
      <c r="H1628" s="35">
        <v>46135.0</v>
      </c>
      <c r="I1628" s="2" t="s">
        <v>14</v>
      </c>
      <c r="J1628" s="2"/>
    </row>
    <row r="1629" ht="22.5" hidden="1" customHeight="1">
      <c r="A1629" s="2" t="s">
        <v>1271</v>
      </c>
      <c r="B1629" s="2" t="s">
        <v>1184</v>
      </c>
      <c r="C1629" s="2" t="s">
        <v>1185</v>
      </c>
      <c r="D1629" s="8" t="s">
        <v>989</v>
      </c>
      <c r="E1629" s="9" t="s">
        <v>18</v>
      </c>
      <c r="F1629" s="33">
        <v>1.0</v>
      </c>
      <c r="G1629" s="33">
        <v>845.0</v>
      </c>
      <c r="H1629" s="35">
        <v>46135.0</v>
      </c>
      <c r="I1629" s="2" t="s">
        <v>14</v>
      </c>
      <c r="J1629" s="2"/>
    </row>
    <row r="1630" ht="22.5" hidden="1" customHeight="1">
      <c r="A1630" s="2" t="s">
        <v>1272</v>
      </c>
      <c r="B1630" s="2" t="s">
        <v>1184</v>
      </c>
      <c r="C1630" s="2" t="s">
        <v>1185</v>
      </c>
      <c r="D1630" s="8" t="s">
        <v>989</v>
      </c>
      <c r="E1630" s="9" t="s">
        <v>23</v>
      </c>
      <c r="F1630" s="33">
        <v>1.0</v>
      </c>
      <c r="G1630" s="33">
        <v>845.0</v>
      </c>
      <c r="H1630" s="35">
        <v>46135.0</v>
      </c>
      <c r="I1630" s="2" t="s">
        <v>14</v>
      </c>
      <c r="J1630" s="12" t="s">
        <v>1273</v>
      </c>
    </row>
    <row r="1631" ht="22.5" hidden="1" customHeight="1">
      <c r="A1631" s="2" t="s">
        <v>1272</v>
      </c>
      <c r="B1631" s="2" t="s">
        <v>1184</v>
      </c>
      <c r="C1631" s="2" t="s">
        <v>1185</v>
      </c>
      <c r="D1631" s="8" t="s">
        <v>989</v>
      </c>
      <c r="E1631" s="9" t="s">
        <v>18</v>
      </c>
      <c r="F1631" s="33">
        <v>1.0</v>
      </c>
      <c r="G1631" s="33">
        <v>845.0</v>
      </c>
      <c r="H1631" s="35">
        <v>46135.0</v>
      </c>
      <c r="I1631" s="2" t="s">
        <v>14</v>
      </c>
      <c r="J1631" s="12" t="s">
        <v>1273</v>
      </c>
    </row>
    <row r="1632" ht="22.5" hidden="1" customHeight="1">
      <c r="A1632" s="2" t="s">
        <v>1274</v>
      </c>
      <c r="B1632" s="2" t="s">
        <v>961</v>
      </c>
      <c r="C1632" s="2">
        <v>6612.0</v>
      </c>
      <c r="D1632" s="8" t="s">
        <v>46</v>
      </c>
      <c r="E1632" s="9">
        <v>2.0</v>
      </c>
      <c r="F1632" s="33">
        <v>1.0</v>
      </c>
      <c r="G1632" s="33">
        <v>850.0</v>
      </c>
      <c r="H1632" s="35">
        <v>46135.0</v>
      </c>
      <c r="I1632" s="2" t="s">
        <v>14</v>
      </c>
      <c r="J1632" s="12" t="s">
        <v>1275</v>
      </c>
    </row>
    <row r="1633" ht="22.5" hidden="1" customHeight="1">
      <c r="A1633" s="2" t="s">
        <v>1274</v>
      </c>
      <c r="B1633" s="2" t="s">
        <v>961</v>
      </c>
      <c r="C1633" s="2">
        <v>6612.0</v>
      </c>
      <c r="D1633" s="8" t="s">
        <v>46</v>
      </c>
      <c r="E1633" s="9">
        <v>3.0</v>
      </c>
      <c r="F1633" s="33">
        <v>1.0</v>
      </c>
      <c r="G1633" s="33">
        <v>850.0</v>
      </c>
      <c r="H1633" s="35">
        <v>46135.0</v>
      </c>
      <c r="I1633" s="2" t="s">
        <v>14</v>
      </c>
      <c r="J1633" s="12" t="s">
        <v>1275</v>
      </c>
    </row>
    <row r="1634" ht="22.5" hidden="1" customHeight="1">
      <c r="A1634" s="2" t="s">
        <v>849</v>
      </c>
      <c r="B1634" s="2" t="s">
        <v>1184</v>
      </c>
      <c r="C1634" s="2" t="s">
        <v>1185</v>
      </c>
      <c r="D1634" s="8" t="s">
        <v>1186</v>
      </c>
      <c r="E1634" s="9" t="s">
        <v>58</v>
      </c>
      <c r="F1634" s="33">
        <v>1.0</v>
      </c>
      <c r="G1634" s="33">
        <v>845.0</v>
      </c>
      <c r="H1634" s="35">
        <v>46135.0</v>
      </c>
      <c r="I1634" s="2" t="s">
        <v>14</v>
      </c>
      <c r="J1634" s="12" t="s">
        <v>1276</v>
      </c>
    </row>
    <row r="1635" ht="22.5" hidden="1" customHeight="1">
      <c r="A1635" s="2" t="s">
        <v>849</v>
      </c>
      <c r="B1635" s="2" t="s">
        <v>1184</v>
      </c>
      <c r="C1635" s="2" t="s">
        <v>1185</v>
      </c>
      <c r="D1635" s="8" t="s">
        <v>1186</v>
      </c>
      <c r="E1635" s="9" t="s">
        <v>18</v>
      </c>
      <c r="F1635" s="33">
        <v>1.0</v>
      </c>
      <c r="G1635" s="33">
        <v>845.0</v>
      </c>
      <c r="H1635" s="35">
        <v>46135.0</v>
      </c>
      <c r="I1635" s="2" t="s">
        <v>14</v>
      </c>
      <c r="J1635" s="12" t="s">
        <v>1276</v>
      </c>
    </row>
    <row r="1636" ht="22.5" hidden="1" customHeight="1">
      <c r="A1636" s="2" t="s">
        <v>1277</v>
      </c>
      <c r="B1636" s="2" t="s">
        <v>1184</v>
      </c>
      <c r="C1636" s="2" t="s">
        <v>1185</v>
      </c>
      <c r="D1636" s="8" t="s">
        <v>75</v>
      </c>
      <c r="E1636" s="9" t="s">
        <v>58</v>
      </c>
      <c r="F1636" s="33">
        <v>1.0</v>
      </c>
      <c r="G1636" s="33">
        <v>845.0</v>
      </c>
      <c r="H1636" s="35">
        <v>46135.0</v>
      </c>
      <c r="I1636" s="2" t="s">
        <v>14</v>
      </c>
      <c r="J1636" s="12" t="s">
        <v>1278</v>
      </c>
    </row>
    <row r="1637" ht="22.5" hidden="1" customHeight="1">
      <c r="A1637" s="2" t="s">
        <v>1277</v>
      </c>
      <c r="B1637" s="2" t="s">
        <v>1184</v>
      </c>
      <c r="C1637" s="2" t="s">
        <v>1185</v>
      </c>
      <c r="D1637" s="8" t="s">
        <v>75</v>
      </c>
      <c r="E1637" s="9" t="s">
        <v>18</v>
      </c>
      <c r="F1637" s="33">
        <v>1.0</v>
      </c>
      <c r="G1637" s="33">
        <v>845.0</v>
      </c>
      <c r="H1637" s="35">
        <v>46135.0</v>
      </c>
      <c r="I1637" s="2" t="s">
        <v>14</v>
      </c>
      <c r="J1637" s="12" t="s">
        <v>1278</v>
      </c>
    </row>
    <row r="1638" ht="22.5" hidden="1" customHeight="1">
      <c r="A1638" s="2" t="s">
        <v>332</v>
      </c>
      <c r="B1638" s="2" t="s">
        <v>440</v>
      </c>
      <c r="C1638" s="2" t="s">
        <v>441</v>
      </c>
      <c r="D1638" s="8" t="s">
        <v>46</v>
      </c>
      <c r="E1638" s="9" t="s">
        <v>447</v>
      </c>
      <c r="F1638" s="33">
        <v>1.0</v>
      </c>
      <c r="G1638" s="33">
        <v>1200.0</v>
      </c>
      <c r="H1638" s="35">
        <v>46135.0</v>
      </c>
      <c r="I1638" s="2" t="s">
        <v>14</v>
      </c>
      <c r="J1638" s="12" t="s">
        <v>500</v>
      </c>
    </row>
    <row r="1639" ht="22.5" hidden="1" customHeight="1">
      <c r="A1639" s="2" t="s">
        <v>63</v>
      </c>
      <c r="B1639" s="2" t="s">
        <v>963</v>
      </c>
      <c r="C1639" s="2">
        <v>8610.0</v>
      </c>
      <c r="D1639" s="8" t="s">
        <v>22</v>
      </c>
      <c r="E1639" s="9" t="s">
        <v>13</v>
      </c>
      <c r="F1639" s="33">
        <v>1.0</v>
      </c>
      <c r="G1639" s="33">
        <v>1190.0</v>
      </c>
      <c r="H1639" s="35">
        <v>46135.0</v>
      </c>
      <c r="I1639" s="2" t="s">
        <v>1183</v>
      </c>
      <c r="J1639" s="12" t="s">
        <v>1190</v>
      </c>
    </row>
    <row r="1640" ht="22.5" hidden="1" customHeight="1">
      <c r="A1640" s="2" t="s">
        <v>63</v>
      </c>
      <c r="B1640" s="2" t="s">
        <v>963</v>
      </c>
      <c r="C1640" s="2">
        <v>8610.0</v>
      </c>
      <c r="D1640" s="8" t="s">
        <v>22</v>
      </c>
      <c r="E1640" s="9" t="s">
        <v>58</v>
      </c>
      <c r="F1640" s="33">
        <v>1.0</v>
      </c>
      <c r="G1640" s="33">
        <v>1190.0</v>
      </c>
      <c r="H1640" s="35">
        <v>46135.0</v>
      </c>
      <c r="I1640" s="2" t="s">
        <v>1183</v>
      </c>
      <c r="J1640" s="12" t="s">
        <v>1190</v>
      </c>
    </row>
    <row r="1641" ht="22.5" hidden="1" customHeight="1">
      <c r="A1641" s="2" t="s">
        <v>1279</v>
      </c>
      <c r="B1641" s="2" t="s">
        <v>958</v>
      </c>
      <c r="C1641" s="2" t="s">
        <v>959</v>
      </c>
      <c r="D1641" s="8" t="s">
        <v>22</v>
      </c>
      <c r="E1641" s="9" t="s">
        <v>18</v>
      </c>
      <c r="F1641" s="33">
        <v>1.0</v>
      </c>
      <c r="G1641" s="33">
        <v>1800.0</v>
      </c>
      <c r="H1641" s="35">
        <v>46135.0</v>
      </c>
      <c r="I1641" s="2" t="s">
        <v>14</v>
      </c>
      <c r="J1641" s="12" t="s">
        <v>1280</v>
      </c>
    </row>
    <row r="1642" ht="22.5" hidden="1" customHeight="1">
      <c r="A1642" s="2" t="s">
        <v>1279</v>
      </c>
      <c r="B1642" s="2" t="s">
        <v>912</v>
      </c>
      <c r="C1642" s="2" t="s">
        <v>913</v>
      </c>
      <c r="D1642" s="8" t="s">
        <v>75</v>
      </c>
      <c r="E1642" s="9" t="s">
        <v>338</v>
      </c>
      <c r="F1642" s="33">
        <v>1.0</v>
      </c>
      <c r="G1642" s="33">
        <v>1650.0</v>
      </c>
      <c r="H1642" s="35">
        <v>46135.0</v>
      </c>
      <c r="I1642" s="2" t="s">
        <v>14</v>
      </c>
      <c r="J1642" s="12" t="s">
        <v>1280</v>
      </c>
    </row>
    <row r="1643" ht="22.5" hidden="1" customHeight="1">
      <c r="A1643" s="2" t="s">
        <v>1281</v>
      </c>
      <c r="B1643" s="2" t="s">
        <v>958</v>
      </c>
      <c r="C1643" s="2" t="s">
        <v>959</v>
      </c>
      <c r="D1643" s="8" t="s">
        <v>12</v>
      </c>
      <c r="E1643" s="9" t="s">
        <v>18</v>
      </c>
      <c r="F1643" s="33">
        <v>1.0</v>
      </c>
      <c r="G1643" s="33">
        <v>1800.0</v>
      </c>
      <c r="H1643" s="35">
        <v>46135.0</v>
      </c>
      <c r="I1643" s="2" t="s">
        <v>14</v>
      </c>
      <c r="J1643" s="12" t="s">
        <v>1282</v>
      </c>
    </row>
    <row r="1644" ht="22.5" hidden="1" customHeight="1">
      <c r="A1644" s="2" t="s">
        <v>144</v>
      </c>
      <c r="B1644" s="2" t="s">
        <v>1199</v>
      </c>
      <c r="C1644" s="2" t="s">
        <v>1200</v>
      </c>
      <c r="D1644" s="8" t="s">
        <v>989</v>
      </c>
      <c r="E1644" s="9" t="s">
        <v>47</v>
      </c>
      <c r="F1644" s="33">
        <v>1.0</v>
      </c>
      <c r="G1644" s="33">
        <v>725.0</v>
      </c>
      <c r="H1644" s="35">
        <v>46135.0</v>
      </c>
      <c r="I1644" s="2" t="s">
        <v>14</v>
      </c>
      <c r="J1644" s="12" t="s">
        <v>1038</v>
      </c>
    </row>
    <row r="1645" ht="22.5" hidden="1" customHeight="1">
      <c r="A1645" s="2" t="s">
        <v>144</v>
      </c>
      <c r="B1645" s="2" t="s">
        <v>1201</v>
      </c>
      <c r="C1645" s="2" t="s">
        <v>1202</v>
      </c>
      <c r="D1645" s="8" t="s">
        <v>989</v>
      </c>
      <c r="E1645" s="9" t="s">
        <v>47</v>
      </c>
      <c r="F1645" s="33">
        <v>1.0</v>
      </c>
      <c r="G1645" s="33">
        <v>725.0</v>
      </c>
      <c r="H1645" s="35">
        <v>46135.0</v>
      </c>
      <c r="I1645" s="2" t="s">
        <v>14</v>
      </c>
      <c r="J1645" s="12" t="s">
        <v>1038</v>
      </c>
    </row>
    <row r="1646" ht="22.5" hidden="1" customHeight="1">
      <c r="A1646" s="2" t="s">
        <v>1071</v>
      </c>
      <c r="B1646" s="2" t="s">
        <v>1203</v>
      </c>
      <c r="C1646" s="2" t="s">
        <v>1204</v>
      </c>
      <c r="D1646" s="8" t="s">
        <v>75</v>
      </c>
      <c r="E1646" s="9" t="s">
        <v>18</v>
      </c>
      <c r="F1646" s="33">
        <v>2.0</v>
      </c>
      <c r="G1646" s="33">
        <v>725.0</v>
      </c>
      <c r="H1646" s="35">
        <v>46135.0</v>
      </c>
      <c r="I1646" s="2" t="s">
        <v>14</v>
      </c>
      <c r="J1646" s="12" t="s">
        <v>1072</v>
      </c>
    </row>
    <row r="1647" ht="22.5" hidden="1" customHeight="1">
      <c r="A1647" s="2" t="s">
        <v>1071</v>
      </c>
      <c r="B1647" s="2" t="s">
        <v>1203</v>
      </c>
      <c r="C1647" s="2" t="s">
        <v>1204</v>
      </c>
      <c r="D1647" s="8" t="s">
        <v>75</v>
      </c>
      <c r="E1647" s="9" t="s">
        <v>47</v>
      </c>
      <c r="F1647" s="33">
        <v>2.0</v>
      </c>
      <c r="G1647" s="33">
        <v>725.0</v>
      </c>
      <c r="H1647" s="35">
        <v>46135.0</v>
      </c>
      <c r="I1647" s="2" t="s">
        <v>14</v>
      </c>
      <c r="J1647" s="12" t="s">
        <v>1072</v>
      </c>
    </row>
    <row r="1648" ht="22.5" hidden="1" customHeight="1">
      <c r="A1648" s="2" t="s">
        <v>736</v>
      </c>
      <c r="B1648" s="2" t="s">
        <v>1199</v>
      </c>
      <c r="C1648" s="2" t="s">
        <v>1200</v>
      </c>
      <c r="D1648" s="8" t="s">
        <v>12</v>
      </c>
      <c r="E1648" s="9" t="s">
        <v>47</v>
      </c>
      <c r="F1648" s="33">
        <v>2.0</v>
      </c>
      <c r="G1648" s="33">
        <v>725.0</v>
      </c>
      <c r="H1648" s="35">
        <v>46135.0</v>
      </c>
      <c r="I1648" s="2" t="s">
        <v>14</v>
      </c>
      <c r="J1648" s="12" t="s">
        <v>737</v>
      </c>
    </row>
    <row r="1649" ht="22.5" hidden="1" customHeight="1">
      <c r="A1649" s="2" t="s">
        <v>1283</v>
      </c>
      <c r="B1649" s="2" t="s">
        <v>1203</v>
      </c>
      <c r="C1649" s="2" t="s">
        <v>1204</v>
      </c>
      <c r="D1649" s="8" t="s">
        <v>75</v>
      </c>
      <c r="E1649" s="9" t="s">
        <v>27</v>
      </c>
      <c r="F1649" s="33">
        <v>1.0</v>
      </c>
      <c r="G1649" s="33">
        <v>725.0</v>
      </c>
      <c r="H1649" s="35">
        <v>46135.0</v>
      </c>
      <c r="I1649" s="2" t="s">
        <v>24</v>
      </c>
      <c r="J1649" s="12" t="s">
        <v>1284</v>
      </c>
    </row>
    <row r="1650" ht="22.5" hidden="1" customHeight="1">
      <c r="A1650" s="2" t="s">
        <v>1283</v>
      </c>
      <c r="B1650" s="2" t="s">
        <v>1203</v>
      </c>
      <c r="C1650" s="2" t="s">
        <v>1204</v>
      </c>
      <c r="D1650" s="8" t="s">
        <v>75</v>
      </c>
      <c r="E1650" s="9" t="s">
        <v>47</v>
      </c>
      <c r="F1650" s="33">
        <v>1.0</v>
      </c>
      <c r="G1650" s="33">
        <v>725.0</v>
      </c>
      <c r="H1650" s="35">
        <v>46135.0</v>
      </c>
      <c r="I1650" s="2" t="s">
        <v>14</v>
      </c>
      <c r="J1650" s="12" t="s">
        <v>1284</v>
      </c>
    </row>
    <row r="1651" ht="22.5" hidden="1" customHeight="1">
      <c r="A1651" s="2" t="s">
        <v>1285</v>
      </c>
      <c r="B1651" s="2" t="s">
        <v>1203</v>
      </c>
      <c r="C1651" s="2" t="s">
        <v>1204</v>
      </c>
      <c r="D1651" s="8" t="s">
        <v>12</v>
      </c>
      <c r="E1651" s="9" t="s">
        <v>18</v>
      </c>
      <c r="F1651" s="33">
        <v>1.0</v>
      </c>
      <c r="G1651" s="33">
        <v>725.0</v>
      </c>
      <c r="H1651" s="35">
        <v>46135.0</v>
      </c>
      <c r="I1651" s="2" t="s">
        <v>14</v>
      </c>
      <c r="J1651" s="12" t="s">
        <v>1286</v>
      </c>
    </row>
    <row r="1652" ht="22.5" hidden="1" customHeight="1">
      <c r="A1652" s="2" t="s">
        <v>1285</v>
      </c>
      <c r="B1652" s="2" t="s">
        <v>1203</v>
      </c>
      <c r="C1652" s="2" t="s">
        <v>1204</v>
      </c>
      <c r="D1652" s="8" t="s">
        <v>12</v>
      </c>
      <c r="E1652" s="9" t="s">
        <v>13</v>
      </c>
      <c r="F1652" s="33">
        <v>1.0</v>
      </c>
      <c r="G1652" s="33">
        <v>725.0</v>
      </c>
      <c r="H1652" s="35">
        <v>46135.0</v>
      </c>
      <c r="I1652" s="2" t="s">
        <v>14</v>
      </c>
      <c r="J1652" s="12" t="s">
        <v>1286</v>
      </c>
    </row>
    <row r="1653" ht="22.5" hidden="1" customHeight="1">
      <c r="A1653" s="2" t="s">
        <v>1287</v>
      </c>
      <c r="B1653" s="2" t="s">
        <v>1199</v>
      </c>
      <c r="C1653" s="2" t="s">
        <v>1200</v>
      </c>
      <c r="D1653" s="8" t="s">
        <v>22</v>
      </c>
      <c r="E1653" s="9" t="s">
        <v>47</v>
      </c>
      <c r="F1653" s="33">
        <v>2.0</v>
      </c>
      <c r="G1653" s="33">
        <v>725.0</v>
      </c>
      <c r="H1653" s="35">
        <v>46135.0</v>
      </c>
      <c r="I1653" s="2" t="s">
        <v>14</v>
      </c>
      <c r="J1653" s="12" t="s">
        <v>1288</v>
      </c>
    </row>
    <row r="1654" ht="22.5" hidden="1" customHeight="1">
      <c r="A1654" s="2" t="s">
        <v>1289</v>
      </c>
      <c r="B1654" s="2" t="s">
        <v>1201</v>
      </c>
      <c r="C1654" s="2" t="s">
        <v>1202</v>
      </c>
      <c r="D1654" s="8" t="s">
        <v>75</v>
      </c>
      <c r="E1654" s="9" t="s">
        <v>18</v>
      </c>
      <c r="F1654" s="33">
        <v>1.0</v>
      </c>
      <c r="G1654" s="33">
        <v>725.0</v>
      </c>
      <c r="H1654" s="35">
        <v>46135.0</v>
      </c>
      <c r="I1654" s="2" t="s">
        <v>14</v>
      </c>
      <c r="J1654" s="12" t="s">
        <v>1290</v>
      </c>
    </row>
    <row r="1655" ht="22.5" hidden="1" customHeight="1">
      <c r="A1655" s="2" t="s">
        <v>1289</v>
      </c>
      <c r="B1655" s="2" t="s">
        <v>1201</v>
      </c>
      <c r="C1655" s="2" t="s">
        <v>1202</v>
      </c>
      <c r="D1655" s="8" t="s">
        <v>75</v>
      </c>
      <c r="E1655" s="9" t="s">
        <v>47</v>
      </c>
      <c r="F1655" s="33">
        <v>1.0</v>
      </c>
      <c r="G1655" s="33">
        <v>725.0</v>
      </c>
      <c r="H1655" s="35">
        <v>46135.0</v>
      </c>
      <c r="I1655" s="2" t="s">
        <v>14</v>
      </c>
      <c r="J1655" s="12" t="s">
        <v>1290</v>
      </c>
    </row>
    <row r="1656" ht="22.5" hidden="1" customHeight="1">
      <c r="A1656" s="2" t="s">
        <v>1289</v>
      </c>
      <c r="B1656" s="2" t="s">
        <v>1199</v>
      </c>
      <c r="C1656" s="2" t="s">
        <v>1200</v>
      </c>
      <c r="D1656" s="8" t="s">
        <v>75</v>
      </c>
      <c r="E1656" s="9" t="s">
        <v>47</v>
      </c>
      <c r="F1656" s="33">
        <v>2.0</v>
      </c>
      <c r="G1656" s="33">
        <v>725.0</v>
      </c>
      <c r="H1656" s="35">
        <v>46135.0</v>
      </c>
      <c r="I1656" s="2" t="s">
        <v>14</v>
      </c>
      <c r="J1656" s="12" t="s">
        <v>1290</v>
      </c>
    </row>
    <row r="1657" ht="22.5" hidden="1" customHeight="1">
      <c r="A1657" s="2" t="s">
        <v>1291</v>
      </c>
      <c r="B1657" s="2" t="s">
        <v>1199</v>
      </c>
      <c r="C1657" s="2" t="s">
        <v>1200</v>
      </c>
      <c r="D1657" s="8" t="s">
        <v>22</v>
      </c>
      <c r="E1657" s="9" t="s">
        <v>18</v>
      </c>
      <c r="F1657" s="33">
        <v>1.0</v>
      </c>
      <c r="G1657" s="33">
        <v>725.0</v>
      </c>
      <c r="H1657" s="35">
        <v>46135.0</v>
      </c>
      <c r="I1657" s="2" t="s">
        <v>14</v>
      </c>
      <c r="J1657" s="12" t="s">
        <v>1292</v>
      </c>
    </row>
    <row r="1658" ht="22.5" hidden="1" customHeight="1">
      <c r="A1658" s="2" t="s">
        <v>1291</v>
      </c>
      <c r="B1658" s="2" t="s">
        <v>1199</v>
      </c>
      <c r="C1658" s="2" t="s">
        <v>1200</v>
      </c>
      <c r="D1658" s="8" t="s">
        <v>22</v>
      </c>
      <c r="E1658" s="9" t="s">
        <v>47</v>
      </c>
      <c r="F1658" s="33">
        <v>1.0</v>
      </c>
      <c r="G1658" s="33">
        <v>725.0</v>
      </c>
      <c r="H1658" s="35">
        <v>46135.0</v>
      </c>
      <c r="I1658" s="2" t="s">
        <v>14</v>
      </c>
      <c r="J1658" s="12" t="s">
        <v>1292</v>
      </c>
    </row>
    <row r="1659" ht="22.5" hidden="1" customHeight="1">
      <c r="A1659" s="2" t="s">
        <v>793</v>
      </c>
      <c r="B1659" s="2" t="s">
        <v>1293</v>
      </c>
      <c r="C1659" s="2" t="s">
        <v>1294</v>
      </c>
      <c r="D1659" s="8">
        <v>36.0</v>
      </c>
      <c r="E1659" s="9" t="s">
        <v>26</v>
      </c>
      <c r="F1659" s="33">
        <v>1.0</v>
      </c>
      <c r="G1659" s="33">
        <v>2900.0</v>
      </c>
      <c r="H1659" s="35">
        <v>46135.0</v>
      </c>
      <c r="I1659" s="2" t="s">
        <v>24</v>
      </c>
      <c r="J1659" s="12" t="s">
        <v>1198</v>
      </c>
    </row>
    <row r="1660" ht="22.5" hidden="1" customHeight="1">
      <c r="A1660" s="2" t="s">
        <v>793</v>
      </c>
      <c r="B1660" s="2" t="s">
        <v>1201</v>
      </c>
      <c r="C1660" s="2" t="s">
        <v>1202</v>
      </c>
      <c r="D1660" s="8" t="s">
        <v>75</v>
      </c>
      <c r="E1660" s="9" t="s">
        <v>18</v>
      </c>
      <c r="F1660" s="33">
        <v>1.0</v>
      </c>
      <c r="G1660" s="33">
        <v>725.0</v>
      </c>
      <c r="H1660" s="35">
        <v>46135.0</v>
      </c>
      <c r="I1660" s="2" t="s">
        <v>14</v>
      </c>
      <c r="J1660" s="12" t="s">
        <v>1198</v>
      </c>
    </row>
    <row r="1661" ht="22.5" hidden="1" customHeight="1">
      <c r="A1661" s="2" t="s">
        <v>793</v>
      </c>
      <c r="B1661" s="2" t="s">
        <v>1201</v>
      </c>
      <c r="C1661" s="2" t="s">
        <v>1202</v>
      </c>
      <c r="D1661" s="8" t="s">
        <v>75</v>
      </c>
      <c r="E1661" s="9" t="s">
        <v>47</v>
      </c>
      <c r="F1661" s="33">
        <v>1.0</v>
      </c>
      <c r="G1661" s="33">
        <v>725.0</v>
      </c>
      <c r="H1661" s="35">
        <v>46135.0</v>
      </c>
      <c r="I1661" s="2" t="s">
        <v>14</v>
      </c>
      <c r="J1661" s="12" t="s">
        <v>1198</v>
      </c>
    </row>
    <row r="1662" ht="22.5" hidden="1" customHeight="1">
      <c r="A1662" s="2" t="s">
        <v>200</v>
      </c>
      <c r="B1662" s="2" t="s">
        <v>961</v>
      </c>
      <c r="C1662" s="2">
        <v>6612.0</v>
      </c>
      <c r="D1662" s="8" t="s">
        <v>46</v>
      </c>
      <c r="E1662" s="9">
        <v>5.0</v>
      </c>
      <c r="F1662" s="33">
        <v>1.0</v>
      </c>
      <c r="G1662" s="33">
        <v>850.0</v>
      </c>
      <c r="H1662" s="35">
        <v>46135.0</v>
      </c>
      <c r="I1662" s="2" t="s">
        <v>14</v>
      </c>
      <c r="J1662" s="12" t="s">
        <v>1295</v>
      </c>
    </row>
    <row r="1663" ht="22.5" hidden="1" customHeight="1">
      <c r="A1663" s="2" t="s">
        <v>200</v>
      </c>
      <c r="B1663" s="2" t="s">
        <v>961</v>
      </c>
      <c r="C1663" s="2">
        <v>6612.0</v>
      </c>
      <c r="D1663" s="8" t="s">
        <v>46</v>
      </c>
      <c r="E1663" s="9">
        <v>9.0</v>
      </c>
      <c r="F1663" s="33">
        <v>1.0</v>
      </c>
      <c r="G1663" s="33">
        <v>850.0</v>
      </c>
      <c r="H1663" s="35">
        <v>46135.0</v>
      </c>
      <c r="I1663" s="2" t="s">
        <v>14</v>
      </c>
      <c r="J1663" s="12" t="s">
        <v>1295</v>
      </c>
    </row>
    <row r="1664" ht="22.5" hidden="1" customHeight="1">
      <c r="A1664" s="2" t="s">
        <v>200</v>
      </c>
      <c r="B1664" s="2" t="s">
        <v>377</v>
      </c>
      <c r="C1664" s="2" t="s">
        <v>378</v>
      </c>
      <c r="D1664" s="8" t="s">
        <v>46</v>
      </c>
      <c r="E1664" s="9" t="s">
        <v>18</v>
      </c>
      <c r="F1664" s="33">
        <v>1.0</v>
      </c>
      <c r="G1664" s="33">
        <v>750.0</v>
      </c>
      <c r="H1664" s="35">
        <v>46135.0</v>
      </c>
      <c r="I1664" s="2" t="s">
        <v>14</v>
      </c>
      <c r="J1664" s="12" t="s">
        <v>1295</v>
      </c>
    </row>
    <row r="1665" ht="22.5" hidden="1" customHeight="1">
      <c r="A1665" s="2" t="s">
        <v>200</v>
      </c>
      <c r="B1665" s="2" t="s">
        <v>377</v>
      </c>
      <c r="C1665" s="2" t="s">
        <v>378</v>
      </c>
      <c r="D1665" s="8" t="s">
        <v>46</v>
      </c>
      <c r="E1665" s="9" t="s">
        <v>13</v>
      </c>
      <c r="F1665" s="33">
        <v>1.0</v>
      </c>
      <c r="G1665" s="33">
        <v>750.0</v>
      </c>
      <c r="H1665" s="35">
        <v>46135.0</v>
      </c>
      <c r="I1665" s="2" t="s">
        <v>14</v>
      </c>
      <c r="J1665" s="12" t="s">
        <v>1295</v>
      </c>
    </row>
    <row r="1666" ht="22.5" hidden="1" customHeight="1">
      <c r="A1666" s="2" t="s">
        <v>1296</v>
      </c>
      <c r="B1666" s="2" t="s">
        <v>1203</v>
      </c>
      <c r="C1666" s="2" t="s">
        <v>1204</v>
      </c>
      <c r="D1666" s="8" t="s">
        <v>75</v>
      </c>
      <c r="E1666" s="9" t="s">
        <v>47</v>
      </c>
      <c r="F1666" s="33">
        <v>1.0</v>
      </c>
      <c r="G1666" s="33">
        <v>725.0</v>
      </c>
      <c r="H1666" s="35">
        <v>46135.0</v>
      </c>
      <c r="I1666" s="2" t="s">
        <v>14</v>
      </c>
      <c r="J1666" s="12" t="s">
        <v>1297</v>
      </c>
    </row>
    <row r="1667" ht="22.5" hidden="1" customHeight="1">
      <c r="A1667" s="2" t="s">
        <v>1296</v>
      </c>
      <c r="B1667" s="2" t="s">
        <v>1203</v>
      </c>
      <c r="C1667" s="2" t="s">
        <v>1204</v>
      </c>
      <c r="D1667" s="8" t="s">
        <v>75</v>
      </c>
      <c r="E1667" s="9" t="s">
        <v>18</v>
      </c>
      <c r="F1667" s="33">
        <v>1.0</v>
      </c>
      <c r="G1667" s="33">
        <v>725.0</v>
      </c>
      <c r="H1667" s="35">
        <v>46135.0</v>
      </c>
      <c r="I1667" s="2" t="s">
        <v>14</v>
      </c>
      <c r="J1667" s="12" t="s">
        <v>1297</v>
      </c>
    </row>
    <row r="1668" ht="22.5" hidden="1" customHeight="1">
      <c r="A1668" s="2" t="s">
        <v>1298</v>
      </c>
      <c r="B1668" s="2" t="s">
        <v>1199</v>
      </c>
      <c r="C1668" s="2" t="s">
        <v>1200</v>
      </c>
      <c r="D1668" s="8" t="s">
        <v>22</v>
      </c>
      <c r="E1668" s="9" t="s">
        <v>47</v>
      </c>
      <c r="F1668" s="33">
        <v>2.0</v>
      </c>
      <c r="G1668" s="33">
        <v>725.0</v>
      </c>
      <c r="H1668" s="35">
        <v>46135.0</v>
      </c>
      <c r="I1668" s="2" t="s">
        <v>14</v>
      </c>
      <c r="J1668" s="12" t="s">
        <v>1299</v>
      </c>
    </row>
    <row r="1669" ht="22.5" hidden="1" customHeight="1">
      <c r="A1669" s="2" t="s">
        <v>50</v>
      </c>
      <c r="B1669" s="2" t="s">
        <v>1184</v>
      </c>
      <c r="C1669" s="2" t="s">
        <v>1185</v>
      </c>
      <c r="D1669" s="8" t="s">
        <v>22</v>
      </c>
      <c r="E1669" s="9" t="s">
        <v>23</v>
      </c>
      <c r="F1669" s="33">
        <v>1.0</v>
      </c>
      <c r="G1669" s="33">
        <v>845.0</v>
      </c>
      <c r="H1669" s="35">
        <v>46135.0</v>
      </c>
      <c r="I1669" s="2" t="s">
        <v>14</v>
      </c>
      <c r="J1669" s="12" t="s">
        <v>1300</v>
      </c>
    </row>
    <row r="1670" ht="22.5" hidden="1" customHeight="1">
      <c r="A1670" s="2" t="s">
        <v>50</v>
      </c>
      <c r="B1670" s="2" t="s">
        <v>1184</v>
      </c>
      <c r="C1670" s="2" t="s">
        <v>1185</v>
      </c>
      <c r="D1670" s="8" t="s">
        <v>22</v>
      </c>
      <c r="E1670" s="9" t="s">
        <v>18</v>
      </c>
      <c r="F1670" s="33">
        <v>1.0</v>
      </c>
      <c r="G1670" s="33">
        <v>845.0</v>
      </c>
      <c r="H1670" s="35">
        <v>46135.0</v>
      </c>
      <c r="I1670" s="2" t="s">
        <v>14</v>
      </c>
      <c r="J1670" s="12" t="s">
        <v>1300</v>
      </c>
    </row>
    <row r="1671" ht="22.5" hidden="1" customHeight="1">
      <c r="A1671" s="2" t="s">
        <v>50</v>
      </c>
      <c r="B1671" s="2" t="s">
        <v>1212</v>
      </c>
      <c r="C1671" s="2">
        <v>92212.0</v>
      </c>
      <c r="D1671" s="8" t="s">
        <v>46</v>
      </c>
      <c r="E1671" s="9" t="s">
        <v>16</v>
      </c>
      <c r="F1671" s="33">
        <v>1.0</v>
      </c>
      <c r="G1671" s="33">
        <v>1700.0</v>
      </c>
      <c r="H1671" s="35">
        <v>46135.0</v>
      </c>
      <c r="I1671" s="2" t="s">
        <v>14</v>
      </c>
      <c r="J1671" s="12" t="s">
        <v>1300</v>
      </c>
    </row>
    <row r="1672" ht="22.5" hidden="1" customHeight="1">
      <c r="A1672" s="2" t="s">
        <v>1301</v>
      </c>
      <c r="B1672" s="2" t="s">
        <v>1232</v>
      </c>
      <c r="C1672" s="2" t="s">
        <v>1233</v>
      </c>
      <c r="D1672" s="8" t="s">
        <v>46</v>
      </c>
      <c r="E1672" s="9" t="s">
        <v>13</v>
      </c>
      <c r="F1672" s="33">
        <v>1.0</v>
      </c>
      <c r="G1672" s="33">
        <v>1550.0</v>
      </c>
      <c r="H1672" s="35">
        <v>46135.0</v>
      </c>
      <c r="I1672" s="2" t="s">
        <v>473</v>
      </c>
      <c r="J1672" s="12" t="s">
        <v>1302</v>
      </c>
    </row>
    <row r="1673" ht="22.5" hidden="1" customHeight="1">
      <c r="A1673" s="2" t="s">
        <v>1301</v>
      </c>
      <c r="B1673" s="2" t="s">
        <v>1199</v>
      </c>
      <c r="C1673" s="2" t="s">
        <v>1200</v>
      </c>
      <c r="D1673" s="8" t="s">
        <v>75</v>
      </c>
      <c r="E1673" s="9" t="s">
        <v>18</v>
      </c>
      <c r="F1673" s="33">
        <v>1.0</v>
      </c>
      <c r="G1673" s="33">
        <v>725.0</v>
      </c>
      <c r="H1673" s="35">
        <v>46135.0</v>
      </c>
      <c r="I1673" s="2" t="s">
        <v>473</v>
      </c>
      <c r="J1673" s="12" t="s">
        <v>1302</v>
      </c>
    </row>
    <row r="1674" ht="22.5" hidden="1" customHeight="1">
      <c r="A1674" s="2" t="s">
        <v>1301</v>
      </c>
      <c r="B1674" s="2" t="s">
        <v>1199</v>
      </c>
      <c r="C1674" s="2" t="s">
        <v>1200</v>
      </c>
      <c r="D1674" s="8" t="s">
        <v>75</v>
      </c>
      <c r="E1674" s="9" t="s">
        <v>47</v>
      </c>
      <c r="F1674" s="33">
        <v>1.0</v>
      </c>
      <c r="G1674" s="33">
        <v>725.0</v>
      </c>
      <c r="H1674" s="35">
        <v>46135.0</v>
      </c>
      <c r="I1674" s="2" t="s">
        <v>473</v>
      </c>
      <c r="J1674" s="12" t="s">
        <v>1302</v>
      </c>
    </row>
    <row r="1675" ht="22.5" hidden="1" customHeight="1">
      <c r="A1675" s="2" t="s">
        <v>1301</v>
      </c>
      <c r="B1675" s="2" t="s">
        <v>1207</v>
      </c>
      <c r="C1675" s="2">
        <v>5007.0</v>
      </c>
      <c r="D1675" s="8" t="s">
        <v>22</v>
      </c>
      <c r="E1675" s="9" t="s">
        <v>13</v>
      </c>
      <c r="F1675" s="33">
        <v>1.0</v>
      </c>
      <c r="G1675" s="33">
        <v>1800.0</v>
      </c>
      <c r="H1675" s="35">
        <v>46135.0</v>
      </c>
      <c r="I1675" s="2" t="s">
        <v>1183</v>
      </c>
      <c r="J1675" s="12" t="s">
        <v>1302</v>
      </c>
    </row>
    <row r="1676" ht="22.5" hidden="1" customHeight="1">
      <c r="A1676" s="2" t="s">
        <v>1301</v>
      </c>
      <c r="B1676" s="2" t="s">
        <v>915</v>
      </c>
      <c r="C1676" s="2" t="s">
        <v>916</v>
      </c>
      <c r="D1676" s="8">
        <v>38.0</v>
      </c>
      <c r="E1676" s="9" t="s">
        <v>18</v>
      </c>
      <c r="F1676" s="33">
        <v>1.0</v>
      </c>
      <c r="G1676" s="33">
        <v>1950.0</v>
      </c>
      <c r="H1676" s="35">
        <v>46135.0</v>
      </c>
      <c r="I1676" s="2" t="s">
        <v>473</v>
      </c>
      <c r="J1676" s="12" t="s">
        <v>1302</v>
      </c>
    </row>
    <row r="1677" ht="22.5" hidden="1" customHeight="1">
      <c r="A1677" s="2" t="s">
        <v>1303</v>
      </c>
      <c r="B1677" s="2" t="s">
        <v>1201</v>
      </c>
      <c r="C1677" s="2" t="s">
        <v>1202</v>
      </c>
      <c r="D1677" s="8" t="s">
        <v>22</v>
      </c>
      <c r="E1677" s="9" t="s">
        <v>18</v>
      </c>
      <c r="F1677" s="33">
        <v>1.0</v>
      </c>
      <c r="G1677" s="33">
        <v>725.0</v>
      </c>
      <c r="H1677" s="35">
        <v>46135.0</v>
      </c>
      <c r="I1677" s="2" t="s">
        <v>14</v>
      </c>
      <c r="J1677" s="12" t="s">
        <v>1304</v>
      </c>
    </row>
    <row r="1678" ht="22.5" hidden="1" customHeight="1">
      <c r="A1678" s="2" t="s">
        <v>1303</v>
      </c>
      <c r="B1678" s="2" t="s">
        <v>1201</v>
      </c>
      <c r="C1678" s="2" t="s">
        <v>1202</v>
      </c>
      <c r="D1678" s="8" t="s">
        <v>22</v>
      </c>
      <c r="E1678" s="9" t="s">
        <v>47</v>
      </c>
      <c r="F1678" s="33">
        <v>1.0</v>
      </c>
      <c r="G1678" s="33">
        <v>725.0</v>
      </c>
      <c r="H1678" s="35">
        <v>46135.0</v>
      </c>
      <c r="I1678" s="2" t="s">
        <v>14</v>
      </c>
      <c r="J1678" s="12" t="s">
        <v>1304</v>
      </c>
    </row>
    <row r="1679" ht="22.5" hidden="1" customHeight="1">
      <c r="A1679" s="2" t="s">
        <v>1303</v>
      </c>
      <c r="B1679" s="2" t="s">
        <v>1199</v>
      </c>
      <c r="C1679" s="2" t="s">
        <v>1200</v>
      </c>
      <c r="D1679" s="8" t="s">
        <v>22</v>
      </c>
      <c r="E1679" s="9" t="s">
        <v>18</v>
      </c>
      <c r="F1679" s="33">
        <v>1.0</v>
      </c>
      <c r="G1679" s="33">
        <v>725.0</v>
      </c>
      <c r="H1679" s="35">
        <v>46135.0</v>
      </c>
      <c r="I1679" s="2" t="s">
        <v>14</v>
      </c>
      <c r="J1679" s="12" t="s">
        <v>1304</v>
      </c>
    </row>
    <row r="1680" ht="22.5" hidden="1" customHeight="1">
      <c r="A1680" s="2" t="s">
        <v>1303</v>
      </c>
      <c r="B1680" s="2" t="s">
        <v>1199</v>
      </c>
      <c r="C1680" s="2" t="s">
        <v>1200</v>
      </c>
      <c r="D1680" s="8" t="s">
        <v>22</v>
      </c>
      <c r="E1680" s="9" t="s">
        <v>47</v>
      </c>
      <c r="F1680" s="33">
        <v>1.0</v>
      </c>
      <c r="G1680" s="33">
        <v>725.0</v>
      </c>
      <c r="H1680" s="35">
        <v>46135.0</v>
      </c>
      <c r="I1680" s="2" t="s">
        <v>14</v>
      </c>
      <c r="J1680" s="12" t="s">
        <v>1304</v>
      </c>
    </row>
    <row r="1681" ht="22.5" hidden="1" customHeight="1">
      <c r="A1681" s="2" t="s">
        <v>1303</v>
      </c>
      <c r="B1681" s="2" t="s">
        <v>1184</v>
      </c>
      <c r="C1681" s="2" t="s">
        <v>1185</v>
      </c>
      <c r="D1681" s="8" t="s">
        <v>989</v>
      </c>
      <c r="E1681" s="9" t="s">
        <v>23</v>
      </c>
      <c r="F1681" s="33">
        <v>1.0</v>
      </c>
      <c r="G1681" s="33">
        <v>845.0</v>
      </c>
      <c r="H1681" s="35">
        <v>46135.0</v>
      </c>
      <c r="I1681" s="2" t="s">
        <v>14</v>
      </c>
      <c r="J1681" s="12" t="s">
        <v>1304</v>
      </c>
    </row>
    <row r="1682" ht="22.5" hidden="1" customHeight="1">
      <c r="A1682" s="2" t="s">
        <v>1303</v>
      </c>
      <c r="B1682" s="2" t="s">
        <v>1184</v>
      </c>
      <c r="C1682" s="2" t="s">
        <v>1185</v>
      </c>
      <c r="D1682" s="8" t="s">
        <v>989</v>
      </c>
      <c r="E1682" s="9" t="s">
        <v>18</v>
      </c>
      <c r="F1682" s="33">
        <v>1.0</v>
      </c>
      <c r="G1682" s="33">
        <v>845.0</v>
      </c>
      <c r="H1682" s="35">
        <v>46135.0</v>
      </c>
      <c r="I1682" s="2" t="s">
        <v>14</v>
      </c>
      <c r="J1682" s="12" t="s">
        <v>1304</v>
      </c>
    </row>
    <row r="1683" ht="22.5" hidden="1" customHeight="1">
      <c r="A1683" s="2" t="s">
        <v>1303</v>
      </c>
      <c r="B1683" s="2" t="s">
        <v>961</v>
      </c>
      <c r="C1683" s="2">
        <v>6612.0</v>
      </c>
      <c r="D1683" s="8" t="s">
        <v>46</v>
      </c>
      <c r="E1683" s="9">
        <v>5.0</v>
      </c>
      <c r="F1683" s="33">
        <v>1.0</v>
      </c>
      <c r="G1683" s="33">
        <v>850.0</v>
      </c>
      <c r="H1683" s="35">
        <v>46135.0</v>
      </c>
      <c r="I1683" s="2" t="s">
        <v>14</v>
      </c>
      <c r="J1683" s="12" t="s">
        <v>1304</v>
      </c>
    </row>
    <row r="1684" ht="22.5" hidden="1" customHeight="1">
      <c r="A1684" s="2" t="s">
        <v>1303</v>
      </c>
      <c r="B1684" s="2" t="s">
        <v>961</v>
      </c>
      <c r="C1684" s="2">
        <v>6612.0</v>
      </c>
      <c r="D1684" s="8" t="s">
        <v>46</v>
      </c>
      <c r="E1684" s="9">
        <v>9.0</v>
      </c>
      <c r="F1684" s="33">
        <v>1.0</v>
      </c>
      <c r="G1684" s="33">
        <v>850.0</v>
      </c>
      <c r="H1684" s="35">
        <v>46135.0</v>
      </c>
      <c r="I1684" s="2" t="s">
        <v>14</v>
      </c>
      <c r="J1684" s="12" t="s">
        <v>1304</v>
      </c>
    </row>
    <row r="1685" ht="22.5" hidden="1" customHeight="1">
      <c r="A1685" s="2" t="s">
        <v>1305</v>
      </c>
      <c r="B1685" s="2" t="s">
        <v>961</v>
      </c>
      <c r="C1685" s="2">
        <v>6612.0</v>
      </c>
      <c r="D1685" s="8" t="s">
        <v>46</v>
      </c>
      <c r="E1685" s="9">
        <v>2.0</v>
      </c>
      <c r="F1685" s="33">
        <v>1.0</v>
      </c>
      <c r="G1685" s="33">
        <v>850.0</v>
      </c>
      <c r="H1685" s="35">
        <v>46135.0</v>
      </c>
      <c r="I1685" s="2" t="s">
        <v>14</v>
      </c>
      <c r="J1685" s="12" t="s">
        <v>1306</v>
      </c>
    </row>
    <row r="1686" ht="22.5" hidden="1" customHeight="1">
      <c r="A1686" s="2" t="s">
        <v>1305</v>
      </c>
      <c r="B1686" s="2" t="s">
        <v>961</v>
      </c>
      <c r="C1686" s="2">
        <v>6612.0</v>
      </c>
      <c r="D1686" s="8" t="s">
        <v>46</v>
      </c>
      <c r="E1686" s="9">
        <v>9.0</v>
      </c>
      <c r="F1686" s="33">
        <v>1.0</v>
      </c>
      <c r="G1686" s="33">
        <v>850.0</v>
      </c>
      <c r="H1686" s="35">
        <v>46135.0</v>
      </c>
      <c r="I1686" s="2" t="s">
        <v>14</v>
      </c>
      <c r="J1686" s="12" t="s">
        <v>1306</v>
      </c>
    </row>
    <row r="1687" ht="22.5" hidden="1" customHeight="1">
      <c r="A1687" s="2" t="s">
        <v>1303</v>
      </c>
      <c r="B1687" s="2" t="s">
        <v>377</v>
      </c>
      <c r="C1687" s="2" t="s">
        <v>378</v>
      </c>
      <c r="D1687" s="8" t="s">
        <v>46</v>
      </c>
      <c r="E1687" s="9" t="s">
        <v>23</v>
      </c>
      <c r="F1687" s="33">
        <v>1.0</v>
      </c>
      <c r="G1687" s="33">
        <v>750.0</v>
      </c>
      <c r="H1687" s="35">
        <v>46135.0</v>
      </c>
      <c r="I1687" s="2" t="s">
        <v>14</v>
      </c>
      <c r="J1687" s="12" t="s">
        <v>1304</v>
      </c>
    </row>
    <row r="1688" ht="22.5" hidden="1" customHeight="1">
      <c r="A1688" s="2" t="s">
        <v>1303</v>
      </c>
      <c r="B1688" s="2" t="s">
        <v>377</v>
      </c>
      <c r="C1688" s="2" t="s">
        <v>378</v>
      </c>
      <c r="D1688" s="8" t="s">
        <v>46</v>
      </c>
      <c r="E1688" s="9" t="s">
        <v>13</v>
      </c>
      <c r="F1688" s="33">
        <v>1.0</v>
      </c>
      <c r="G1688" s="33">
        <v>750.0</v>
      </c>
      <c r="H1688" s="35">
        <v>46135.0</v>
      </c>
      <c r="I1688" s="2" t="s">
        <v>14</v>
      </c>
      <c r="J1688" s="12" t="s">
        <v>1304</v>
      </c>
    </row>
    <row r="1689" ht="22.5" hidden="1" customHeight="1">
      <c r="A1689" s="2" t="s">
        <v>1307</v>
      </c>
      <c r="B1689" s="2" t="s">
        <v>1199</v>
      </c>
      <c r="C1689" s="2" t="s">
        <v>1200</v>
      </c>
      <c r="D1689" s="8" t="s">
        <v>22</v>
      </c>
      <c r="E1689" s="9" t="s">
        <v>47</v>
      </c>
      <c r="F1689" s="33">
        <v>1.0</v>
      </c>
      <c r="G1689" s="33">
        <v>725.0</v>
      </c>
      <c r="H1689" s="35">
        <v>46135.0</v>
      </c>
      <c r="I1689" s="2" t="s">
        <v>14</v>
      </c>
      <c r="J1689" s="12" t="s">
        <v>1308</v>
      </c>
    </row>
    <row r="1690" ht="22.5" hidden="1" customHeight="1">
      <c r="A1690" s="2" t="s">
        <v>1307</v>
      </c>
      <c r="B1690" s="2" t="s">
        <v>1201</v>
      </c>
      <c r="C1690" s="2" t="s">
        <v>1202</v>
      </c>
      <c r="D1690" s="8" t="s">
        <v>22</v>
      </c>
      <c r="E1690" s="9" t="s">
        <v>47</v>
      </c>
      <c r="F1690" s="33">
        <v>1.0</v>
      </c>
      <c r="G1690" s="33">
        <v>725.0</v>
      </c>
      <c r="H1690" s="35">
        <v>46135.0</v>
      </c>
      <c r="I1690" s="2" t="s">
        <v>14</v>
      </c>
      <c r="J1690" s="12" t="s">
        <v>1308</v>
      </c>
    </row>
    <row r="1691" ht="22.5" hidden="1" customHeight="1">
      <c r="A1691" s="2" t="s">
        <v>1307</v>
      </c>
      <c r="B1691" s="2" t="s">
        <v>961</v>
      </c>
      <c r="C1691" s="2">
        <v>6612.0</v>
      </c>
      <c r="D1691" s="8" t="s">
        <v>46</v>
      </c>
      <c r="E1691" s="9">
        <v>2.0</v>
      </c>
      <c r="F1691" s="33">
        <v>1.0</v>
      </c>
      <c r="G1691" s="33">
        <v>850.0</v>
      </c>
      <c r="H1691" s="35">
        <v>46135.0</v>
      </c>
      <c r="I1691" s="2" t="s">
        <v>14</v>
      </c>
      <c r="J1691" s="12" t="s">
        <v>1308</v>
      </c>
    </row>
    <row r="1692" ht="22.5" hidden="1" customHeight="1">
      <c r="A1692" s="2" t="s">
        <v>1307</v>
      </c>
      <c r="B1692" s="2" t="s">
        <v>961</v>
      </c>
      <c r="C1692" s="2">
        <v>6612.0</v>
      </c>
      <c r="D1692" s="8" t="s">
        <v>46</v>
      </c>
      <c r="E1692" s="9">
        <v>5.0</v>
      </c>
      <c r="F1692" s="33">
        <v>1.0</v>
      </c>
      <c r="G1692" s="33">
        <v>850.0</v>
      </c>
      <c r="H1692" s="35">
        <v>46135.0</v>
      </c>
      <c r="I1692" s="2" t="s">
        <v>14</v>
      </c>
      <c r="J1692" s="12" t="s">
        <v>1308</v>
      </c>
    </row>
    <row r="1693" ht="22.5" hidden="1" customHeight="1">
      <c r="A1693" s="2" t="s">
        <v>1309</v>
      </c>
      <c r="B1693" s="2" t="s">
        <v>1207</v>
      </c>
      <c r="C1693" s="2">
        <v>5007.0</v>
      </c>
      <c r="D1693" s="8" t="s">
        <v>22</v>
      </c>
      <c r="E1693" s="9" t="s">
        <v>18</v>
      </c>
      <c r="F1693" s="33">
        <v>1.0</v>
      </c>
      <c r="G1693" s="33">
        <v>1800.0</v>
      </c>
      <c r="H1693" s="35">
        <v>46135.0</v>
      </c>
      <c r="I1693" s="2" t="s">
        <v>1183</v>
      </c>
      <c r="J1693" s="12" t="s">
        <v>1310</v>
      </c>
    </row>
    <row r="1694" ht="22.5" hidden="1" customHeight="1">
      <c r="A1694" s="2" t="s">
        <v>1309</v>
      </c>
      <c r="B1694" s="2" t="s">
        <v>1207</v>
      </c>
      <c r="C1694" s="2">
        <v>5007.0</v>
      </c>
      <c r="D1694" s="8" t="s">
        <v>22</v>
      </c>
      <c r="E1694" s="9" t="s">
        <v>13</v>
      </c>
      <c r="F1694" s="33">
        <v>1.0</v>
      </c>
      <c r="G1694" s="33">
        <v>1800.0</v>
      </c>
      <c r="H1694" s="35">
        <v>46135.0</v>
      </c>
      <c r="I1694" s="2" t="s">
        <v>1183</v>
      </c>
      <c r="J1694" s="12" t="s">
        <v>1310</v>
      </c>
    </row>
    <row r="1695" ht="22.5" hidden="1" customHeight="1">
      <c r="A1695" s="2" t="s">
        <v>813</v>
      </c>
      <c r="B1695" s="2" t="s">
        <v>1311</v>
      </c>
      <c r="C1695" s="2">
        <v>8888.0</v>
      </c>
      <c r="D1695" s="8" t="s">
        <v>12</v>
      </c>
      <c r="E1695" s="9" t="s">
        <v>13</v>
      </c>
      <c r="F1695" s="33">
        <v>1.0</v>
      </c>
      <c r="G1695" s="33">
        <v>1700.0</v>
      </c>
      <c r="H1695" s="35">
        <v>46135.0</v>
      </c>
      <c r="I1695" s="2" t="s">
        <v>14</v>
      </c>
      <c r="J1695" s="12" t="s">
        <v>814</v>
      </c>
    </row>
    <row r="1696" ht="22.5" hidden="1" customHeight="1">
      <c r="A1696" s="2" t="s">
        <v>1162</v>
      </c>
      <c r="B1696" s="2" t="s">
        <v>1199</v>
      </c>
      <c r="C1696" s="2" t="s">
        <v>1200</v>
      </c>
      <c r="D1696" s="8" t="s">
        <v>75</v>
      </c>
      <c r="E1696" s="9" t="s">
        <v>13</v>
      </c>
      <c r="F1696" s="33">
        <v>2.0</v>
      </c>
      <c r="G1696" s="33">
        <v>725.0</v>
      </c>
      <c r="H1696" s="35">
        <v>46135.0</v>
      </c>
      <c r="I1696" s="2" t="s">
        <v>14</v>
      </c>
      <c r="J1696" s="12" t="s">
        <v>1164</v>
      </c>
    </row>
    <row r="1697" ht="22.5" hidden="1" customHeight="1">
      <c r="A1697" s="2" t="s">
        <v>1162</v>
      </c>
      <c r="B1697" s="2" t="s">
        <v>1199</v>
      </c>
      <c r="C1697" s="2" t="s">
        <v>1200</v>
      </c>
      <c r="D1697" s="8" t="s">
        <v>75</v>
      </c>
      <c r="E1697" s="9" t="s">
        <v>47</v>
      </c>
      <c r="F1697" s="33">
        <v>2.0</v>
      </c>
      <c r="G1697" s="33">
        <v>725.0</v>
      </c>
      <c r="H1697" s="35">
        <v>46135.0</v>
      </c>
      <c r="I1697" s="2" t="s">
        <v>14</v>
      </c>
      <c r="J1697" s="12" t="s">
        <v>1164</v>
      </c>
    </row>
    <row r="1698" ht="22.5" hidden="1" customHeight="1">
      <c r="A1698" s="2" t="s">
        <v>1162</v>
      </c>
      <c r="B1698" s="2" t="s">
        <v>1199</v>
      </c>
      <c r="C1698" s="2" t="s">
        <v>1200</v>
      </c>
      <c r="D1698" s="8" t="s">
        <v>22</v>
      </c>
      <c r="E1698" s="9" t="s">
        <v>13</v>
      </c>
      <c r="F1698" s="33">
        <v>1.0</v>
      </c>
      <c r="G1698" s="33">
        <v>725.0</v>
      </c>
      <c r="H1698" s="35">
        <v>46135.0</v>
      </c>
      <c r="I1698" s="2" t="s">
        <v>14</v>
      </c>
      <c r="J1698" s="12" t="s">
        <v>1164</v>
      </c>
    </row>
    <row r="1699" ht="22.5" hidden="1" customHeight="1">
      <c r="A1699" s="2" t="s">
        <v>1162</v>
      </c>
      <c r="B1699" s="2" t="s">
        <v>1199</v>
      </c>
      <c r="C1699" s="2" t="s">
        <v>1200</v>
      </c>
      <c r="D1699" s="8" t="s">
        <v>22</v>
      </c>
      <c r="E1699" s="9" t="s">
        <v>47</v>
      </c>
      <c r="F1699" s="33">
        <v>1.0</v>
      </c>
      <c r="G1699" s="33">
        <v>725.0</v>
      </c>
      <c r="H1699" s="35">
        <v>46135.0</v>
      </c>
      <c r="I1699" s="2" t="s">
        <v>14</v>
      </c>
      <c r="J1699" s="12" t="s">
        <v>1164</v>
      </c>
    </row>
    <row r="1700" ht="22.5" hidden="1" customHeight="1">
      <c r="A1700" s="2" t="s">
        <v>1312</v>
      </c>
      <c r="B1700" s="2" t="s">
        <v>1207</v>
      </c>
      <c r="C1700" s="2">
        <v>5007.0</v>
      </c>
      <c r="D1700" s="8" t="s">
        <v>12</v>
      </c>
      <c r="E1700" s="9" t="s">
        <v>13</v>
      </c>
      <c r="F1700" s="33">
        <v>1.0</v>
      </c>
      <c r="G1700" s="33">
        <v>1800.0</v>
      </c>
      <c r="H1700" s="35">
        <v>46135.0</v>
      </c>
      <c r="I1700" s="2" t="s">
        <v>1183</v>
      </c>
      <c r="J1700" s="12" t="s">
        <v>1313</v>
      </c>
    </row>
    <row r="1701" ht="22.5" hidden="1" customHeight="1">
      <c r="A1701" s="2" t="s">
        <v>127</v>
      </c>
      <c r="B1701" s="2" t="s">
        <v>1199</v>
      </c>
      <c r="C1701" s="2" t="s">
        <v>1200</v>
      </c>
      <c r="D1701" s="8" t="s">
        <v>12</v>
      </c>
      <c r="E1701" s="9" t="s">
        <v>47</v>
      </c>
      <c r="F1701" s="33">
        <v>2.0</v>
      </c>
      <c r="G1701" s="33">
        <v>725.0</v>
      </c>
      <c r="H1701" s="35">
        <v>46135.0</v>
      </c>
      <c r="I1701" s="2" t="s">
        <v>14</v>
      </c>
      <c r="J1701" s="12" t="s">
        <v>1012</v>
      </c>
    </row>
    <row r="1702" ht="22.5" hidden="1" customHeight="1">
      <c r="A1702" s="2" t="s">
        <v>127</v>
      </c>
      <c r="B1702" s="2" t="s">
        <v>1203</v>
      </c>
      <c r="C1702" s="2" t="s">
        <v>1204</v>
      </c>
      <c r="D1702" s="8" t="s">
        <v>12</v>
      </c>
      <c r="E1702" s="9" t="s">
        <v>47</v>
      </c>
      <c r="F1702" s="33">
        <v>2.0</v>
      </c>
      <c r="G1702" s="33">
        <v>725.0</v>
      </c>
      <c r="H1702" s="35">
        <v>46135.0</v>
      </c>
      <c r="I1702" s="2" t="s">
        <v>14</v>
      </c>
      <c r="J1702" s="12" t="s">
        <v>1012</v>
      </c>
    </row>
    <row r="1703" ht="22.5" hidden="1" customHeight="1">
      <c r="A1703" s="2" t="s">
        <v>1074</v>
      </c>
      <c r="B1703" s="2" t="s">
        <v>1199</v>
      </c>
      <c r="C1703" s="2" t="s">
        <v>1200</v>
      </c>
      <c r="D1703" s="8" t="s">
        <v>989</v>
      </c>
      <c r="E1703" s="9" t="s">
        <v>47</v>
      </c>
      <c r="F1703" s="33">
        <v>1.0</v>
      </c>
      <c r="G1703" s="33">
        <v>725.0</v>
      </c>
      <c r="H1703" s="35">
        <v>46135.0</v>
      </c>
      <c r="I1703" s="2" t="s">
        <v>14</v>
      </c>
      <c r="J1703" s="12" t="s">
        <v>1075</v>
      </c>
    </row>
    <row r="1704" ht="22.5" hidden="1" customHeight="1">
      <c r="A1704" s="2" t="s">
        <v>1074</v>
      </c>
      <c r="B1704" s="2" t="s">
        <v>1201</v>
      </c>
      <c r="C1704" s="2" t="s">
        <v>1202</v>
      </c>
      <c r="D1704" s="8" t="s">
        <v>989</v>
      </c>
      <c r="E1704" s="9" t="s">
        <v>47</v>
      </c>
      <c r="F1704" s="33">
        <v>1.0</v>
      </c>
      <c r="G1704" s="33">
        <v>725.0</v>
      </c>
      <c r="H1704" s="35">
        <v>46135.0</v>
      </c>
      <c r="I1704" s="2" t="s">
        <v>14</v>
      </c>
      <c r="J1704" s="12" t="s">
        <v>1075</v>
      </c>
    </row>
    <row r="1705" ht="22.5" hidden="1" customHeight="1">
      <c r="A1705" s="2" t="s">
        <v>166</v>
      </c>
      <c r="B1705" s="2" t="s">
        <v>1314</v>
      </c>
      <c r="C1705" s="2" t="s">
        <v>1315</v>
      </c>
      <c r="D1705" s="8">
        <v>35.0</v>
      </c>
      <c r="E1705" s="9" t="s">
        <v>16</v>
      </c>
      <c r="F1705" s="33">
        <v>1.0</v>
      </c>
      <c r="G1705" s="33">
        <v>7000.0</v>
      </c>
      <c r="H1705" s="35">
        <v>46135.0</v>
      </c>
      <c r="I1705" s="2" t="s">
        <v>14</v>
      </c>
      <c r="J1705" s="12" t="s">
        <v>1316</v>
      </c>
    </row>
    <row r="1706" ht="22.5" hidden="1" customHeight="1">
      <c r="A1706" s="2" t="s">
        <v>166</v>
      </c>
      <c r="B1706" s="2" t="s">
        <v>912</v>
      </c>
      <c r="C1706" s="2" t="s">
        <v>913</v>
      </c>
      <c r="D1706" s="8" t="s">
        <v>22</v>
      </c>
      <c r="E1706" s="9" t="s">
        <v>16</v>
      </c>
      <c r="F1706" s="33">
        <v>1.0</v>
      </c>
      <c r="G1706" s="33">
        <v>1650.0</v>
      </c>
      <c r="H1706" s="35">
        <v>46135.0</v>
      </c>
      <c r="I1706" s="2" t="s">
        <v>14</v>
      </c>
      <c r="J1706" s="12" t="s">
        <v>1316</v>
      </c>
    </row>
    <row r="1707" ht="22.5" hidden="1" customHeight="1">
      <c r="A1707" s="2" t="s">
        <v>166</v>
      </c>
      <c r="B1707" s="2" t="s">
        <v>365</v>
      </c>
      <c r="C1707" s="2">
        <v>9094.0</v>
      </c>
      <c r="D1707" s="8" t="s">
        <v>12</v>
      </c>
      <c r="E1707" s="9" t="s">
        <v>58</v>
      </c>
      <c r="F1707" s="33">
        <v>1.0</v>
      </c>
      <c r="G1707" s="33">
        <v>2400.0</v>
      </c>
      <c r="H1707" s="35">
        <v>46135.0</v>
      </c>
      <c r="I1707" s="2" t="s">
        <v>14</v>
      </c>
      <c r="J1707" s="12" t="s">
        <v>1316</v>
      </c>
    </row>
    <row r="1708" ht="22.5" hidden="1" customHeight="1">
      <c r="A1708" s="2" t="s">
        <v>399</v>
      </c>
      <c r="B1708" s="2" t="s">
        <v>1203</v>
      </c>
      <c r="C1708" s="2" t="s">
        <v>1204</v>
      </c>
      <c r="D1708" s="8" t="s">
        <v>22</v>
      </c>
      <c r="E1708" s="9" t="s">
        <v>13</v>
      </c>
      <c r="F1708" s="33">
        <v>1.0</v>
      </c>
      <c r="G1708" s="33">
        <v>725.0</v>
      </c>
      <c r="H1708" s="35">
        <v>46135.0</v>
      </c>
      <c r="I1708" s="2" t="s">
        <v>14</v>
      </c>
      <c r="J1708" s="12" t="s">
        <v>1073</v>
      </c>
    </row>
    <row r="1709" ht="22.5" hidden="1" customHeight="1">
      <c r="A1709" s="2" t="s">
        <v>399</v>
      </c>
      <c r="B1709" s="2" t="s">
        <v>1201</v>
      </c>
      <c r="C1709" s="2" t="s">
        <v>1202</v>
      </c>
      <c r="D1709" s="8" t="s">
        <v>22</v>
      </c>
      <c r="E1709" s="9" t="s">
        <v>13</v>
      </c>
      <c r="F1709" s="33">
        <v>1.0</v>
      </c>
      <c r="G1709" s="33">
        <v>725.0</v>
      </c>
      <c r="H1709" s="35">
        <v>46135.0</v>
      </c>
      <c r="I1709" s="2" t="s">
        <v>14</v>
      </c>
      <c r="J1709" s="12" t="s">
        <v>1073</v>
      </c>
    </row>
    <row r="1710" ht="22.5" hidden="1" customHeight="1">
      <c r="A1710" s="2" t="s">
        <v>386</v>
      </c>
      <c r="B1710" s="2" t="s">
        <v>1317</v>
      </c>
      <c r="C1710" s="2" t="s">
        <v>1318</v>
      </c>
      <c r="D1710" s="8" t="s">
        <v>46</v>
      </c>
      <c r="E1710" s="9" t="s">
        <v>1319</v>
      </c>
      <c r="F1710" s="33">
        <v>1.0</v>
      </c>
      <c r="G1710" s="33">
        <v>2900.0</v>
      </c>
      <c r="H1710" s="35">
        <v>46135.0</v>
      </c>
      <c r="I1710" s="2" t="s">
        <v>473</v>
      </c>
      <c r="J1710" s="2"/>
    </row>
    <row r="1711" ht="22.5" hidden="1" customHeight="1">
      <c r="A1711" s="2" t="s">
        <v>386</v>
      </c>
      <c r="B1711" s="2" t="s">
        <v>440</v>
      </c>
      <c r="C1711" s="2" t="s">
        <v>441</v>
      </c>
      <c r="D1711" s="8" t="s">
        <v>46</v>
      </c>
      <c r="E1711" s="9" t="s">
        <v>47</v>
      </c>
      <c r="F1711" s="33">
        <v>1.0</v>
      </c>
      <c r="G1711" s="33">
        <v>1200.0</v>
      </c>
      <c r="H1711" s="35">
        <v>46135.0</v>
      </c>
      <c r="I1711" s="2" t="s">
        <v>473</v>
      </c>
      <c r="J1711" s="2"/>
    </row>
    <row r="1712" ht="22.5" hidden="1" customHeight="1">
      <c r="A1712" s="2" t="s">
        <v>802</v>
      </c>
      <c r="B1712" s="2" t="s">
        <v>1317</v>
      </c>
      <c r="C1712" s="2" t="s">
        <v>1318</v>
      </c>
      <c r="D1712" s="8" t="s">
        <v>46</v>
      </c>
      <c r="E1712" s="9" t="s">
        <v>1319</v>
      </c>
      <c r="F1712" s="33">
        <v>1.0</v>
      </c>
      <c r="G1712" s="33">
        <v>2900.0</v>
      </c>
      <c r="H1712" s="35">
        <v>46135.0</v>
      </c>
      <c r="I1712" s="2" t="s">
        <v>473</v>
      </c>
      <c r="J1712" s="12" t="s">
        <v>803</v>
      </c>
    </row>
    <row r="1713" ht="22.5" hidden="1" customHeight="1">
      <c r="A1713" s="2" t="s">
        <v>193</v>
      </c>
      <c r="B1713" s="2" t="s">
        <v>1317</v>
      </c>
      <c r="C1713" s="2" t="s">
        <v>1318</v>
      </c>
      <c r="D1713" s="8" t="s">
        <v>46</v>
      </c>
      <c r="E1713" s="9" t="s">
        <v>1320</v>
      </c>
      <c r="F1713" s="33">
        <v>1.0</v>
      </c>
      <c r="G1713" s="33">
        <v>2900.0</v>
      </c>
      <c r="H1713" s="35">
        <v>46135.0</v>
      </c>
      <c r="I1713" s="2" t="s">
        <v>14</v>
      </c>
      <c r="J1713" s="12" t="s">
        <v>977</v>
      </c>
    </row>
    <row r="1714" ht="22.5" hidden="1" customHeight="1">
      <c r="A1714" s="2" t="s">
        <v>1175</v>
      </c>
      <c r="B1714" s="2" t="s">
        <v>1317</v>
      </c>
      <c r="C1714" s="2" t="s">
        <v>1318</v>
      </c>
      <c r="D1714" s="8" t="s">
        <v>46</v>
      </c>
      <c r="E1714" s="9" t="s">
        <v>1320</v>
      </c>
      <c r="F1714" s="33">
        <v>1.0</v>
      </c>
      <c r="G1714" s="33">
        <v>2900.0</v>
      </c>
      <c r="H1714" s="35">
        <v>46135.0</v>
      </c>
      <c r="I1714" s="2" t="s">
        <v>14</v>
      </c>
      <c r="J1714" s="12" t="s">
        <v>1177</v>
      </c>
    </row>
    <row r="1715" ht="22.5" hidden="1" customHeight="1">
      <c r="A1715" s="2" t="s">
        <v>78</v>
      </c>
      <c r="B1715" s="2" t="s">
        <v>1317</v>
      </c>
      <c r="C1715" s="2" t="s">
        <v>1318</v>
      </c>
      <c r="D1715" s="8" t="s">
        <v>46</v>
      </c>
      <c r="E1715" s="9" t="s">
        <v>1320</v>
      </c>
      <c r="F1715" s="33">
        <v>1.0</v>
      </c>
      <c r="G1715" s="33">
        <v>2900.0</v>
      </c>
      <c r="H1715" s="35">
        <v>46135.0</v>
      </c>
      <c r="I1715" s="2" t="s">
        <v>14</v>
      </c>
      <c r="J1715" s="2"/>
    </row>
    <row r="1716" ht="22.5" hidden="1" customHeight="1">
      <c r="A1716" s="2" t="s">
        <v>934</v>
      </c>
      <c r="B1716" s="2" t="s">
        <v>1317</v>
      </c>
      <c r="C1716" s="2" t="s">
        <v>1318</v>
      </c>
      <c r="D1716" s="8" t="s">
        <v>46</v>
      </c>
      <c r="E1716" s="9" t="s">
        <v>1320</v>
      </c>
      <c r="F1716" s="33">
        <v>1.0</v>
      </c>
      <c r="G1716" s="33">
        <v>2900.0</v>
      </c>
      <c r="H1716" s="35">
        <v>46135.0</v>
      </c>
      <c r="I1716" s="2" t="s">
        <v>14</v>
      </c>
      <c r="J1716" s="12" t="s">
        <v>936</v>
      </c>
    </row>
    <row r="1717" ht="22.5" hidden="1" customHeight="1">
      <c r="A1717" s="2" t="s">
        <v>934</v>
      </c>
      <c r="B1717" s="2" t="s">
        <v>1317</v>
      </c>
      <c r="C1717" s="2" t="s">
        <v>1318</v>
      </c>
      <c r="D1717" s="8" t="s">
        <v>46</v>
      </c>
      <c r="E1717" s="9" t="s">
        <v>1319</v>
      </c>
      <c r="F1717" s="33">
        <v>1.0</v>
      </c>
      <c r="G1717" s="33">
        <v>2900.0</v>
      </c>
      <c r="H1717" s="35">
        <v>46135.0</v>
      </c>
      <c r="I1717" s="2" t="s">
        <v>14</v>
      </c>
      <c r="J1717" s="12" t="s">
        <v>936</v>
      </c>
    </row>
    <row r="1718" ht="22.5" hidden="1" customHeight="1">
      <c r="A1718" s="2" t="s">
        <v>174</v>
      </c>
      <c r="B1718" s="2" t="s">
        <v>1317</v>
      </c>
      <c r="C1718" s="2" t="s">
        <v>1318</v>
      </c>
      <c r="D1718" s="8" t="s">
        <v>46</v>
      </c>
      <c r="E1718" s="9" t="s">
        <v>1321</v>
      </c>
      <c r="F1718" s="33">
        <v>1.0</v>
      </c>
      <c r="G1718" s="33">
        <v>2900.0</v>
      </c>
      <c r="H1718" s="35">
        <v>46135.0</v>
      </c>
      <c r="I1718" s="2" t="s">
        <v>14</v>
      </c>
      <c r="J1718" s="2"/>
    </row>
    <row r="1719" ht="22.5" hidden="1" customHeight="1">
      <c r="A1719" s="2" t="s">
        <v>10</v>
      </c>
      <c r="B1719" s="2" t="s">
        <v>1232</v>
      </c>
      <c r="C1719" s="2" t="s">
        <v>1233</v>
      </c>
      <c r="D1719" s="8" t="s">
        <v>46</v>
      </c>
      <c r="E1719" s="9" t="s">
        <v>13</v>
      </c>
      <c r="F1719" s="33">
        <v>1.0</v>
      </c>
      <c r="G1719" s="33">
        <v>1550.0</v>
      </c>
      <c r="H1719" s="35">
        <v>46135.0</v>
      </c>
      <c r="I1719" s="2" t="s">
        <v>14</v>
      </c>
      <c r="J1719" s="12" t="s">
        <v>1322</v>
      </c>
    </row>
    <row r="1720" ht="22.5" hidden="1" customHeight="1">
      <c r="A1720" s="2" t="s">
        <v>10</v>
      </c>
      <c r="B1720" s="2" t="s">
        <v>1254</v>
      </c>
      <c r="C1720" s="2" t="s">
        <v>1255</v>
      </c>
      <c r="D1720" s="8" t="s">
        <v>22</v>
      </c>
      <c r="E1720" s="9" t="s">
        <v>1256</v>
      </c>
      <c r="F1720" s="33">
        <v>1.0</v>
      </c>
      <c r="G1720" s="33">
        <v>1200.0</v>
      </c>
      <c r="H1720" s="35">
        <v>46135.0</v>
      </c>
      <c r="I1720" s="2" t="s">
        <v>14</v>
      </c>
      <c r="J1720" s="12" t="s">
        <v>1322</v>
      </c>
    </row>
    <row r="1721" ht="22.5" hidden="1" customHeight="1">
      <c r="A1721" s="2" t="s">
        <v>10</v>
      </c>
      <c r="B1721" s="2" t="s">
        <v>1201</v>
      </c>
      <c r="C1721" s="2" t="s">
        <v>1202</v>
      </c>
      <c r="D1721" s="8" t="s">
        <v>22</v>
      </c>
      <c r="E1721" s="9" t="s">
        <v>13</v>
      </c>
      <c r="F1721" s="33">
        <v>1.0</v>
      </c>
      <c r="G1721" s="33">
        <v>725.0</v>
      </c>
      <c r="H1721" s="35">
        <v>46135.0</v>
      </c>
      <c r="I1721" s="2" t="s">
        <v>14</v>
      </c>
      <c r="J1721" s="12" t="s">
        <v>1322</v>
      </c>
    </row>
    <row r="1722" ht="22.5" hidden="1" customHeight="1">
      <c r="A1722" s="2" t="s">
        <v>10</v>
      </c>
      <c r="B1722" s="2" t="s">
        <v>1201</v>
      </c>
      <c r="C1722" s="2" t="s">
        <v>1202</v>
      </c>
      <c r="D1722" s="8" t="s">
        <v>22</v>
      </c>
      <c r="E1722" s="9" t="s">
        <v>47</v>
      </c>
      <c r="F1722" s="33">
        <v>1.0</v>
      </c>
      <c r="G1722" s="33">
        <v>725.0</v>
      </c>
      <c r="H1722" s="35">
        <v>46135.0</v>
      </c>
      <c r="I1722" s="2" t="s">
        <v>14</v>
      </c>
      <c r="J1722" s="12" t="s">
        <v>1322</v>
      </c>
    </row>
    <row r="1723" ht="22.5" hidden="1" customHeight="1">
      <c r="A1723" s="2" t="s">
        <v>10</v>
      </c>
      <c r="B1723" s="2" t="s">
        <v>961</v>
      </c>
      <c r="C1723" s="2">
        <v>6612.0</v>
      </c>
      <c r="D1723" s="8" t="s">
        <v>46</v>
      </c>
      <c r="E1723" s="9">
        <v>2.0</v>
      </c>
      <c r="F1723" s="33">
        <v>1.0</v>
      </c>
      <c r="G1723" s="33">
        <v>850.0</v>
      </c>
      <c r="H1723" s="35">
        <v>46135.0</v>
      </c>
      <c r="I1723" s="2" t="s">
        <v>14</v>
      </c>
      <c r="J1723" s="12" t="s">
        <v>1322</v>
      </c>
    </row>
    <row r="1724" ht="22.5" hidden="1" customHeight="1">
      <c r="A1724" s="2" t="s">
        <v>10</v>
      </c>
      <c r="B1724" s="2" t="s">
        <v>961</v>
      </c>
      <c r="C1724" s="2">
        <v>6612.0</v>
      </c>
      <c r="D1724" s="8" t="s">
        <v>46</v>
      </c>
      <c r="E1724" s="9">
        <v>9.0</v>
      </c>
      <c r="F1724" s="33">
        <v>1.0</v>
      </c>
      <c r="G1724" s="33">
        <v>850.0</v>
      </c>
      <c r="H1724" s="35">
        <v>46135.0</v>
      </c>
      <c r="I1724" s="2" t="s">
        <v>14</v>
      </c>
      <c r="J1724" s="12" t="s">
        <v>1322</v>
      </c>
    </row>
    <row r="1725" ht="22.5" hidden="1" customHeight="1">
      <c r="A1725" s="2" t="s">
        <v>10</v>
      </c>
      <c r="B1725" s="2" t="s">
        <v>440</v>
      </c>
      <c r="C1725" s="2" t="s">
        <v>441</v>
      </c>
      <c r="D1725" s="8" t="s">
        <v>46</v>
      </c>
      <c r="E1725" s="9" t="s">
        <v>26</v>
      </c>
      <c r="F1725" s="33">
        <v>1.0</v>
      </c>
      <c r="G1725" s="33">
        <v>1200.0</v>
      </c>
      <c r="H1725" s="35">
        <v>46135.0</v>
      </c>
      <c r="I1725" s="2" t="s">
        <v>14</v>
      </c>
      <c r="J1725" s="12" t="s">
        <v>1322</v>
      </c>
    </row>
    <row r="1726" ht="22.5" hidden="1" customHeight="1">
      <c r="A1726" s="2" t="s">
        <v>10</v>
      </c>
      <c r="B1726" s="2" t="s">
        <v>141</v>
      </c>
      <c r="C1726" s="2">
        <v>8770.0</v>
      </c>
      <c r="D1726" s="8" t="s">
        <v>46</v>
      </c>
      <c r="E1726" s="9" t="s">
        <v>58</v>
      </c>
      <c r="F1726" s="33">
        <v>1.0</v>
      </c>
      <c r="G1726" s="33">
        <v>1690.0</v>
      </c>
      <c r="H1726" s="35">
        <v>46135.0</v>
      </c>
      <c r="I1726" s="2" t="s">
        <v>14</v>
      </c>
      <c r="J1726" s="12" t="s">
        <v>1322</v>
      </c>
    </row>
    <row r="1727" ht="22.5" hidden="1" customHeight="1">
      <c r="A1727" s="2" t="s">
        <v>10</v>
      </c>
      <c r="B1727" s="2" t="s">
        <v>1006</v>
      </c>
      <c r="C1727" s="2">
        <v>8321.0</v>
      </c>
      <c r="D1727" s="8" t="s">
        <v>46</v>
      </c>
      <c r="E1727" s="9" t="s">
        <v>26</v>
      </c>
      <c r="F1727" s="33">
        <v>1.0</v>
      </c>
      <c r="G1727" s="33">
        <v>1350.0</v>
      </c>
      <c r="H1727" s="35">
        <v>46135.0</v>
      </c>
      <c r="I1727" s="2" t="s">
        <v>14</v>
      </c>
      <c r="J1727" s="12" t="s">
        <v>1322</v>
      </c>
    </row>
    <row r="1728" ht="22.5" hidden="1" customHeight="1">
      <c r="A1728" s="2" t="s">
        <v>1323</v>
      </c>
      <c r="B1728" s="2" t="s">
        <v>1203</v>
      </c>
      <c r="C1728" s="2" t="s">
        <v>1204</v>
      </c>
      <c r="D1728" s="8" t="s">
        <v>75</v>
      </c>
      <c r="E1728" s="9" t="s">
        <v>47</v>
      </c>
      <c r="F1728" s="33">
        <v>1.0</v>
      </c>
      <c r="G1728" s="33">
        <v>725.0</v>
      </c>
      <c r="H1728" s="35">
        <v>46135.0</v>
      </c>
      <c r="I1728" s="2" t="s">
        <v>14</v>
      </c>
      <c r="J1728" s="12" t="s">
        <v>1324</v>
      </c>
    </row>
    <row r="1729" ht="22.5" hidden="1" customHeight="1">
      <c r="A1729" s="2" t="s">
        <v>1323</v>
      </c>
      <c r="B1729" s="2" t="s">
        <v>1203</v>
      </c>
      <c r="C1729" s="2" t="s">
        <v>1204</v>
      </c>
      <c r="D1729" s="8" t="s">
        <v>75</v>
      </c>
      <c r="E1729" s="9" t="s">
        <v>23</v>
      </c>
      <c r="F1729" s="33">
        <v>1.0</v>
      </c>
      <c r="G1729" s="33">
        <v>725.0</v>
      </c>
      <c r="H1729" s="35">
        <v>46135.0</v>
      </c>
      <c r="I1729" s="2" t="s">
        <v>14</v>
      </c>
      <c r="J1729" s="12" t="s">
        <v>1324</v>
      </c>
    </row>
    <row r="1730" ht="22.5" hidden="1" customHeight="1">
      <c r="A1730" s="2" t="s">
        <v>71</v>
      </c>
      <c r="B1730" s="2" t="s">
        <v>1325</v>
      </c>
      <c r="C1730" s="2" t="s">
        <v>1326</v>
      </c>
      <c r="D1730" s="8">
        <v>39.0</v>
      </c>
      <c r="E1730" s="9" t="s">
        <v>47</v>
      </c>
      <c r="F1730" s="33">
        <v>1.0</v>
      </c>
      <c r="G1730" s="33">
        <v>6990.0</v>
      </c>
      <c r="H1730" s="35">
        <v>46135.0</v>
      </c>
      <c r="I1730" s="2" t="s">
        <v>14</v>
      </c>
      <c r="J1730" s="12" t="s">
        <v>955</v>
      </c>
    </row>
    <row r="1731" ht="22.5" hidden="1" customHeight="1">
      <c r="A1731" s="2" t="s">
        <v>257</v>
      </c>
      <c r="B1731" s="2" t="s">
        <v>1317</v>
      </c>
      <c r="C1731" s="2" t="s">
        <v>1318</v>
      </c>
      <c r="D1731" s="8" t="s">
        <v>46</v>
      </c>
      <c r="E1731" s="9" t="s">
        <v>1321</v>
      </c>
      <c r="F1731" s="33">
        <v>1.0</v>
      </c>
      <c r="G1731" s="33">
        <v>2900.0</v>
      </c>
      <c r="H1731" s="35">
        <v>46135.0</v>
      </c>
      <c r="I1731" s="2" t="s">
        <v>14</v>
      </c>
      <c r="J1731" s="2"/>
    </row>
    <row r="1732" ht="22.5" hidden="1" customHeight="1">
      <c r="A1732" s="2" t="s">
        <v>1187</v>
      </c>
      <c r="B1732" s="2" t="s">
        <v>1317</v>
      </c>
      <c r="C1732" s="2" t="s">
        <v>1318</v>
      </c>
      <c r="D1732" s="8" t="s">
        <v>46</v>
      </c>
      <c r="E1732" s="9" t="s">
        <v>1319</v>
      </c>
      <c r="F1732" s="33">
        <v>1.0</v>
      </c>
      <c r="G1732" s="33">
        <v>2900.0</v>
      </c>
      <c r="H1732" s="35">
        <v>46135.0</v>
      </c>
      <c r="I1732" s="2" t="s">
        <v>14</v>
      </c>
      <c r="J1732" s="12" t="s">
        <v>1188</v>
      </c>
    </row>
    <row r="1733" ht="22.5" hidden="1" customHeight="1">
      <c r="A1733" s="2" t="s">
        <v>1327</v>
      </c>
      <c r="B1733" s="2" t="s">
        <v>1199</v>
      </c>
      <c r="C1733" s="2" t="s">
        <v>1200</v>
      </c>
      <c r="D1733" s="8" t="s">
        <v>22</v>
      </c>
      <c r="E1733" s="9" t="s">
        <v>47</v>
      </c>
      <c r="F1733" s="33">
        <v>1.0</v>
      </c>
      <c r="G1733" s="33">
        <v>725.0</v>
      </c>
      <c r="H1733" s="35">
        <v>46135.0</v>
      </c>
      <c r="I1733" s="2" t="s">
        <v>14</v>
      </c>
      <c r="J1733" s="12" t="s">
        <v>1328</v>
      </c>
    </row>
    <row r="1734" ht="22.5" hidden="1" customHeight="1">
      <c r="A1734" s="2" t="s">
        <v>1327</v>
      </c>
      <c r="B1734" s="2" t="s">
        <v>1201</v>
      </c>
      <c r="C1734" s="2" t="s">
        <v>1202</v>
      </c>
      <c r="D1734" s="8" t="s">
        <v>22</v>
      </c>
      <c r="E1734" s="9" t="s">
        <v>47</v>
      </c>
      <c r="F1734" s="33">
        <v>1.0</v>
      </c>
      <c r="G1734" s="33">
        <v>725.0</v>
      </c>
      <c r="H1734" s="35">
        <v>46135.0</v>
      </c>
      <c r="I1734" s="2" t="s">
        <v>14</v>
      </c>
      <c r="J1734" s="12" t="s">
        <v>1328</v>
      </c>
    </row>
    <row r="1735" ht="22.5" hidden="1" customHeight="1">
      <c r="A1735" s="2" t="s">
        <v>1327</v>
      </c>
      <c r="B1735" s="2" t="s">
        <v>1006</v>
      </c>
      <c r="C1735" s="2">
        <v>8321.0</v>
      </c>
      <c r="D1735" s="8" t="s">
        <v>46</v>
      </c>
      <c r="E1735" s="9" t="s">
        <v>58</v>
      </c>
      <c r="F1735" s="33">
        <v>1.0</v>
      </c>
      <c r="G1735" s="33">
        <v>1350.0</v>
      </c>
      <c r="H1735" s="35">
        <v>46135.0</v>
      </c>
      <c r="I1735" s="2" t="s">
        <v>14</v>
      </c>
      <c r="J1735" s="12" t="s">
        <v>1328</v>
      </c>
    </row>
    <row r="1736" ht="22.5" hidden="1" customHeight="1">
      <c r="A1736" s="2" t="s">
        <v>1329</v>
      </c>
      <c r="B1736" s="2" t="s">
        <v>762</v>
      </c>
      <c r="C1736" s="2" t="s">
        <v>763</v>
      </c>
      <c r="D1736" s="8" t="s">
        <v>46</v>
      </c>
      <c r="E1736" s="9" t="s">
        <v>1330</v>
      </c>
      <c r="F1736" s="33">
        <v>1.0</v>
      </c>
      <c r="G1736" s="33">
        <v>2580.0</v>
      </c>
      <c r="H1736" s="35">
        <v>46135.0</v>
      </c>
      <c r="I1736" s="2" t="s">
        <v>14</v>
      </c>
      <c r="J1736" s="12" t="s">
        <v>1331</v>
      </c>
    </row>
    <row r="1737" ht="22.5" hidden="1" customHeight="1">
      <c r="A1737" s="2" t="s">
        <v>1329</v>
      </c>
      <c r="B1737" s="2" t="s">
        <v>1199</v>
      </c>
      <c r="C1737" s="2" t="s">
        <v>1200</v>
      </c>
      <c r="D1737" s="8" t="s">
        <v>75</v>
      </c>
      <c r="E1737" s="9" t="s">
        <v>47</v>
      </c>
      <c r="F1737" s="33">
        <v>1.0</v>
      </c>
      <c r="G1737" s="33">
        <v>725.0</v>
      </c>
      <c r="H1737" s="35">
        <v>46135.0</v>
      </c>
      <c r="I1737" s="2" t="s">
        <v>14</v>
      </c>
      <c r="J1737" s="12" t="s">
        <v>1331</v>
      </c>
    </row>
    <row r="1738" ht="22.5" hidden="1" customHeight="1">
      <c r="A1738" s="2" t="s">
        <v>1329</v>
      </c>
      <c r="B1738" s="2" t="s">
        <v>1201</v>
      </c>
      <c r="C1738" s="2" t="s">
        <v>1202</v>
      </c>
      <c r="D1738" s="8" t="s">
        <v>75</v>
      </c>
      <c r="E1738" s="9" t="s">
        <v>13</v>
      </c>
      <c r="F1738" s="33">
        <v>1.0</v>
      </c>
      <c r="G1738" s="33">
        <v>725.0</v>
      </c>
      <c r="H1738" s="35">
        <v>46135.0</v>
      </c>
      <c r="I1738" s="2" t="s">
        <v>14</v>
      </c>
      <c r="J1738" s="12" t="s">
        <v>1331</v>
      </c>
    </row>
    <row r="1739" ht="22.5" hidden="1" customHeight="1">
      <c r="A1739" s="2" t="s">
        <v>1329</v>
      </c>
      <c r="B1739" s="2" t="s">
        <v>1203</v>
      </c>
      <c r="C1739" s="2" t="s">
        <v>1204</v>
      </c>
      <c r="D1739" s="8" t="s">
        <v>75</v>
      </c>
      <c r="E1739" s="9" t="s">
        <v>13</v>
      </c>
      <c r="F1739" s="33">
        <v>1.0</v>
      </c>
      <c r="G1739" s="33">
        <v>725.0</v>
      </c>
      <c r="H1739" s="35">
        <v>46135.0</v>
      </c>
      <c r="I1739" s="2" t="s">
        <v>14</v>
      </c>
      <c r="J1739" s="12" t="s">
        <v>1331</v>
      </c>
    </row>
    <row r="1740" ht="22.5" hidden="1" customHeight="1">
      <c r="A1740" s="2" t="s">
        <v>1329</v>
      </c>
      <c r="B1740" s="2" t="s">
        <v>1203</v>
      </c>
      <c r="C1740" s="2" t="s">
        <v>1204</v>
      </c>
      <c r="D1740" s="8" t="s">
        <v>75</v>
      </c>
      <c r="E1740" s="9" t="s">
        <v>47</v>
      </c>
      <c r="F1740" s="33">
        <v>1.0</v>
      </c>
      <c r="G1740" s="33">
        <v>725.0</v>
      </c>
      <c r="H1740" s="35">
        <v>46135.0</v>
      </c>
      <c r="I1740" s="2" t="s">
        <v>14</v>
      </c>
      <c r="J1740" s="12" t="s">
        <v>1331</v>
      </c>
    </row>
    <row r="1741" ht="22.5" hidden="1" customHeight="1">
      <c r="A1741" s="2" t="s">
        <v>295</v>
      </c>
      <c r="B1741" s="2" t="s">
        <v>1199</v>
      </c>
      <c r="C1741" s="2" t="s">
        <v>1200</v>
      </c>
      <c r="D1741" s="8" t="s">
        <v>22</v>
      </c>
      <c r="E1741" s="9" t="s">
        <v>18</v>
      </c>
      <c r="F1741" s="33">
        <v>1.0</v>
      </c>
      <c r="G1741" s="33">
        <v>725.0</v>
      </c>
      <c r="H1741" s="35">
        <v>46135.0</v>
      </c>
      <c r="I1741" s="2" t="s">
        <v>14</v>
      </c>
      <c r="J1741" s="12" t="s">
        <v>1031</v>
      </c>
    </row>
    <row r="1742" ht="22.5" hidden="1" customHeight="1">
      <c r="A1742" s="2" t="s">
        <v>295</v>
      </c>
      <c r="B1742" s="2" t="s">
        <v>1199</v>
      </c>
      <c r="C1742" s="2" t="s">
        <v>1200</v>
      </c>
      <c r="D1742" s="8" t="s">
        <v>22</v>
      </c>
      <c r="E1742" s="9" t="s">
        <v>47</v>
      </c>
      <c r="F1742" s="33">
        <v>1.0</v>
      </c>
      <c r="G1742" s="33">
        <v>725.0</v>
      </c>
      <c r="H1742" s="35">
        <v>46135.0</v>
      </c>
      <c r="I1742" s="2" t="s">
        <v>14</v>
      </c>
      <c r="J1742" s="12" t="s">
        <v>1031</v>
      </c>
    </row>
    <row r="1743" ht="22.5" hidden="1" customHeight="1">
      <c r="A1743" s="2" t="s">
        <v>295</v>
      </c>
      <c r="B1743" s="2" t="s">
        <v>1201</v>
      </c>
      <c r="C1743" s="2" t="s">
        <v>1202</v>
      </c>
      <c r="D1743" s="8" t="s">
        <v>22</v>
      </c>
      <c r="E1743" s="9" t="s">
        <v>18</v>
      </c>
      <c r="F1743" s="33">
        <v>1.0</v>
      </c>
      <c r="G1743" s="33">
        <v>725.0</v>
      </c>
      <c r="H1743" s="35">
        <v>46135.0</v>
      </c>
      <c r="I1743" s="2" t="s">
        <v>14</v>
      </c>
      <c r="J1743" s="12" t="s">
        <v>1031</v>
      </c>
    </row>
    <row r="1744" ht="22.5" hidden="1" customHeight="1">
      <c r="A1744" s="2" t="s">
        <v>295</v>
      </c>
      <c r="B1744" s="2" t="s">
        <v>1201</v>
      </c>
      <c r="C1744" s="2" t="s">
        <v>1202</v>
      </c>
      <c r="D1744" s="8" t="s">
        <v>22</v>
      </c>
      <c r="E1744" s="9" t="s">
        <v>47</v>
      </c>
      <c r="F1744" s="33">
        <v>1.0</v>
      </c>
      <c r="G1744" s="33">
        <v>725.0</v>
      </c>
      <c r="H1744" s="35">
        <v>46135.0</v>
      </c>
      <c r="I1744" s="2" t="s">
        <v>14</v>
      </c>
      <c r="J1744" s="12" t="s">
        <v>1031</v>
      </c>
    </row>
    <row r="1745" ht="22.5" hidden="1" customHeight="1">
      <c r="A1745" s="2" t="s">
        <v>1029</v>
      </c>
      <c r="B1745" s="2" t="s">
        <v>1212</v>
      </c>
      <c r="C1745" s="2">
        <v>92212.0</v>
      </c>
      <c r="D1745" s="8" t="s">
        <v>46</v>
      </c>
      <c r="E1745" s="9" t="s">
        <v>16</v>
      </c>
      <c r="F1745" s="33">
        <v>1.0</v>
      </c>
      <c r="G1745" s="33">
        <v>1700.0</v>
      </c>
      <c r="H1745" s="35">
        <v>46135.0</v>
      </c>
      <c r="I1745" s="2" t="s">
        <v>14</v>
      </c>
      <c r="J1745" s="2"/>
    </row>
    <row r="1746" ht="22.5" hidden="1" customHeight="1">
      <c r="A1746" s="2" t="s">
        <v>751</v>
      </c>
      <c r="B1746" s="2" t="s">
        <v>141</v>
      </c>
      <c r="C1746" s="2">
        <v>8770.0</v>
      </c>
      <c r="D1746" s="8" t="s">
        <v>46</v>
      </c>
      <c r="E1746" s="9" t="s">
        <v>13</v>
      </c>
      <c r="F1746" s="33">
        <v>1.0</v>
      </c>
      <c r="G1746" s="33">
        <v>1690.0</v>
      </c>
      <c r="H1746" s="35">
        <v>46135.0</v>
      </c>
      <c r="I1746" s="2" t="s">
        <v>14</v>
      </c>
      <c r="J1746" s="12" t="s">
        <v>752</v>
      </c>
    </row>
    <row r="1747" ht="22.5" hidden="1" customHeight="1">
      <c r="A1747" s="2" t="s">
        <v>751</v>
      </c>
      <c r="B1747" s="2" t="s">
        <v>141</v>
      </c>
      <c r="C1747" s="2">
        <v>8770.0</v>
      </c>
      <c r="D1747" s="8" t="s">
        <v>46</v>
      </c>
      <c r="E1747" s="9" t="s">
        <v>27</v>
      </c>
      <c r="F1747" s="33">
        <v>1.0</v>
      </c>
      <c r="G1747" s="33">
        <v>1690.0</v>
      </c>
      <c r="H1747" s="35">
        <v>46135.0</v>
      </c>
      <c r="I1747" s="2" t="s">
        <v>14</v>
      </c>
      <c r="J1747" s="12" t="s">
        <v>752</v>
      </c>
    </row>
    <row r="1748" ht="22.5" hidden="1" customHeight="1">
      <c r="A1748" s="2" t="s">
        <v>1332</v>
      </c>
      <c r="B1748" s="2" t="s">
        <v>1203</v>
      </c>
      <c r="C1748" s="2" t="s">
        <v>1204</v>
      </c>
      <c r="D1748" s="8" t="s">
        <v>75</v>
      </c>
      <c r="E1748" s="9" t="s">
        <v>18</v>
      </c>
      <c r="F1748" s="33">
        <v>2.0</v>
      </c>
      <c r="G1748" s="33">
        <v>725.0</v>
      </c>
      <c r="H1748" s="35">
        <v>46135.0</v>
      </c>
      <c r="I1748" s="2" t="s">
        <v>14</v>
      </c>
      <c r="J1748" s="12" t="s">
        <v>1333</v>
      </c>
    </row>
    <row r="1749" ht="22.5" hidden="1" customHeight="1">
      <c r="A1749" s="2" t="s">
        <v>1332</v>
      </c>
      <c r="B1749" s="2" t="s">
        <v>1203</v>
      </c>
      <c r="C1749" s="2" t="s">
        <v>1204</v>
      </c>
      <c r="D1749" s="8" t="s">
        <v>75</v>
      </c>
      <c r="E1749" s="9" t="s">
        <v>47</v>
      </c>
      <c r="F1749" s="33">
        <v>2.0</v>
      </c>
      <c r="G1749" s="33">
        <v>725.0</v>
      </c>
      <c r="H1749" s="35">
        <v>46135.0</v>
      </c>
      <c r="I1749" s="2" t="s">
        <v>14</v>
      </c>
      <c r="J1749" s="12" t="s">
        <v>1333</v>
      </c>
    </row>
    <row r="1750" ht="22.5" hidden="1" customHeight="1">
      <c r="A1750" s="2" t="s">
        <v>1087</v>
      </c>
      <c r="B1750" s="2" t="s">
        <v>1199</v>
      </c>
      <c r="C1750" s="2" t="s">
        <v>1200</v>
      </c>
      <c r="D1750" s="8" t="s">
        <v>75</v>
      </c>
      <c r="E1750" s="9" t="s">
        <v>13</v>
      </c>
      <c r="F1750" s="33">
        <v>1.0</v>
      </c>
      <c r="G1750" s="33">
        <v>725.0</v>
      </c>
      <c r="H1750" s="35">
        <v>46135.0</v>
      </c>
      <c r="I1750" s="2" t="s">
        <v>14</v>
      </c>
      <c r="J1750" s="12" t="s">
        <v>1088</v>
      </c>
    </row>
    <row r="1751" ht="22.5" hidden="1" customHeight="1">
      <c r="A1751" s="2" t="s">
        <v>1087</v>
      </c>
      <c r="B1751" s="2" t="s">
        <v>1201</v>
      </c>
      <c r="C1751" s="2" t="s">
        <v>1202</v>
      </c>
      <c r="D1751" s="8" t="s">
        <v>75</v>
      </c>
      <c r="E1751" s="9" t="s">
        <v>47</v>
      </c>
      <c r="F1751" s="33">
        <v>1.0</v>
      </c>
      <c r="G1751" s="33">
        <v>725.0</v>
      </c>
      <c r="H1751" s="35">
        <v>46135.0</v>
      </c>
      <c r="I1751" s="2" t="s">
        <v>14</v>
      </c>
      <c r="J1751" s="12" t="s">
        <v>1088</v>
      </c>
    </row>
    <row r="1752" ht="22.5" hidden="1" customHeight="1">
      <c r="A1752" s="2" t="s">
        <v>679</v>
      </c>
      <c r="B1752" s="2" t="s">
        <v>1195</v>
      </c>
      <c r="C1752" s="2">
        <v>9031.0</v>
      </c>
      <c r="D1752" s="8" t="s">
        <v>12</v>
      </c>
      <c r="E1752" s="9" t="s">
        <v>13</v>
      </c>
      <c r="F1752" s="33">
        <v>1.0</v>
      </c>
      <c r="G1752" s="33">
        <v>1900.0</v>
      </c>
      <c r="H1752" s="35">
        <v>46135.0</v>
      </c>
      <c r="I1752" s="2" t="s">
        <v>14</v>
      </c>
      <c r="J1752" s="12" t="s">
        <v>1334</v>
      </c>
    </row>
    <row r="1753" ht="22.5" hidden="1" customHeight="1">
      <c r="A1753" s="2" t="s">
        <v>1335</v>
      </c>
      <c r="B1753" s="2" t="s">
        <v>762</v>
      </c>
      <c r="C1753" s="2" t="s">
        <v>763</v>
      </c>
      <c r="D1753" s="8" t="s">
        <v>46</v>
      </c>
      <c r="E1753" s="9" t="s">
        <v>1336</v>
      </c>
      <c r="F1753" s="33">
        <v>1.0</v>
      </c>
      <c r="G1753" s="33">
        <v>3980.0</v>
      </c>
      <c r="H1753" s="35">
        <v>46135.0</v>
      </c>
      <c r="I1753" s="2" t="s">
        <v>14</v>
      </c>
      <c r="J1753" s="12" t="s">
        <v>1337</v>
      </c>
    </row>
    <row r="1754" ht="22.5" hidden="1" customHeight="1">
      <c r="A1754" s="2" t="s">
        <v>1338</v>
      </c>
      <c r="B1754" s="2" t="s">
        <v>958</v>
      </c>
      <c r="C1754" s="2" t="s">
        <v>959</v>
      </c>
      <c r="D1754" s="8" t="s">
        <v>1037</v>
      </c>
      <c r="E1754" s="9" t="s">
        <v>18</v>
      </c>
      <c r="F1754" s="33">
        <v>1.0</v>
      </c>
      <c r="G1754" s="33">
        <v>1800.0</v>
      </c>
      <c r="H1754" s="35">
        <v>46135.0</v>
      </c>
      <c r="I1754" s="2" t="s">
        <v>14</v>
      </c>
      <c r="J1754" s="12" t="s">
        <v>1339</v>
      </c>
    </row>
    <row r="1755" ht="22.5" hidden="1" customHeight="1">
      <c r="A1755" s="2" t="s">
        <v>1340</v>
      </c>
      <c r="B1755" s="2" t="s">
        <v>1212</v>
      </c>
      <c r="C1755" s="2">
        <v>92212.0</v>
      </c>
      <c r="D1755" s="8" t="s">
        <v>46</v>
      </c>
      <c r="E1755" s="9" t="s">
        <v>18</v>
      </c>
      <c r="F1755" s="33">
        <v>1.0</v>
      </c>
      <c r="G1755" s="33">
        <v>1700.0</v>
      </c>
      <c r="H1755" s="35">
        <v>46135.0</v>
      </c>
      <c r="I1755" s="2" t="s">
        <v>14</v>
      </c>
      <c r="J1755" s="12" t="s">
        <v>1341</v>
      </c>
    </row>
    <row r="1756" ht="22.5" hidden="1" customHeight="1">
      <c r="A1756" s="2" t="s">
        <v>1340</v>
      </c>
      <c r="B1756" s="2" t="s">
        <v>1207</v>
      </c>
      <c r="C1756" s="2">
        <v>5007.0</v>
      </c>
      <c r="D1756" s="8" t="s">
        <v>22</v>
      </c>
      <c r="E1756" s="9" t="s">
        <v>18</v>
      </c>
      <c r="F1756" s="33">
        <v>1.0</v>
      </c>
      <c r="G1756" s="33">
        <v>1800.0</v>
      </c>
      <c r="H1756" s="35">
        <v>46135.0</v>
      </c>
      <c r="I1756" s="2" t="s">
        <v>24</v>
      </c>
      <c r="J1756" s="12" t="s">
        <v>1341</v>
      </c>
    </row>
    <row r="1757" ht="22.5" hidden="1" customHeight="1">
      <c r="A1757" s="2" t="s">
        <v>1340</v>
      </c>
      <c r="B1757" s="2" t="s">
        <v>1006</v>
      </c>
      <c r="C1757" s="2">
        <v>8321.0</v>
      </c>
      <c r="D1757" s="8" t="s">
        <v>46</v>
      </c>
      <c r="E1757" s="9" t="s">
        <v>58</v>
      </c>
      <c r="F1757" s="33">
        <v>1.0</v>
      </c>
      <c r="G1757" s="33">
        <v>1350.0</v>
      </c>
      <c r="H1757" s="35">
        <v>46135.0</v>
      </c>
      <c r="I1757" s="2" t="s">
        <v>14</v>
      </c>
      <c r="J1757" s="12" t="s">
        <v>1341</v>
      </c>
    </row>
    <row r="1758" ht="22.5" hidden="1" customHeight="1">
      <c r="A1758" s="2" t="s">
        <v>1342</v>
      </c>
      <c r="B1758" s="2" t="s">
        <v>762</v>
      </c>
      <c r="C1758" s="2" t="s">
        <v>763</v>
      </c>
      <c r="D1758" s="8" t="s">
        <v>46</v>
      </c>
      <c r="E1758" s="9" t="s">
        <v>1343</v>
      </c>
      <c r="F1758" s="33">
        <v>1.0</v>
      </c>
      <c r="G1758" s="33">
        <v>3980.0</v>
      </c>
      <c r="H1758" s="35">
        <v>46135.0</v>
      </c>
      <c r="I1758" s="2" t="s">
        <v>14</v>
      </c>
      <c r="J1758" s="12" t="s">
        <v>1344</v>
      </c>
    </row>
    <row r="1759" ht="22.5" hidden="1" customHeight="1">
      <c r="A1759" s="2" t="s">
        <v>1345</v>
      </c>
      <c r="B1759" s="2" t="s">
        <v>762</v>
      </c>
      <c r="C1759" s="2" t="s">
        <v>763</v>
      </c>
      <c r="D1759" s="8" t="s">
        <v>46</v>
      </c>
      <c r="E1759" s="9" t="s">
        <v>1346</v>
      </c>
      <c r="F1759" s="33">
        <v>1.0</v>
      </c>
      <c r="G1759" s="33">
        <v>1990.0</v>
      </c>
      <c r="H1759" s="35">
        <v>46135.0</v>
      </c>
      <c r="I1759" s="2" t="s">
        <v>14</v>
      </c>
      <c r="J1759" s="2"/>
    </row>
    <row r="1760" ht="22.5" hidden="1" customHeight="1">
      <c r="A1760" s="2" t="s">
        <v>129</v>
      </c>
      <c r="B1760" s="2" t="s">
        <v>762</v>
      </c>
      <c r="C1760" s="2" t="s">
        <v>763</v>
      </c>
      <c r="D1760" s="8" t="s">
        <v>46</v>
      </c>
      <c r="E1760" s="9" t="s">
        <v>1347</v>
      </c>
      <c r="F1760" s="33">
        <v>1.0</v>
      </c>
      <c r="G1760" s="33">
        <v>1990.0</v>
      </c>
      <c r="H1760" s="35">
        <v>46135.0</v>
      </c>
      <c r="I1760" s="2" t="s">
        <v>473</v>
      </c>
      <c r="J1760" s="12" t="s">
        <v>1348</v>
      </c>
    </row>
    <row r="1761" ht="22.5" hidden="1" customHeight="1">
      <c r="A1761" s="2" t="s">
        <v>1349</v>
      </c>
      <c r="B1761" s="2" t="s">
        <v>1232</v>
      </c>
      <c r="C1761" s="2" t="s">
        <v>1233</v>
      </c>
      <c r="D1761" s="8" t="s">
        <v>46</v>
      </c>
      <c r="E1761" s="9" t="s">
        <v>13</v>
      </c>
      <c r="F1761" s="33">
        <v>1.0</v>
      </c>
      <c r="G1761" s="33">
        <v>1550.0</v>
      </c>
      <c r="H1761" s="35">
        <v>46135.0</v>
      </c>
      <c r="I1761" s="2" t="s">
        <v>14</v>
      </c>
      <c r="J1761" s="12" t="s">
        <v>1350</v>
      </c>
    </row>
    <row r="1762" ht="22.5" hidden="1" customHeight="1">
      <c r="A1762" s="2" t="s">
        <v>701</v>
      </c>
      <c r="B1762" s="2" t="s">
        <v>963</v>
      </c>
      <c r="C1762" s="2">
        <v>8610.0</v>
      </c>
      <c r="D1762" s="8" t="s">
        <v>12</v>
      </c>
      <c r="E1762" s="9" t="s">
        <v>13</v>
      </c>
      <c r="F1762" s="33">
        <v>1.0</v>
      </c>
      <c r="G1762" s="33">
        <v>1190.0</v>
      </c>
      <c r="H1762" s="35">
        <v>46135.0</v>
      </c>
      <c r="I1762" s="2" t="s">
        <v>1183</v>
      </c>
      <c r="J1762" s="12" t="s">
        <v>1351</v>
      </c>
    </row>
    <row r="1763" ht="22.5" hidden="1" customHeight="1">
      <c r="A1763" s="2" t="s">
        <v>701</v>
      </c>
      <c r="B1763" s="2" t="s">
        <v>963</v>
      </c>
      <c r="C1763" s="2">
        <v>8610.0</v>
      </c>
      <c r="D1763" s="8" t="s">
        <v>12</v>
      </c>
      <c r="E1763" s="9" t="s">
        <v>18</v>
      </c>
      <c r="F1763" s="33">
        <v>1.0</v>
      </c>
      <c r="G1763" s="33">
        <v>1190.0</v>
      </c>
      <c r="H1763" s="35">
        <v>46135.0</v>
      </c>
      <c r="I1763" s="2" t="s">
        <v>1183</v>
      </c>
      <c r="J1763" s="12" t="s">
        <v>1351</v>
      </c>
    </row>
    <row r="1764" ht="22.5" hidden="1" customHeight="1">
      <c r="A1764" s="2" t="s">
        <v>701</v>
      </c>
      <c r="B1764" s="2" t="s">
        <v>963</v>
      </c>
      <c r="C1764" s="2">
        <v>8610.0</v>
      </c>
      <c r="D1764" s="8" t="s">
        <v>12</v>
      </c>
      <c r="E1764" s="9" t="s">
        <v>26</v>
      </c>
      <c r="F1764" s="33">
        <v>1.0</v>
      </c>
      <c r="G1764" s="33">
        <v>1190.0</v>
      </c>
      <c r="H1764" s="35">
        <v>46135.0</v>
      </c>
      <c r="I1764" s="2" t="s">
        <v>1183</v>
      </c>
      <c r="J1764" s="12" t="s">
        <v>1351</v>
      </c>
    </row>
    <row r="1765" ht="22.5" hidden="1" customHeight="1">
      <c r="A1765" s="2" t="s">
        <v>701</v>
      </c>
      <c r="B1765" s="2" t="s">
        <v>963</v>
      </c>
      <c r="C1765" s="2">
        <v>8610.0</v>
      </c>
      <c r="D1765" s="8" t="s">
        <v>12</v>
      </c>
      <c r="E1765" s="9" t="s">
        <v>23</v>
      </c>
      <c r="F1765" s="33">
        <v>1.0</v>
      </c>
      <c r="G1765" s="33">
        <v>1190.0</v>
      </c>
      <c r="H1765" s="35">
        <v>46135.0</v>
      </c>
      <c r="I1765" s="2" t="s">
        <v>1183</v>
      </c>
      <c r="J1765" s="12" t="s">
        <v>1351</v>
      </c>
    </row>
    <row r="1766" ht="22.5" hidden="1" customHeight="1">
      <c r="A1766" s="2" t="s">
        <v>701</v>
      </c>
      <c r="B1766" s="2" t="s">
        <v>963</v>
      </c>
      <c r="C1766" s="2">
        <v>8610.0</v>
      </c>
      <c r="D1766" s="8" t="s">
        <v>12</v>
      </c>
      <c r="E1766" s="9" t="s">
        <v>58</v>
      </c>
      <c r="F1766" s="33">
        <v>1.0</v>
      </c>
      <c r="G1766" s="33">
        <v>1190.0</v>
      </c>
      <c r="H1766" s="35">
        <v>46135.0</v>
      </c>
      <c r="I1766" s="2" t="s">
        <v>473</v>
      </c>
      <c r="J1766" s="12" t="s">
        <v>1351</v>
      </c>
    </row>
    <row r="1767" ht="22.5" hidden="1" customHeight="1">
      <c r="A1767" s="2" t="s">
        <v>701</v>
      </c>
      <c r="B1767" s="2" t="s">
        <v>1006</v>
      </c>
      <c r="C1767" s="2">
        <v>8321.0</v>
      </c>
      <c r="D1767" s="8" t="s">
        <v>46</v>
      </c>
      <c r="E1767" s="9" t="s">
        <v>26</v>
      </c>
      <c r="F1767" s="33">
        <v>1.0</v>
      </c>
      <c r="G1767" s="33">
        <v>1350.0</v>
      </c>
      <c r="H1767" s="35">
        <v>46135.0</v>
      </c>
      <c r="I1767" s="2" t="s">
        <v>1183</v>
      </c>
      <c r="J1767" s="12" t="s">
        <v>1351</v>
      </c>
    </row>
    <row r="1768" ht="22.5" hidden="1" customHeight="1">
      <c r="A1768" s="2" t="s">
        <v>701</v>
      </c>
      <c r="B1768" s="2" t="s">
        <v>1006</v>
      </c>
      <c r="C1768" s="2">
        <v>8321.0</v>
      </c>
      <c r="D1768" s="8" t="s">
        <v>46</v>
      </c>
      <c r="E1768" s="9" t="s">
        <v>58</v>
      </c>
      <c r="F1768" s="33">
        <v>1.0</v>
      </c>
      <c r="G1768" s="33">
        <v>1350.0</v>
      </c>
      <c r="H1768" s="35">
        <v>46135.0</v>
      </c>
      <c r="I1768" s="2" t="s">
        <v>473</v>
      </c>
      <c r="J1768" s="12" t="s">
        <v>1351</v>
      </c>
    </row>
    <row r="1769" ht="22.5" hidden="1" customHeight="1">
      <c r="A1769" s="2" t="s">
        <v>701</v>
      </c>
      <c r="B1769" s="2" t="s">
        <v>1006</v>
      </c>
      <c r="C1769" s="2">
        <v>8321.0</v>
      </c>
      <c r="D1769" s="8" t="s">
        <v>46</v>
      </c>
      <c r="E1769" s="9" t="s">
        <v>447</v>
      </c>
      <c r="F1769" s="33">
        <v>1.0</v>
      </c>
      <c r="G1769" s="33">
        <v>1350.0</v>
      </c>
      <c r="H1769" s="35">
        <v>46135.0</v>
      </c>
      <c r="I1769" s="2" t="s">
        <v>473</v>
      </c>
      <c r="J1769" s="12" t="s">
        <v>1351</v>
      </c>
    </row>
    <row r="1770" ht="22.5" hidden="1" customHeight="1">
      <c r="A1770" s="2" t="s">
        <v>701</v>
      </c>
      <c r="B1770" s="2" t="s">
        <v>1254</v>
      </c>
      <c r="C1770" s="2" t="s">
        <v>1255</v>
      </c>
      <c r="D1770" s="8" t="s">
        <v>22</v>
      </c>
      <c r="E1770" s="9" t="s">
        <v>1256</v>
      </c>
      <c r="F1770" s="33">
        <v>1.0</v>
      </c>
      <c r="G1770" s="33">
        <v>1200.0</v>
      </c>
      <c r="H1770" s="35">
        <v>46135.0</v>
      </c>
      <c r="I1770" s="2" t="s">
        <v>473</v>
      </c>
      <c r="J1770" s="12" t="s">
        <v>1351</v>
      </c>
    </row>
    <row r="1771" ht="22.5" hidden="1" customHeight="1">
      <c r="A1771" s="2" t="s">
        <v>701</v>
      </c>
      <c r="B1771" s="2" t="s">
        <v>1254</v>
      </c>
      <c r="C1771" s="2" t="s">
        <v>1255</v>
      </c>
      <c r="D1771" s="8" t="s">
        <v>22</v>
      </c>
      <c r="E1771" s="9" t="s">
        <v>1260</v>
      </c>
      <c r="F1771" s="33">
        <v>1.0</v>
      </c>
      <c r="G1771" s="33">
        <v>1200.0</v>
      </c>
      <c r="H1771" s="35">
        <v>46135.0</v>
      </c>
      <c r="I1771" s="2" t="s">
        <v>473</v>
      </c>
      <c r="J1771" s="12" t="s">
        <v>1351</v>
      </c>
    </row>
    <row r="1772" ht="22.5" hidden="1" customHeight="1">
      <c r="A1772" s="2" t="s">
        <v>1352</v>
      </c>
      <c r="B1772" s="2" t="s">
        <v>1254</v>
      </c>
      <c r="C1772" s="2" t="s">
        <v>1255</v>
      </c>
      <c r="D1772" s="8" t="s">
        <v>22</v>
      </c>
      <c r="E1772" s="9" t="s">
        <v>1260</v>
      </c>
      <c r="F1772" s="33">
        <v>1.0</v>
      </c>
      <c r="G1772" s="33">
        <v>1200.0</v>
      </c>
      <c r="H1772" s="35">
        <v>46136.0</v>
      </c>
      <c r="I1772" s="2" t="s">
        <v>14</v>
      </c>
      <c r="J1772" s="12" t="s">
        <v>1353</v>
      </c>
    </row>
    <row r="1773" ht="22.5" hidden="1" customHeight="1">
      <c r="A1773" s="2" t="s">
        <v>348</v>
      </c>
      <c r="B1773" s="2" t="s">
        <v>1184</v>
      </c>
      <c r="C1773" s="2" t="s">
        <v>1185</v>
      </c>
      <c r="D1773" s="8" t="s">
        <v>1037</v>
      </c>
      <c r="E1773" s="9" t="s">
        <v>58</v>
      </c>
      <c r="F1773" s="33">
        <v>1.0</v>
      </c>
      <c r="G1773" s="33">
        <v>845.0</v>
      </c>
      <c r="H1773" s="35">
        <v>46136.0</v>
      </c>
      <c r="I1773" s="2" t="s">
        <v>14</v>
      </c>
      <c r="J1773" s="12" t="s">
        <v>1354</v>
      </c>
    </row>
    <row r="1774" ht="22.5" hidden="1" customHeight="1">
      <c r="A1774" s="2" t="s">
        <v>348</v>
      </c>
      <c r="B1774" s="2" t="s">
        <v>1184</v>
      </c>
      <c r="C1774" s="2" t="s">
        <v>1185</v>
      </c>
      <c r="D1774" s="8" t="s">
        <v>1037</v>
      </c>
      <c r="E1774" s="9" t="s">
        <v>23</v>
      </c>
      <c r="F1774" s="33">
        <v>1.0</v>
      </c>
      <c r="G1774" s="33">
        <v>845.0</v>
      </c>
      <c r="H1774" s="35">
        <v>46136.0</v>
      </c>
      <c r="I1774" s="2" t="s">
        <v>14</v>
      </c>
      <c r="J1774" s="12" t="s">
        <v>1354</v>
      </c>
    </row>
    <row r="1775" ht="22.5" hidden="1" customHeight="1">
      <c r="A1775" s="2" t="s">
        <v>348</v>
      </c>
      <c r="B1775" s="2" t="s">
        <v>1184</v>
      </c>
      <c r="C1775" s="2" t="s">
        <v>1185</v>
      </c>
      <c r="D1775" s="8" t="s">
        <v>1037</v>
      </c>
      <c r="E1775" s="9" t="s">
        <v>18</v>
      </c>
      <c r="F1775" s="33">
        <v>1.0</v>
      </c>
      <c r="G1775" s="33">
        <v>845.0</v>
      </c>
      <c r="H1775" s="35">
        <v>46136.0</v>
      </c>
      <c r="I1775" s="2" t="s">
        <v>14</v>
      </c>
      <c r="J1775" s="12" t="s">
        <v>1354</v>
      </c>
    </row>
    <row r="1776" ht="22.5" hidden="1" customHeight="1">
      <c r="A1776" s="2" t="s">
        <v>36</v>
      </c>
      <c r="B1776" s="2" t="s">
        <v>1254</v>
      </c>
      <c r="C1776" s="2" t="s">
        <v>1255</v>
      </c>
      <c r="D1776" s="8" t="s">
        <v>75</v>
      </c>
      <c r="E1776" s="9" t="s">
        <v>1256</v>
      </c>
      <c r="F1776" s="33">
        <v>1.0</v>
      </c>
      <c r="G1776" s="33">
        <v>1200.0</v>
      </c>
      <c r="H1776" s="35">
        <v>46136.0</v>
      </c>
      <c r="I1776" s="2" t="s">
        <v>14</v>
      </c>
      <c r="J1776" s="12" t="s">
        <v>1355</v>
      </c>
    </row>
    <row r="1777" ht="22.5" hidden="1" customHeight="1">
      <c r="A1777" s="2" t="s">
        <v>36</v>
      </c>
      <c r="B1777" s="2" t="s">
        <v>1199</v>
      </c>
      <c r="C1777" s="2" t="s">
        <v>1200</v>
      </c>
      <c r="D1777" s="8" t="s">
        <v>22</v>
      </c>
      <c r="E1777" s="9" t="s">
        <v>47</v>
      </c>
      <c r="F1777" s="33">
        <v>1.0</v>
      </c>
      <c r="G1777" s="33">
        <v>725.0</v>
      </c>
      <c r="H1777" s="35">
        <v>46136.0</v>
      </c>
      <c r="I1777" s="2" t="s">
        <v>14</v>
      </c>
      <c r="J1777" s="12" t="s">
        <v>1355</v>
      </c>
    </row>
    <row r="1778" ht="22.5" hidden="1" customHeight="1">
      <c r="A1778" s="2" t="s">
        <v>36</v>
      </c>
      <c r="B1778" s="2" t="s">
        <v>1201</v>
      </c>
      <c r="C1778" s="2" t="s">
        <v>1202</v>
      </c>
      <c r="D1778" s="8" t="s">
        <v>22</v>
      </c>
      <c r="E1778" s="9" t="s">
        <v>47</v>
      </c>
      <c r="F1778" s="33">
        <v>1.0</v>
      </c>
      <c r="G1778" s="33">
        <v>725.0</v>
      </c>
      <c r="H1778" s="35">
        <v>46136.0</v>
      </c>
      <c r="I1778" s="2" t="s">
        <v>14</v>
      </c>
      <c r="J1778" s="12" t="s">
        <v>1355</v>
      </c>
    </row>
    <row r="1779" ht="22.5" hidden="1" customHeight="1">
      <c r="A1779" s="2" t="s">
        <v>36</v>
      </c>
      <c r="B1779" s="2" t="s">
        <v>1203</v>
      </c>
      <c r="C1779" s="2" t="s">
        <v>1204</v>
      </c>
      <c r="D1779" s="8" t="s">
        <v>22</v>
      </c>
      <c r="E1779" s="9" t="s">
        <v>47</v>
      </c>
      <c r="F1779" s="33">
        <v>1.0</v>
      </c>
      <c r="G1779" s="33">
        <v>725.0</v>
      </c>
      <c r="H1779" s="35">
        <v>46136.0</v>
      </c>
      <c r="I1779" s="2" t="s">
        <v>14</v>
      </c>
      <c r="J1779" s="12" t="s">
        <v>1355</v>
      </c>
    </row>
    <row r="1780" ht="22.5" hidden="1" customHeight="1">
      <c r="A1780" s="2" t="s">
        <v>63</v>
      </c>
      <c r="B1780" s="2" t="s">
        <v>1254</v>
      </c>
      <c r="C1780" s="2" t="s">
        <v>1255</v>
      </c>
      <c r="D1780" s="8" t="s">
        <v>75</v>
      </c>
      <c r="E1780" s="9" t="s">
        <v>1256</v>
      </c>
      <c r="F1780" s="33">
        <v>1.0</v>
      </c>
      <c r="G1780" s="33">
        <v>1200.0</v>
      </c>
      <c r="H1780" s="35">
        <v>46136.0</v>
      </c>
      <c r="I1780" s="2" t="s">
        <v>473</v>
      </c>
      <c r="J1780" s="12" t="s">
        <v>1190</v>
      </c>
    </row>
    <row r="1781" ht="22.5" hidden="1" customHeight="1">
      <c r="A1781" s="2" t="s">
        <v>63</v>
      </c>
      <c r="B1781" s="2" t="s">
        <v>1232</v>
      </c>
      <c r="C1781" s="2" t="s">
        <v>1233</v>
      </c>
      <c r="D1781" s="8" t="s">
        <v>46</v>
      </c>
      <c r="E1781" s="9" t="s">
        <v>13</v>
      </c>
      <c r="F1781" s="33">
        <v>1.0</v>
      </c>
      <c r="G1781" s="33">
        <v>1550.0</v>
      </c>
      <c r="H1781" s="35">
        <v>46136.0</v>
      </c>
      <c r="I1781" s="2" t="s">
        <v>473</v>
      </c>
      <c r="J1781" s="12" t="s">
        <v>1190</v>
      </c>
    </row>
    <row r="1782" ht="22.5" hidden="1" customHeight="1">
      <c r="A1782" s="2" t="s">
        <v>344</v>
      </c>
      <c r="B1782" s="2" t="s">
        <v>1199</v>
      </c>
      <c r="C1782" s="2" t="s">
        <v>1200</v>
      </c>
      <c r="D1782" s="8" t="s">
        <v>22</v>
      </c>
      <c r="E1782" s="9" t="s">
        <v>47</v>
      </c>
      <c r="F1782" s="33">
        <v>1.0</v>
      </c>
      <c r="G1782" s="33">
        <v>725.0</v>
      </c>
      <c r="H1782" s="35">
        <v>46136.0</v>
      </c>
      <c r="I1782" s="2" t="s">
        <v>14</v>
      </c>
      <c r="J1782" s="12" t="s">
        <v>1356</v>
      </c>
    </row>
    <row r="1783" ht="22.5" hidden="1" customHeight="1">
      <c r="A1783" s="2" t="s">
        <v>344</v>
      </c>
      <c r="B1783" s="2" t="s">
        <v>1201</v>
      </c>
      <c r="C1783" s="2" t="s">
        <v>1202</v>
      </c>
      <c r="D1783" s="8" t="s">
        <v>22</v>
      </c>
      <c r="E1783" s="9" t="s">
        <v>47</v>
      </c>
      <c r="F1783" s="33">
        <v>1.0</v>
      </c>
      <c r="G1783" s="33">
        <v>725.0</v>
      </c>
      <c r="H1783" s="35">
        <v>46136.0</v>
      </c>
      <c r="I1783" s="2" t="s">
        <v>14</v>
      </c>
      <c r="J1783" s="12" t="s">
        <v>1356</v>
      </c>
    </row>
    <row r="1784" ht="22.5" hidden="1" customHeight="1">
      <c r="A1784" s="2" t="s">
        <v>1357</v>
      </c>
      <c r="B1784" s="2" t="s">
        <v>440</v>
      </c>
      <c r="C1784" s="2" t="s">
        <v>441</v>
      </c>
      <c r="D1784" s="8" t="s">
        <v>46</v>
      </c>
      <c r="E1784" s="9" t="s">
        <v>16</v>
      </c>
      <c r="F1784" s="33">
        <v>1.0</v>
      </c>
      <c r="G1784" s="33">
        <v>1200.0</v>
      </c>
      <c r="H1784" s="35">
        <v>46136.0</v>
      </c>
      <c r="I1784" s="2" t="s">
        <v>473</v>
      </c>
      <c r="J1784" s="12" t="s">
        <v>1358</v>
      </c>
    </row>
    <row r="1785" ht="22.5" hidden="1" customHeight="1">
      <c r="A1785" s="2" t="s">
        <v>1357</v>
      </c>
      <c r="B1785" s="2" t="s">
        <v>755</v>
      </c>
      <c r="C1785" s="2">
        <v>8558.0</v>
      </c>
      <c r="D1785" s="8" t="s">
        <v>22</v>
      </c>
      <c r="E1785" s="9" t="s">
        <v>23</v>
      </c>
      <c r="F1785" s="33">
        <v>1.0</v>
      </c>
      <c r="G1785" s="33">
        <v>1390.0</v>
      </c>
      <c r="H1785" s="35">
        <v>46136.0</v>
      </c>
      <c r="I1785" s="2" t="s">
        <v>1183</v>
      </c>
      <c r="J1785" s="12" t="s">
        <v>1358</v>
      </c>
    </row>
    <row r="1786" ht="22.5" hidden="1" customHeight="1">
      <c r="A1786" s="2" t="s">
        <v>1357</v>
      </c>
      <c r="B1786" s="2" t="s">
        <v>755</v>
      </c>
      <c r="C1786" s="2">
        <v>8558.0</v>
      </c>
      <c r="D1786" s="8" t="s">
        <v>22</v>
      </c>
      <c r="E1786" s="9" t="s">
        <v>16</v>
      </c>
      <c r="F1786" s="33">
        <v>1.0</v>
      </c>
      <c r="G1786" s="33">
        <v>1390.0</v>
      </c>
      <c r="H1786" s="35">
        <v>46136.0</v>
      </c>
      <c r="I1786" s="2" t="s">
        <v>473</v>
      </c>
      <c r="J1786" s="12" t="s">
        <v>1358</v>
      </c>
    </row>
    <row r="1787" ht="22.5" hidden="1" customHeight="1">
      <c r="A1787" s="2" t="s">
        <v>1357</v>
      </c>
      <c r="B1787" s="2" t="s">
        <v>173</v>
      </c>
      <c r="C1787" s="2">
        <v>7249.0</v>
      </c>
      <c r="D1787" s="8" t="s">
        <v>22</v>
      </c>
      <c r="E1787" s="9" t="s">
        <v>340</v>
      </c>
      <c r="F1787" s="33">
        <v>1.0</v>
      </c>
      <c r="G1787" s="33">
        <v>2300.0</v>
      </c>
      <c r="H1787" s="35">
        <v>46136.0</v>
      </c>
      <c r="I1787" s="2" t="s">
        <v>473</v>
      </c>
      <c r="J1787" s="12" t="s">
        <v>1358</v>
      </c>
    </row>
    <row r="1788" ht="22.5" hidden="1" customHeight="1">
      <c r="A1788" s="2" t="s">
        <v>326</v>
      </c>
      <c r="B1788" s="2" t="s">
        <v>1212</v>
      </c>
      <c r="C1788" s="2">
        <v>92212.0</v>
      </c>
      <c r="D1788" s="8" t="s">
        <v>46</v>
      </c>
      <c r="E1788" s="9" t="s">
        <v>16</v>
      </c>
      <c r="F1788" s="33">
        <v>1.0</v>
      </c>
      <c r="G1788" s="33">
        <v>1700.0</v>
      </c>
      <c r="H1788" s="35">
        <v>46136.0</v>
      </c>
      <c r="I1788" s="2" t="s">
        <v>14</v>
      </c>
      <c r="J1788" s="12" t="s">
        <v>1359</v>
      </c>
    </row>
    <row r="1789" ht="22.5" hidden="1" customHeight="1">
      <c r="A1789" s="2" t="s">
        <v>1360</v>
      </c>
      <c r="B1789" s="2" t="s">
        <v>912</v>
      </c>
      <c r="C1789" s="2" t="s">
        <v>913</v>
      </c>
      <c r="D1789" s="8" t="s">
        <v>75</v>
      </c>
      <c r="E1789" s="9" t="s">
        <v>23</v>
      </c>
      <c r="F1789" s="33">
        <v>1.0</v>
      </c>
      <c r="G1789" s="33">
        <v>1650.0</v>
      </c>
      <c r="H1789" s="35">
        <v>46136.0</v>
      </c>
      <c r="I1789" s="2" t="s">
        <v>24</v>
      </c>
      <c r="J1789" s="12" t="s">
        <v>1361</v>
      </c>
    </row>
    <row r="1790" ht="22.5" hidden="1" customHeight="1">
      <c r="A1790" s="2" t="s">
        <v>1360</v>
      </c>
      <c r="B1790" s="2" t="s">
        <v>726</v>
      </c>
      <c r="C1790" s="2">
        <v>9091.0</v>
      </c>
      <c r="D1790" s="8" t="s">
        <v>75</v>
      </c>
      <c r="E1790" s="9" t="s">
        <v>58</v>
      </c>
      <c r="F1790" s="33">
        <v>1.0</v>
      </c>
      <c r="G1790" s="33">
        <v>1950.0</v>
      </c>
      <c r="H1790" s="35">
        <v>46136.0</v>
      </c>
      <c r="I1790" s="2" t="s">
        <v>24</v>
      </c>
      <c r="J1790" s="12" t="s">
        <v>1361</v>
      </c>
    </row>
    <row r="1791" ht="22.5" hidden="1" customHeight="1">
      <c r="A1791" s="2" t="s">
        <v>1362</v>
      </c>
      <c r="B1791" s="2" t="s">
        <v>1203</v>
      </c>
      <c r="C1791" s="2" t="s">
        <v>1204</v>
      </c>
      <c r="D1791" s="8" t="s">
        <v>75</v>
      </c>
      <c r="E1791" s="9" t="s">
        <v>47</v>
      </c>
      <c r="F1791" s="33">
        <v>1.0</v>
      </c>
      <c r="G1791" s="33">
        <v>725.0</v>
      </c>
      <c r="H1791" s="35">
        <v>46136.0</v>
      </c>
      <c r="I1791" s="2" t="s">
        <v>473</v>
      </c>
      <c r="J1791" s="12" t="s">
        <v>1363</v>
      </c>
    </row>
    <row r="1792" ht="22.5" hidden="1" customHeight="1">
      <c r="A1792" s="2" t="s">
        <v>1362</v>
      </c>
      <c r="B1792" s="2" t="s">
        <v>1203</v>
      </c>
      <c r="C1792" s="2" t="s">
        <v>1204</v>
      </c>
      <c r="D1792" s="8" t="s">
        <v>75</v>
      </c>
      <c r="E1792" s="9" t="s">
        <v>18</v>
      </c>
      <c r="F1792" s="33">
        <v>1.0</v>
      </c>
      <c r="G1792" s="33">
        <v>725.0</v>
      </c>
      <c r="H1792" s="35">
        <v>46136.0</v>
      </c>
      <c r="I1792" s="2" t="s">
        <v>473</v>
      </c>
      <c r="J1792" s="12" t="s">
        <v>1363</v>
      </c>
    </row>
    <row r="1793" ht="22.5" hidden="1" customHeight="1">
      <c r="A1793" s="2" t="s">
        <v>1362</v>
      </c>
      <c r="B1793" s="2" t="s">
        <v>826</v>
      </c>
      <c r="C1793" s="2">
        <v>8825.0</v>
      </c>
      <c r="D1793" s="8" t="s">
        <v>22</v>
      </c>
      <c r="E1793" s="9" t="s">
        <v>18</v>
      </c>
      <c r="F1793" s="33">
        <v>1.0</v>
      </c>
      <c r="G1793" s="33">
        <v>1450.0</v>
      </c>
      <c r="H1793" s="35">
        <v>46136.0</v>
      </c>
      <c r="I1793" s="2" t="s">
        <v>1183</v>
      </c>
      <c r="J1793" s="12" t="s">
        <v>1363</v>
      </c>
    </row>
    <row r="1794" ht="22.5" hidden="1" customHeight="1">
      <c r="A1794" s="2" t="s">
        <v>965</v>
      </c>
      <c r="B1794" s="2" t="s">
        <v>152</v>
      </c>
      <c r="C1794" s="2">
        <v>8319.0</v>
      </c>
      <c r="D1794" s="8" t="s">
        <v>22</v>
      </c>
      <c r="E1794" s="9" t="s">
        <v>58</v>
      </c>
      <c r="F1794" s="33">
        <v>1.0</v>
      </c>
      <c r="G1794" s="33">
        <v>1900.0</v>
      </c>
      <c r="H1794" s="35">
        <v>46136.0</v>
      </c>
      <c r="I1794" s="2" t="s">
        <v>1183</v>
      </c>
      <c r="J1794" s="12" t="s">
        <v>966</v>
      </c>
    </row>
    <row r="1795" ht="22.5" hidden="1" customHeight="1">
      <c r="A1795" s="2" t="s">
        <v>1364</v>
      </c>
      <c r="B1795" s="2" t="s">
        <v>268</v>
      </c>
      <c r="C1795" s="2" t="s">
        <v>269</v>
      </c>
      <c r="D1795" s="8">
        <v>36.0</v>
      </c>
      <c r="E1795" s="9" t="s">
        <v>47</v>
      </c>
      <c r="F1795" s="33">
        <v>1.0</v>
      </c>
      <c r="G1795" s="33">
        <v>1990.0</v>
      </c>
      <c r="H1795" s="35">
        <v>46136.0</v>
      </c>
      <c r="I1795" s="2" t="s">
        <v>14</v>
      </c>
      <c r="J1795" s="12" t="s">
        <v>1365</v>
      </c>
    </row>
    <row r="1796" ht="22.5" hidden="1" customHeight="1">
      <c r="A1796" s="2" t="s">
        <v>1366</v>
      </c>
      <c r="B1796" s="2" t="s">
        <v>352</v>
      </c>
      <c r="C1796" s="2">
        <v>5709.0</v>
      </c>
      <c r="D1796" s="8" t="s">
        <v>12</v>
      </c>
      <c r="E1796" s="9" t="s">
        <v>340</v>
      </c>
      <c r="F1796" s="33">
        <v>1.0</v>
      </c>
      <c r="G1796" s="33">
        <v>2350.0</v>
      </c>
      <c r="H1796" s="35">
        <v>46136.0</v>
      </c>
      <c r="I1796" s="2" t="s">
        <v>14</v>
      </c>
      <c r="J1796" s="12" t="s">
        <v>1367</v>
      </c>
    </row>
    <row r="1797" ht="22.5" hidden="1" customHeight="1">
      <c r="A1797" s="2" t="s">
        <v>1366</v>
      </c>
      <c r="B1797" s="2" t="s">
        <v>958</v>
      </c>
      <c r="C1797" s="2" t="s">
        <v>959</v>
      </c>
      <c r="D1797" s="8" t="s">
        <v>12</v>
      </c>
      <c r="E1797" s="9" t="s">
        <v>18</v>
      </c>
      <c r="F1797" s="33">
        <v>1.0</v>
      </c>
      <c r="G1797" s="33">
        <v>1800.0</v>
      </c>
      <c r="H1797" s="35">
        <v>46136.0</v>
      </c>
      <c r="I1797" s="2" t="s">
        <v>14</v>
      </c>
      <c r="J1797" s="12" t="s">
        <v>1367</v>
      </c>
    </row>
    <row r="1798" ht="22.5" hidden="1" customHeight="1">
      <c r="A1798" s="2" t="s">
        <v>1366</v>
      </c>
      <c r="B1798" s="2" t="s">
        <v>1311</v>
      </c>
      <c r="C1798" s="2">
        <v>8888.0</v>
      </c>
      <c r="D1798" s="8" t="s">
        <v>12</v>
      </c>
      <c r="E1798" s="9" t="s">
        <v>13</v>
      </c>
      <c r="F1798" s="33">
        <v>1.0</v>
      </c>
      <c r="G1798" s="33">
        <v>1700.0</v>
      </c>
      <c r="H1798" s="35">
        <v>46136.0</v>
      </c>
      <c r="I1798" s="2" t="s">
        <v>1183</v>
      </c>
      <c r="J1798" s="12" t="s">
        <v>1367</v>
      </c>
    </row>
    <row r="1799" ht="22.5" hidden="1" customHeight="1">
      <c r="A1799" s="2" t="s">
        <v>1368</v>
      </c>
      <c r="B1799" s="2" t="s">
        <v>762</v>
      </c>
      <c r="C1799" s="2" t="s">
        <v>763</v>
      </c>
      <c r="D1799" s="8" t="s">
        <v>46</v>
      </c>
      <c r="E1799" s="9" t="s">
        <v>1369</v>
      </c>
      <c r="F1799" s="33">
        <v>1.0</v>
      </c>
      <c r="G1799" s="33">
        <v>1.0</v>
      </c>
      <c r="H1799" s="35">
        <v>46137.0</v>
      </c>
      <c r="I1799" s="2" t="s">
        <v>14</v>
      </c>
      <c r="J1799" s="2"/>
    </row>
    <row r="1800" ht="22.5" hidden="1" customHeight="1">
      <c r="A1800" s="2" t="s">
        <v>1370</v>
      </c>
      <c r="B1800" s="2" t="s">
        <v>1293</v>
      </c>
      <c r="C1800" s="2" t="s">
        <v>1371</v>
      </c>
      <c r="D1800" s="8">
        <v>42.0</v>
      </c>
      <c r="E1800" s="9" t="s">
        <v>18</v>
      </c>
      <c r="F1800" s="33">
        <v>1.0</v>
      </c>
      <c r="G1800" s="33">
        <v>2900.0</v>
      </c>
      <c r="H1800" s="35">
        <v>46137.0</v>
      </c>
      <c r="I1800" s="2" t="s">
        <v>14</v>
      </c>
      <c r="J1800" s="12" t="s">
        <v>1372</v>
      </c>
    </row>
    <row r="1801" ht="22.5" hidden="1" customHeight="1">
      <c r="A1801" s="2" t="s">
        <v>1373</v>
      </c>
      <c r="B1801" s="2" t="s">
        <v>1374</v>
      </c>
      <c r="C1801" s="2" t="s">
        <v>1375</v>
      </c>
      <c r="D1801" s="8">
        <v>36.0</v>
      </c>
      <c r="E1801" s="9" t="s">
        <v>26</v>
      </c>
      <c r="F1801" s="33">
        <v>1.0</v>
      </c>
      <c r="G1801" s="33">
        <v>7000.0</v>
      </c>
      <c r="H1801" s="35">
        <v>46137.0</v>
      </c>
      <c r="I1801" s="2" t="s">
        <v>14</v>
      </c>
      <c r="J1801" s="2"/>
    </row>
    <row r="1802" ht="22.5" hidden="1" customHeight="1">
      <c r="A1802" s="2" t="s">
        <v>950</v>
      </c>
      <c r="B1802" s="2" t="s">
        <v>1314</v>
      </c>
      <c r="C1802" s="2" t="s">
        <v>1315</v>
      </c>
      <c r="D1802" s="8">
        <v>39.0</v>
      </c>
      <c r="E1802" s="9" t="s">
        <v>16</v>
      </c>
      <c r="F1802" s="33">
        <v>2.0</v>
      </c>
      <c r="G1802" s="33">
        <v>7000.0</v>
      </c>
      <c r="H1802" s="35">
        <v>46137.0</v>
      </c>
      <c r="I1802" s="2" t="s">
        <v>14</v>
      </c>
      <c r="J1802" s="2"/>
    </row>
    <row r="1803" ht="22.5" hidden="1" customHeight="1">
      <c r="A1803" s="2" t="s">
        <v>932</v>
      </c>
      <c r="B1803" s="2" t="s">
        <v>1376</v>
      </c>
      <c r="C1803" s="2" t="s">
        <v>1377</v>
      </c>
      <c r="D1803" s="8">
        <v>37.0</v>
      </c>
      <c r="E1803" s="9" t="s">
        <v>16</v>
      </c>
      <c r="F1803" s="33">
        <v>1.0</v>
      </c>
      <c r="G1803" s="33">
        <v>7000.0</v>
      </c>
      <c r="H1803" s="35">
        <v>46137.0</v>
      </c>
      <c r="I1803" s="2" t="s">
        <v>14</v>
      </c>
      <c r="J1803" s="12" t="s">
        <v>933</v>
      </c>
    </row>
    <row r="1804" ht="22.5" hidden="1" customHeight="1">
      <c r="A1804" s="2" t="s">
        <v>390</v>
      </c>
      <c r="B1804" s="2" t="s">
        <v>1293</v>
      </c>
      <c r="C1804" s="2" t="s">
        <v>1378</v>
      </c>
      <c r="D1804" s="8">
        <v>37.0</v>
      </c>
      <c r="E1804" s="9" t="s">
        <v>47</v>
      </c>
      <c r="F1804" s="33">
        <v>1.0</v>
      </c>
      <c r="G1804" s="33">
        <v>2900.0</v>
      </c>
      <c r="H1804" s="35">
        <v>46137.0</v>
      </c>
      <c r="I1804" s="2" t="s">
        <v>14</v>
      </c>
      <c r="J1804" s="2"/>
    </row>
    <row r="1805" ht="22.5" hidden="1" customHeight="1">
      <c r="A1805" s="2" t="s">
        <v>396</v>
      </c>
      <c r="B1805" s="2" t="s">
        <v>1376</v>
      </c>
      <c r="C1805" s="2" t="s">
        <v>1377</v>
      </c>
      <c r="D1805" s="8">
        <v>37.0</v>
      </c>
      <c r="E1805" s="9" t="s">
        <v>47</v>
      </c>
      <c r="F1805" s="33">
        <v>1.0</v>
      </c>
      <c r="G1805" s="33">
        <v>7000.0</v>
      </c>
      <c r="H1805" s="35">
        <v>46137.0</v>
      </c>
      <c r="I1805" s="2" t="s">
        <v>14</v>
      </c>
      <c r="J1805" s="2"/>
    </row>
    <row r="1806" ht="22.5" hidden="1" customHeight="1">
      <c r="A1806" s="2" t="s">
        <v>1379</v>
      </c>
      <c r="B1806" s="2" t="s">
        <v>1380</v>
      </c>
      <c r="C1806" s="2" t="s">
        <v>1381</v>
      </c>
      <c r="D1806" s="8">
        <v>37.0</v>
      </c>
      <c r="E1806" s="9" t="s">
        <v>198</v>
      </c>
      <c r="F1806" s="33">
        <v>1.0</v>
      </c>
      <c r="G1806" s="33">
        <v>6800.0</v>
      </c>
      <c r="H1806" s="35">
        <v>46137.0</v>
      </c>
      <c r="I1806" s="2" t="s">
        <v>14</v>
      </c>
      <c r="J1806" s="2"/>
    </row>
    <row r="1807" ht="22.5" hidden="1" customHeight="1">
      <c r="A1807" s="2" t="s">
        <v>1382</v>
      </c>
      <c r="B1807" s="2" t="s">
        <v>152</v>
      </c>
      <c r="C1807" s="2">
        <v>8319.0</v>
      </c>
      <c r="D1807" s="8" t="s">
        <v>12</v>
      </c>
      <c r="E1807" s="9" t="s">
        <v>58</v>
      </c>
      <c r="F1807" s="33">
        <v>1.0</v>
      </c>
      <c r="G1807" s="33">
        <v>1900.0</v>
      </c>
      <c r="H1807" s="35">
        <v>46138.0</v>
      </c>
      <c r="I1807" s="2" t="s">
        <v>473</v>
      </c>
      <c r="J1807" s="12" t="s">
        <v>1383</v>
      </c>
    </row>
    <row r="1808" ht="22.5" hidden="1" customHeight="1">
      <c r="A1808" s="2" t="s">
        <v>386</v>
      </c>
      <c r="B1808" s="2" t="s">
        <v>1254</v>
      </c>
      <c r="C1808" s="2" t="s">
        <v>1255</v>
      </c>
      <c r="D1808" s="8" t="s">
        <v>75</v>
      </c>
      <c r="E1808" s="9" t="s">
        <v>1260</v>
      </c>
      <c r="F1808" s="33">
        <v>1.0</v>
      </c>
      <c r="G1808" s="33">
        <v>1200.0</v>
      </c>
      <c r="H1808" s="35">
        <v>46138.0</v>
      </c>
      <c r="I1808" s="2" t="s">
        <v>473</v>
      </c>
      <c r="J1808" s="2"/>
    </row>
    <row r="1809" ht="22.5" hidden="1" customHeight="1">
      <c r="A1809" s="2" t="s">
        <v>1384</v>
      </c>
      <c r="B1809" s="2" t="s">
        <v>516</v>
      </c>
      <c r="C1809" s="2" t="s">
        <v>517</v>
      </c>
      <c r="D1809" s="8" t="s">
        <v>46</v>
      </c>
      <c r="E1809" s="9" t="s">
        <v>338</v>
      </c>
      <c r="F1809" s="33">
        <v>1.0</v>
      </c>
      <c r="G1809" s="33">
        <v>1390.0</v>
      </c>
      <c r="H1809" s="35">
        <v>46138.0</v>
      </c>
      <c r="I1809" s="2" t="s">
        <v>14</v>
      </c>
      <c r="J1809" s="12" t="s">
        <v>1385</v>
      </c>
    </row>
    <row r="1810" ht="22.5" hidden="1" customHeight="1">
      <c r="A1810" s="2" t="s">
        <v>1118</v>
      </c>
      <c r="B1810" s="2" t="s">
        <v>1311</v>
      </c>
      <c r="C1810" s="2">
        <v>8888.0</v>
      </c>
      <c r="D1810" s="8" t="s">
        <v>12</v>
      </c>
      <c r="E1810" s="9" t="s">
        <v>13</v>
      </c>
      <c r="F1810" s="33">
        <v>1.0</v>
      </c>
      <c r="G1810" s="33">
        <v>1700.0</v>
      </c>
      <c r="H1810" s="35">
        <v>46138.0</v>
      </c>
      <c r="I1810" s="2" t="s">
        <v>1183</v>
      </c>
      <c r="J1810" s="12" t="s">
        <v>1119</v>
      </c>
    </row>
    <row r="1811" ht="22.5" hidden="1" customHeight="1">
      <c r="A1811" s="2" t="s">
        <v>1386</v>
      </c>
      <c r="B1811" s="2" t="s">
        <v>1311</v>
      </c>
      <c r="C1811" s="2">
        <v>8888.0</v>
      </c>
      <c r="D1811" s="8" t="s">
        <v>12</v>
      </c>
      <c r="E1811" s="9" t="s">
        <v>13</v>
      </c>
      <c r="F1811" s="33">
        <v>1.0</v>
      </c>
      <c r="G1811" s="33">
        <v>1700.0</v>
      </c>
      <c r="H1811" s="35">
        <v>46138.0</v>
      </c>
      <c r="I1811" s="2" t="s">
        <v>1183</v>
      </c>
      <c r="J1811" s="12" t="s">
        <v>1387</v>
      </c>
    </row>
    <row r="1812" ht="22.5" hidden="1" customHeight="1">
      <c r="A1812" s="2" t="s">
        <v>71</v>
      </c>
      <c r="B1812" s="2" t="s">
        <v>1311</v>
      </c>
      <c r="C1812" s="2">
        <v>8888.0</v>
      </c>
      <c r="D1812" s="8" t="s">
        <v>22</v>
      </c>
      <c r="E1812" s="9" t="s">
        <v>18</v>
      </c>
      <c r="F1812" s="33">
        <v>1.0</v>
      </c>
      <c r="G1812" s="33">
        <v>1700.0</v>
      </c>
      <c r="H1812" s="35">
        <v>46138.0</v>
      </c>
      <c r="I1812" s="2" t="s">
        <v>473</v>
      </c>
      <c r="J1812" s="12" t="s">
        <v>955</v>
      </c>
    </row>
    <row r="1813" ht="22.5" hidden="1" customHeight="1">
      <c r="A1813" s="2" t="s">
        <v>1388</v>
      </c>
      <c r="B1813" s="2" t="s">
        <v>1254</v>
      </c>
      <c r="C1813" s="2" t="s">
        <v>1255</v>
      </c>
      <c r="D1813" s="8" t="s">
        <v>75</v>
      </c>
      <c r="E1813" s="9" t="s">
        <v>1260</v>
      </c>
      <c r="F1813" s="33">
        <v>1.0</v>
      </c>
      <c r="G1813" s="33">
        <v>1200.0</v>
      </c>
      <c r="H1813" s="35">
        <v>46138.0</v>
      </c>
      <c r="I1813" s="2" t="s">
        <v>14</v>
      </c>
      <c r="J1813" s="12" t="s">
        <v>1389</v>
      </c>
    </row>
    <row r="1814" ht="22.5" hidden="1" customHeight="1">
      <c r="A1814" s="2" t="s">
        <v>1390</v>
      </c>
      <c r="B1814" s="2" t="s">
        <v>1232</v>
      </c>
      <c r="C1814" s="2" t="s">
        <v>1233</v>
      </c>
      <c r="D1814" s="8" t="s">
        <v>46</v>
      </c>
      <c r="E1814" s="9" t="s">
        <v>13</v>
      </c>
      <c r="F1814" s="33">
        <v>1.0</v>
      </c>
      <c r="G1814" s="33">
        <v>1550.0</v>
      </c>
      <c r="H1814" s="35">
        <v>46138.0</v>
      </c>
      <c r="I1814" s="2" t="s">
        <v>14</v>
      </c>
      <c r="J1814" s="12" t="s">
        <v>1391</v>
      </c>
    </row>
    <row r="1815" ht="22.5" hidden="1" customHeight="1">
      <c r="A1815" s="2" t="s">
        <v>1386</v>
      </c>
      <c r="B1815" s="2" t="s">
        <v>1232</v>
      </c>
      <c r="C1815" s="2" t="s">
        <v>1233</v>
      </c>
      <c r="D1815" s="8" t="s">
        <v>46</v>
      </c>
      <c r="E1815" s="9" t="s">
        <v>13</v>
      </c>
      <c r="F1815" s="33">
        <v>1.0</v>
      </c>
      <c r="G1815" s="33">
        <v>1550.0</v>
      </c>
      <c r="H1815" s="35">
        <v>46138.0</v>
      </c>
      <c r="I1815" s="2" t="s">
        <v>473</v>
      </c>
      <c r="J1815" s="12" t="s">
        <v>1387</v>
      </c>
    </row>
    <row r="1816" ht="22.5" hidden="1" customHeight="1">
      <c r="A1816" s="2" t="s">
        <v>301</v>
      </c>
      <c r="B1816" s="2" t="s">
        <v>1232</v>
      </c>
      <c r="C1816" s="2" t="s">
        <v>1233</v>
      </c>
      <c r="D1816" s="8" t="s">
        <v>46</v>
      </c>
      <c r="E1816" s="9" t="s">
        <v>13</v>
      </c>
      <c r="F1816" s="33">
        <v>1.0</v>
      </c>
      <c r="G1816" s="33">
        <v>1550.0</v>
      </c>
      <c r="H1816" s="35">
        <v>46138.0</v>
      </c>
      <c r="I1816" s="2" t="s">
        <v>14</v>
      </c>
      <c r="J1816" s="12" t="s">
        <v>1249</v>
      </c>
    </row>
    <row r="1817" ht="22.5" hidden="1" customHeight="1">
      <c r="A1817" s="2" t="s">
        <v>247</v>
      </c>
      <c r="B1817" s="2" t="s">
        <v>1232</v>
      </c>
      <c r="C1817" s="2" t="s">
        <v>1233</v>
      </c>
      <c r="D1817" s="8" t="s">
        <v>46</v>
      </c>
      <c r="E1817" s="9" t="s">
        <v>13</v>
      </c>
      <c r="F1817" s="33">
        <v>1.0</v>
      </c>
      <c r="G1817" s="33">
        <v>1550.0</v>
      </c>
      <c r="H1817" s="35">
        <v>46138.0</v>
      </c>
      <c r="I1817" s="2" t="s">
        <v>14</v>
      </c>
      <c r="J1817" s="12" t="s">
        <v>416</v>
      </c>
    </row>
    <row r="1818" ht="22.5" hidden="1" customHeight="1">
      <c r="A1818" s="2" t="s">
        <v>1007</v>
      </c>
      <c r="B1818" s="2" t="s">
        <v>1232</v>
      </c>
      <c r="C1818" s="2" t="s">
        <v>1233</v>
      </c>
      <c r="D1818" s="8" t="s">
        <v>46</v>
      </c>
      <c r="E1818" s="9" t="s">
        <v>13</v>
      </c>
      <c r="F1818" s="33">
        <v>2.0</v>
      </c>
      <c r="G1818" s="33">
        <v>1550.0</v>
      </c>
      <c r="H1818" s="35">
        <v>46138.0</v>
      </c>
      <c r="I1818" s="2" t="s">
        <v>14</v>
      </c>
      <c r="J1818" s="12" t="s">
        <v>1008</v>
      </c>
    </row>
    <row r="1819" ht="22.5" hidden="1" customHeight="1">
      <c r="A1819" s="2" t="s">
        <v>291</v>
      </c>
      <c r="B1819" s="2" t="s">
        <v>1232</v>
      </c>
      <c r="C1819" s="2" t="s">
        <v>1233</v>
      </c>
      <c r="D1819" s="8" t="s">
        <v>46</v>
      </c>
      <c r="E1819" s="9" t="s">
        <v>13</v>
      </c>
      <c r="F1819" s="33">
        <v>1.0</v>
      </c>
      <c r="G1819" s="33">
        <v>1550.0</v>
      </c>
      <c r="H1819" s="35">
        <v>46138.0</v>
      </c>
      <c r="I1819" s="2" t="s">
        <v>14</v>
      </c>
      <c r="J1819" s="12" t="s">
        <v>1267</v>
      </c>
    </row>
    <row r="1820" ht="22.5" hidden="1" customHeight="1">
      <c r="A1820" s="2" t="s">
        <v>1392</v>
      </c>
      <c r="B1820" s="2" t="s">
        <v>1232</v>
      </c>
      <c r="C1820" s="2" t="s">
        <v>1233</v>
      </c>
      <c r="D1820" s="8" t="s">
        <v>46</v>
      </c>
      <c r="E1820" s="9" t="s">
        <v>13</v>
      </c>
      <c r="F1820" s="33">
        <v>1.0</v>
      </c>
      <c r="G1820" s="33">
        <v>1550.0</v>
      </c>
      <c r="H1820" s="35">
        <v>46138.0</v>
      </c>
      <c r="I1820" s="2" t="s">
        <v>14</v>
      </c>
      <c r="J1820" s="12" t="s">
        <v>1393</v>
      </c>
    </row>
    <row r="1821" ht="22.5" hidden="1" customHeight="1">
      <c r="A1821" s="2" t="s">
        <v>313</v>
      </c>
      <c r="B1821" s="2" t="s">
        <v>1232</v>
      </c>
      <c r="C1821" s="2" t="s">
        <v>1233</v>
      </c>
      <c r="D1821" s="8" t="s">
        <v>46</v>
      </c>
      <c r="E1821" s="9" t="s">
        <v>13</v>
      </c>
      <c r="F1821" s="33">
        <v>1.0</v>
      </c>
      <c r="G1821" s="33">
        <v>1550.0</v>
      </c>
      <c r="H1821" s="35">
        <v>46138.0</v>
      </c>
      <c r="I1821" s="2" t="s">
        <v>14</v>
      </c>
      <c r="J1821" s="12" t="s">
        <v>1216</v>
      </c>
    </row>
    <row r="1822" ht="22.5" hidden="1" customHeight="1">
      <c r="A1822" s="2" t="s">
        <v>1271</v>
      </c>
      <c r="B1822" s="2" t="s">
        <v>1232</v>
      </c>
      <c r="C1822" s="2" t="s">
        <v>1233</v>
      </c>
      <c r="D1822" s="8" t="s">
        <v>46</v>
      </c>
      <c r="E1822" s="9" t="s">
        <v>13</v>
      </c>
      <c r="F1822" s="33">
        <v>1.0</v>
      </c>
      <c r="G1822" s="33">
        <v>1550.0</v>
      </c>
      <c r="H1822" s="35">
        <v>46138.0</v>
      </c>
      <c r="I1822" s="2" t="s">
        <v>14</v>
      </c>
      <c r="J1822" s="2"/>
    </row>
    <row r="1823" ht="22.5" hidden="1" customHeight="1">
      <c r="A1823" s="2" t="s">
        <v>53</v>
      </c>
      <c r="B1823" s="2" t="s">
        <v>1232</v>
      </c>
      <c r="C1823" s="2" t="s">
        <v>1233</v>
      </c>
      <c r="D1823" s="8" t="s">
        <v>46</v>
      </c>
      <c r="E1823" s="9" t="s">
        <v>13</v>
      </c>
      <c r="F1823" s="33">
        <v>1.0</v>
      </c>
      <c r="G1823" s="33">
        <v>1550.0</v>
      </c>
      <c r="H1823" s="35">
        <v>46138.0</v>
      </c>
      <c r="I1823" s="2" t="s">
        <v>14</v>
      </c>
      <c r="J1823" s="12" t="s">
        <v>1015</v>
      </c>
    </row>
    <row r="1824" ht="22.5" hidden="1" customHeight="1">
      <c r="A1824" s="2" t="s">
        <v>575</v>
      </c>
      <c r="B1824" s="2" t="s">
        <v>1232</v>
      </c>
      <c r="C1824" s="2" t="s">
        <v>1233</v>
      </c>
      <c r="D1824" s="8" t="s">
        <v>46</v>
      </c>
      <c r="E1824" s="9" t="s">
        <v>13</v>
      </c>
      <c r="F1824" s="33">
        <v>1.0</v>
      </c>
      <c r="G1824" s="33">
        <v>1550.0</v>
      </c>
      <c r="H1824" s="35">
        <v>46138.0</v>
      </c>
      <c r="I1824" s="2" t="s">
        <v>14</v>
      </c>
      <c r="J1824" s="12" t="s">
        <v>1060</v>
      </c>
    </row>
    <row r="1825" ht="22.5" hidden="1" customHeight="1">
      <c r="A1825" s="2" t="s">
        <v>71</v>
      </c>
      <c r="B1825" s="2" t="s">
        <v>1232</v>
      </c>
      <c r="C1825" s="2" t="s">
        <v>1233</v>
      </c>
      <c r="D1825" s="8" t="s">
        <v>46</v>
      </c>
      <c r="E1825" s="9" t="s">
        <v>13</v>
      </c>
      <c r="F1825" s="33">
        <v>1.0</v>
      </c>
      <c r="G1825" s="33">
        <v>1550.0</v>
      </c>
      <c r="H1825" s="35">
        <v>46138.0</v>
      </c>
      <c r="I1825" s="2" t="s">
        <v>14</v>
      </c>
      <c r="J1825" s="12" t="s">
        <v>955</v>
      </c>
    </row>
    <row r="1826" ht="22.5" hidden="1" customHeight="1">
      <c r="A1826" s="2" t="s">
        <v>344</v>
      </c>
      <c r="B1826" s="2" t="s">
        <v>1232</v>
      </c>
      <c r="C1826" s="2" t="s">
        <v>1233</v>
      </c>
      <c r="D1826" s="8" t="s">
        <v>46</v>
      </c>
      <c r="E1826" s="9" t="s">
        <v>13</v>
      </c>
      <c r="F1826" s="33">
        <v>1.0</v>
      </c>
      <c r="G1826" s="33">
        <v>1550.0</v>
      </c>
      <c r="H1826" s="35">
        <v>46138.0</v>
      </c>
      <c r="I1826" s="2" t="s">
        <v>14</v>
      </c>
      <c r="J1826" s="12" t="s">
        <v>1356</v>
      </c>
    </row>
    <row r="1827" ht="22.5" hidden="1" customHeight="1">
      <c r="A1827" s="2" t="s">
        <v>1394</v>
      </c>
      <c r="B1827" s="2" t="s">
        <v>1232</v>
      </c>
      <c r="C1827" s="2" t="s">
        <v>1233</v>
      </c>
      <c r="D1827" s="8" t="s">
        <v>46</v>
      </c>
      <c r="E1827" s="9" t="s">
        <v>13</v>
      </c>
      <c r="F1827" s="33">
        <v>1.0</v>
      </c>
      <c r="G1827" s="33">
        <v>1550.0</v>
      </c>
      <c r="H1827" s="35">
        <v>46138.0</v>
      </c>
      <c r="I1827" s="2" t="s">
        <v>14</v>
      </c>
      <c r="J1827" s="12" t="s">
        <v>1395</v>
      </c>
    </row>
    <row r="1828" ht="22.5" hidden="1" customHeight="1">
      <c r="A1828" s="2" t="s">
        <v>449</v>
      </c>
      <c r="B1828" s="2" t="s">
        <v>1232</v>
      </c>
      <c r="C1828" s="2" t="s">
        <v>1233</v>
      </c>
      <c r="D1828" s="8" t="s">
        <v>46</v>
      </c>
      <c r="E1828" s="9" t="s">
        <v>13</v>
      </c>
      <c r="F1828" s="33">
        <v>1.0</v>
      </c>
      <c r="G1828" s="33">
        <v>1550.0</v>
      </c>
      <c r="H1828" s="35">
        <v>46138.0</v>
      </c>
      <c r="I1828" s="2" t="s">
        <v>14</v>
      </c>
      <c r="J1828" s="12" t="s">
        <v>1396</v>
      </c>
    </row>
    <row r="1829" ht="22.5" hidden="1" customHeight="1">
      <c r="A1829" s="2" t="s">
        <v>967</v>
      </c>
      <c r="B1829" s="2" t="s">
        <v>1232</v>
      </c>
      <c r="C1829" s="2" t="s">
        <v>1233</v>
      </c>
      <c r="D1829" s="8" t="s">
        <v>46</v>
      </c>
      <c r="E1829" s="9" t="s">
        <v>13</v>
      </c>
      <c r="F1829" s="33">
        <v>1.0</v>
      </c>
      <c r="G1829" s="33">
        <v>1550.0</v>
      </c>
      <c r="H1829" s="35">
        <v>46138.0</v>
      </c>
      <c r="I1829" s="2" t="s">
        <v>14</v>
      </c>
      <c r="J1829" s="12" t="s">
        <v>968</v>
      </c>
    </row>
    <row r="1830" ht="22.5" hidden="1" customHeight="1">
      <c r="A1830" s="2" t="s">
        <v>1397</v>
      </c>
      <c r="B1830" s="2" t="s">
        <v>516</v>
      </c>
      <c r="C1830" s="2" t="s">
        <v>517</v>
      </c>
      <c r="D1830" s="8" t="s">
        <v>46</v>
      </c>
      <c r="E1830" s="9" t="s">
        <v>338</v>
      </c>
      <c r="F1830" s="33">
        <v>2.0</v>
      </c>
      <c r="G1830" s="33">
        <v>1390.0</v>
      </c>
      <c r="H1830" s="35">
        <v>46138.0</v>
      </c>
      <c r="I1830" s="2" t="s">
        <v>14</v>
      </c>
      <c r="J1830" s="12" t="s">
        <v>1398</v>
      </c>
    </row>
    <row r="1831" ht="22.5" hidden="1" customHeight="1">
      <c r="A1831" s="2" t="s">
        <v>1399</v>
      </c>
      <c r="B1831" s="2" t="s">
        <v>516</v>
      </c>
      <c r="C1831" s="2" t="s">
        <v>517</v>
      </c>
      <c r="D1831" s="8" t="s">
        <v>46</v>
      </c>
      <c r="E1831" s="9" t="s">
        <v>338</v>
      </c>
      <c r="F1831" s="33">
        <v>2.0</v>
      </c>
      <c r="G1831" s="33">
        <v>1390.0</v>
      </c>
      <c r="H1831" s="35">
        <v>46138.0</v>
      </c>
      <c r="I1831" s="2" t="s">
        <v>14</v>
      </c>
      <c r="J1831" s="12" t="s">
        <v>1400</v>
      </c>
    </row>
    <row r="1832" ht="22.5" hidden="1" customHeight="1">
      <c r="A1832" s="2" t="s">
        <v>1401</v>
      </c>
      <c r="B1832" s="2" t="s">
        <v>516</v>
      </c>
      <c r="C1832" s="2" t="s">
        <v>517</v>
      </c>
      <c r="D1832" s="8" t="s">
        <v>46</v>
      </c>
      <c r="E1832" s="9" t="s">
        <v>338</v>
      </c>
      <c r="F1832" s="33">
        <v>2.0</v>
      </c>
      <c r="G1832" s="33">
        <v>1390.0</v>
      </c>
      <c r="H1832" s="35">
        <v>46138.0</v>
      </c>
      <c r="I1832" s="2" t="s">
        <v>14</v>
      </c>
      <c r="J1832" s="12" t="s">
        <v>1402</v>
      </c>
    </row>
    <row r="1833" ht="22.5" hidden="1" customHeight="1">
      <c r="A1833" s="2" t="s">
        <v>228</v>
      </c>
      <c r="B1833" s="2" t="s">
        <v>516</v>
      </c>
      <c r="C1833" s="2" t="s">
        <v>517</v>
      </c>
      <c r="D1833" s="8" t="s">
        <v>46</v>
      </c>
      <c r="E1833" s="9" t="s">
        <v>338</v>
      </c>
      <c r="F1833" s="33">
        <v>1.0</v>
      </c>
      <c r="G1833" s="33">
        <v>1390.0</v>
      </c>
      <c r="H1833" s="35">
        <v>46138.0</v>
      </c>
      <c r="I1833" s="2" t="s">
        <v>14</v>
      </c>
      <c r="J1833" s="12" t="s">
        <v>880</v>
      </c>
    </row>
    <row r="1834" ht="22.5" hidden="1" customHeight="1">
      <c r="A1834" s="2" t="s">
        <v>1403</v>
      </c>
      <c r="B1834" s="2" t="s">
        <v>1212</v>
      </c>
      <c r="C1834" s="2">
        <v>92212.0</v>
      </c>
      <c r="D1834" s="8" t="s">
        <v>46</v>
      </c>
      <c r="E1834" s="9" t="s">
        <v>16</v>
      </c>
      <c r="F1834" s="33">
        <v>1.0</v>
      </c>
      <c r="G1834" s="33">
        <v>1700.0</v>
      </c>
      <c r="H1834" s="35">
        <v>46138.0</v>
      </c>
      <c r="I1834" s="2" t="s">
        <v>14</v>
      </c>
      <c r="J1834" s="12" t="s">
        <v>1404</v>
      </c>
    </row>
    <row r="1835" ht="22.5" hidden="1" customHeight="1">
      <c r="A1835" s="2" t="s">
        <v>1405</v>
      </c>
      <c r="B1835" s="2" t="s">
        <v>1212</v>
      </c>
      <c r="C1835" s="2">
        <v>92212.0</v>
      </c>
      <c r="D1835" s="8" t="s">
        <v>46</v>
      </c>
      <c r="E1835" s="9" t="s">
        <v>18</v>
      </c>
      <c r="F1835" s="33">
        <v>1.0</v>
      </c>
      <c r="G1835" s="33">
        <v>1700.0</v>
      </c>
      <c r="H1835" s="35">
        <v>46138.0</v>
      </c>
      <c r="I1835" s="2" t="s">
        <v>14</v>
      </c>
      <c r="J1835" s="12" t="s">
        <v>1406</v>
      </c>
    </row>
    <row r="1836" ht="22.5" hidden="1" customHeight="1">
      <c r="A1836" s="2" t="s">
        <v>1405</v>
      </c>
      <c r="B1836" s="2" t="s">
        <v>1212</v>
      </c>
      <c r="C1836" s="2">
        <v>92212.0</v>
      </c>
      <c r="D1836" s="8" t="s">
        <v>46</v>
      </c>
      <c r="E1836" s="9" t="s">
        <v>23</v>
      </c>
      <c r="F1836" s="33">
        <v>1.0</v>
      </c>
      <c r="G1836" s="33">
        <v>1700.0</v>
      </c>
      <c r="H1836" s="35">
        <v>46138.0</v>
      </c>
      <c r="I1836" s="2" t="s">
        <v>14</v>
      </c>
      <c r="J1836" s="12" t="s">
        <v>1406</v>
      </c>
    </row>
    <row r="1837" ht="22.5" hidden="1" customHeight="1">
      <c r="A1837" s="2" t="s">
        <v>526</v>
      </c>
      <c r="B1837" s="2" t="s">
        <v>1212</v>
      </c>
      <c r="C1837" s="2">
        <v>92212.0</v>
      </c>
      <c r="D1837" s="8" t="s">
        <v>46</v>
      </c>
      <c r="E1837" s="9" t="s">
        <v>16</v>
      </c>
      <c r="F1837" s="33">
        <v>1.0</v>
      </c>
      <c r="G1837" s="33">
        <v>1700.0</v>
      </c>
      <c r="H1837" s="35">
        <v>46138.0</v>
      </c>
      <c r="I1837" s="2" t="s">
        <v>14</v>
      </c>
      <c r="J1837" s="12" t="s">
        <v>527</v>
      </c>
    </row>
    <row r="1838" ht="22.5" hidden="1" customHeight="1">
      <c r="A1838" s="2" t="s">
        <v>526</v>
      </c>
      <c r="B1838" s="2" t="s">
        <v>1212</v>
      </c>
      <c r="C1838" s="2">
        <v>92212.0</v>
      </c>
      <c r="D1838" s="8" t="s">
        <v>46</v>
      </c>
      <c r="E1838" s="9" t="s">
        <v>18</v>
      </c>
      <c r="F1838" s="33">
        <v>1.0</v>
      </c>
      <c r="G1838" s="33">
        <v>1700.0</v>
      </c>
      <c r="H1838" s="35">
        <v>46138.0</v>
      </c>
      <c r="I1838" s="2" t="s">
        <v>14</v>
      </c>
      <c r="J1838" s="12" t="s">
        <v>527</v>
      </c>
    </row>
    <row r="1839" ht="22.5" hidden="1" customHeight="1">
      <c r="A1839" s="2" t="s">
        <v>426</v>
      </c>
      <c r="B1839" s="2" t="s">
        <v>1212</v>
      </c>
      <c r="C1839" s="2">
        <v>92212.0</v>
      </c>
      <c r="D1839" s="8" t="s">
        <v>46</v>
      </c>
      <c r="E1839" s="9" t="s">
        <v>16</v>
      </c>
      <c r="F1839" s="33">
        <v>1.0</v>
      </c>
      <c r="G1839" s="33">
        <v>1700.0</v>
      </c>
      <c r="H1839" s="35">
        <v>46138.0</v>
      </c>
      <c r="I1839" s="2" t="s">
        <v>14</v>
      </c>
      <c r="J1839" s="12" t="s">
        <v>1407</v>
      </c>
    </row>
    <row r="1840" ht="22.5" hidden="1" customHeight="1">
      <c r="A1840" s="2" t="s">
        <v>1408</v>
      </c>
      <c r="B1840" s="2" t="s">
        <v>1212</v>
      </c>
      <c r="C1840" s="2">
        <v>92212.0</v>
      </c>
      <c r="D1840" s="8" t="s">
        <v>46</v>
      </c>
      <c r="E1840" s="9" t="s">
        <v>16</v>
      </c>
      <c r="F1840" s="33">
        <v>1.0</v>
      </c>
      <c r="G1840" s="33">
        <v>1700.0</v>
      </c>
      <c r="H1840" s="35">
        <v>46138.0</v>
      </c>
      <c r="I1840" s="2" t="s">
        <v>14</v>
      </c>
      <c r="J1840" s="12" t="s">
        <v>1409</v>
      </c>
    </row>
    <row r="1841" ht="22.5" hidden="1" customHeight="1">
      <c r="A1841" s="2" t="s">
        <v>1065</v>
      </c>
      <c r="B1841" s="2" t="s">
        <v>1212</v>
      </c>
      <c r="C1841" s="2">
        <v>92212.0</v>
      </c>
      <c r="D1841" s="8" t="s">
        <v>46</v>
      </c>
      <c r="E1841" s="9" t="s">
        <v>16</v>
      </c>
      <c r="F1841" s="33">
        <v>1.0</v>
      </c>
      <c r="G1841" s="33">
        <v>1700.0</v>
      </c>
      <c r="H1841" s="35">
        <v>46138.0</v>
      </c>
      <c r="I1841" s="2" t="s">
        <v>14</v>
      </c>
      <c r="J1841" s="12" t="s">
        <v>1066</v>
      </c>
    </row>
    <row r="1842" ht="22.5" hidden="1" customHeight="1">
      <c r="A1842" s="2" t="s">
        <v>1410</v>
      </c>
      <c r="B1842" s="2" t="s">
        <v>1212</v>
      </c>
      <c r="C1842" s="2">
        <v>92212.0</v>
      </c>
      <c r="D1842" s="8" t="s">
        <v>46</v>
      </c>
      <c r="E1842" s="9" t="s">
        <v>23</v>
      </c>
      <c r="F1842" s="33">
        <v>1.0</v>
      </c>
      <c r="G1842" s="33">
        <v>1700.0</v>
      </c>
      <c r="H1842" s="35">
        <v>46138.0</v>
      </c>
      <c r="I1842" s="2" t="s">
        <v>14</v>
      </c>
      <c r="J1842" s="12" t="s">
        <v>1411</v>
      </c>
    </row>
    <row r="1843" ht="22.5" hidden="1" customHeight="1">
      <c r="A1843" s="2" t="s">
        <v>1412</v>
      </c>
      <c r="B1843" s="2" t="s">
        <v>1212</v>
      </c>
      <c r="C1843" s="2">
        <v>92212.0</v>
      </c>
      <c r="D1843" s="8" t="s">
        <v>46</v>
      </c>
      <c r="E1843" s="9" t="s">
        <v>16</v>
      </c>
      <c r="F1843" s="33">
        <v>1.0</v>
      </c>
      <c r="G1843" s="33">
        <v>1700.0</v>
      </c>
      <c r="H1843" s="35">
        <v>46138.0</v>
      </c>
      <c r="I1843" s="2" t="s">
        <v>14</v>
      </c>
      <c r="J1843" s="12" t="s">
        <v>1413</v>
      </c>
    </row>
    <row r="1844" ht="22.5" hidden="1" customHeight="1">
      <c r="A1844" s="2" t="s">
        <v>1412</v>
      </c>
      <c r="B1844" s="2" t="s">
        <v>1254</v>
      </c>
      <c r="C1844" s="2" t="s">
        <v>1255</v>
      </c>
      <c r="D1844" s="8" t="s">
        <v>75</v>
      </c>
      <c r="E1844" s="9" t="s">
        <v>1260</v>
      </c>
      <c r="F1844" s="33">
        <v>1.0</v>
      </c>
      <c r="G1844" s="33">
        <v>1200.0</v>
      </c>
      <c r="H1844" s="35">
        <v>46138.0</v>
      </c>
      <c r="I1844" s="2" t="s">
        <v>14</v>
      </c>
      <c r="J1844" s="12" t="s">
        <v>1413</v>
      </c>
    </row>
    <row r="1845" ht="22.5" hidden="1" customHeight="1">
      <c r="A1845" s="2" t="s">
        <v>124</v>
      </c>
      <c r="B1845" s="2" t="s">
        <v>1212</v>
      </c>
      <c r="C1845" s="2">
        <v>92212.0</v>
      </c>
      <c r="D1845" s="8" t="s">
        <v>46</v>
      </c>
      <c r="E1845" s="9" t="s">
        <v>16</v>
      </c>
      <c r="F1845" s="33">
        <v>1.0</v>
      </c>
      <c r="G1845" s="33">
        <v>1700.0</v>
      </c>
      <c r="H1845" s="35">
        <v>46138.0</v>
      </c>
      <c r="I1845" s="2" t="s">
        <v>14</v>
      </c>
      <c r="J1845" s="12" t="s">
        <v>1180</v>
      </c>
    </row>
    <row r="1846" ht="22.5" hidden="1" customHeight="1">
      <c r="A1846" s="2" t="s">
        <v>87</v>
      </c>
      <c r="B1846" s="2" t="s">
        <v>1212</v>
      </c>
      <c r="C1846" s="2">
        <v>92212.0</v>
      </c>
      <c r="D1846" s="8" t="s">
        <v>46</v>
      </c>
      <c r="E1846" s="9" t="s">
        <v>16</v>
      </c>
      <c r="F1846" s="33">
        <v>1.0</v>
      </c>
      <c r="G1846" s="33">
        <v>1700.0</v>
      </c>
      <c r="H1846" s="35">
        <v>46138.0</v>
      </c>
      <c r="I1846" s="2" t="s">
        <v>14</v>
      </c>
      <c r="J1846" s="12" t="s">
        <v>671</v>
      </c>
    </row>
    <row r="1847" ht="22.5" hidden="1" customHeight="1">
      <c r="A1847" s="2" t="s">
        <v>224</v>
      </c>
      <c r="B1847" s="2" t="s">
        <v>1212</v>
      </c>
      <c r="C1847" s="2">
        <v>92212.0</v>
      </c>
      <c r="D1847" s="8" t="s">
        <v>46</v>
      </c>
      <c r="E1847" s="9" t="s">
        <v>16</v>
      </c>
      <c r="F1847" s="33">
        <v>1.0</v>
      </c>
      <c r="G1847" s="33">
        <v>1700.0</v>
      </c>
      <c r="H1847" s="35">
        <v>46138.0</v>
      </c>
      <c r="I1847" s="2" t="s">
        <v>473</v>
      </c>
      <c r="J1847" s="12" t="s">
        <v>1189</v>
      </c>
    </row>
    <row r="1848" ht="22.5" hidden="1" customHeight="1">
      <c r="A1848" s="2" t="s">
        <v>224</v>
      </c>
      <c r="B1848" s="2" t="s">
        <v>1212</v>
      </c>
      <c r="C1848" s="2">
        <v>92212.0</v>
      </c>
      <c r="D1848" s="8" t="s">
        <v>46</v>
      </c>
      <c r="E1848" s="9" t="s">
        <v>23</v>
      </c>
      <c r="F1848" s="33">
        <v>1.0</v>
      </c>
      <c r="G1848" s="33">
        <v>1700.0</v>
      </c>
      <c r="H1848" s="35">
        <v>46138.0</v>
      </c>
      <c r="I1848" s="2" t="s">
        <v>473</v>
      </c>
      <c r="J1848" s="12" t="s">
        <v>1189</v>
      </c>
    </row>
    <row r="1849" ht="22.5" hidden="1" customHeight="1">
      <c r="A1849" s="2" t="s">
        <v>300</v>
      </c>
      <c r="B1849" s="2" t="s">
        <v>1212</v>
      </c>
      <c r="C1849" s="2">
        <v>92212.0</v>
      </c>
      <c r="D1849" s="8" t="s">
        <v>46</v>
      </c>
      <c r="E1849" s="9" t="s">
        <v>16</v>
      </c>
      <c r="F1849" s="33">
        <v>1.0</v>
      </c>
      <c r="G1849" s="33">
        <v>1700.0</v>
      </c>
      <c r="H1849" s="35">
        <v>46138.0</v>
      </c>
      <c r="I1849" s="2" t="s">
        <v>14</v>
      </c>
      <c r="J1849" s="12" t="s">
        <v>1414</v>
      </c>
    </row>
    <row r="1850" ht="22.5" hidden="1" customHeight="1">
      <c r="A1850" s="2" t="s">
        <v>1415</v>
      </c>
      <c r="B1850" s="2" t="s">
        <v>1212</v>
      </c>
      <c r="C1850" s="2">
        <v>92212.0</v>
      </c>
      <c r="D1850" s="8" t="s">
        <v>46</v>
      </c>
      <c r="E1850" s="9" t="s">
        <v>16</v>
      </c>
      <c r="F1850" s="33">
        <v>1.0</v>
      </c>
      <c r="G1850" s="33">
        <v>1700.0</v>
      </c>
      <c r="H1850" s="35">
        <v>46138.0</v>
      </c>
      <c r="I1850" s="2" t="s">
        <v>14</v>
      </c>
      <c r="J1850" s="12" t="s">
        <v>1416</v>
      </c>
    </row>
    <row r="1851" ht="22.5" hidden="1" customHeight="1">
      <c r="A1851" s="2" t="s">
        <v>1415</v>
      </c>
      <c r="B1851" s="2" t="s">
        <v>1212</v>
      </c>
      <c r="C1851" s="2">
        <v>92212.0</v>
      </c>
      <c r="D1851" s="8" t="s">
        <v>46</v>
      </c>
      <c r="E1851" s="9" t="s">
        <v>13</v>
      </c>
      <c r="F1851" s="33">
        <v>1.0</v>
      </c>
      <c r="G1851" s="33">
        <v>1700.0</v>
      </c>
      <c r="H1851" s="35">
        <v>46138.0</v>
      </c>
      <c r="I1851" s="2" t="s">
        <v>14</v>
      </c>
      <c r="J1851" s="12" t="s">
        <v>1416</v>
      </c>
    </row>
    <row r="1852" ht="22.5" hidden="1" customHeight="1">
      <c r="A1852" s="2" t="s">
        <v>386</v>
      </c>
      <c r="B1852" s="2" t="s">
        <v>1212</v>
      </c>
      <c r="C1852" s="2">
        <v>92212.0</v>
      </c>
      <c r="D1852" s="8" t="s">
        <v>46</v>
      </c>
      <c r="E1852" s="9" t="s">
        <v>16</v>
      </c>
      <c r="F1852" s="33">
        <v>1.0</v>
      </c>
      <c r="G1852" s="33">
        <v>1700.0</v>
      </c>
      <c r="H1852" s="35">
        <v>46138.0</v>
      </c>
      <c r="I1852" s="2" t="s">
        <v>473</v>
      </c>
      <c r="J1852" s="2"/>
    </row>
    <row r="1853" ht="22.5" hidden="1" customHeight="1">
      <c r="A1853" s="2" t="s">
        <v>1045</v>
      </c>
      <c r="B1853" s="2" t="s">
        <v>1212</v>
      </c>
      <c r="C1853" s="2">
        <v>92212.0</v>
      </c>
      <c r="D1853" s="8" t="s">
        <v>46</v>
      </c>
      <c r="E1853" s="9" t="s">
        <v>16</v>
      </c>
      <c r="F1853" s="33">
        <v>1.0</v>
      </c>
      <c r="G1853" s="33">
        <v>1700.0</v>
      </c>
      <c r="H1853" s="35">
        <v>46138.0</v>
      </c>
      <c r="I1853" s="2" t="s">
        <v>14</v>
      </c>
      <c r="J1853" s="12" t="s">
        <v>1046</v>
      </c>
    </row>
    <row r="1854" ht="22.5" hidden="1" customHeight="1">
      <c r="A1854" s="2" t="s">
        <v>295</v>
      </c>
      <c r="B1854" s="2" t="s">
        <v>1212</v>
      </c>
      <c r="C1854" s="2">
        <v>92212.0</v>
      </c>
      <c r="D1854" s="8" t="s">
        <v>46</v>
      </c>
      <c r="E1854" s="9" t="s">
        <v>16</v>
      </c>
      <c r="F1854" s="33">
        <v>1.0</v>
      </c>
      <c r="G1854" s="33">
        <v>1700.0</v>
      </c>
      <c r="H1854" s="35">
        <v>46138.0</v>
      </c>
      <c r="I1854" s="2" t="s">
        <v>14</v>
      </c>
      <c r="J1854" s="12" t="s">
        <v>1031</v>
      </c>
    </row>
    <row r="1855" ht="22.5" hidden="1" customHeight="1">
      <c r="A1855" s="2" t="s">
        <v>291</v>
      </c>
      <c r="B1855" s="2" t="s">
        <v>1212</v>
      </c>
      <c r="C1855" s="2">
        <v>92212.0</v>
      </c>
      <c r="D1855" s="8" t="s">
        <v>46</v>
      </c>
      <c r="E1855" s="9" t="s">
        <v>16</v>
      </c>
      <c r="F1855" s="33">
        <v>1.0</v>
      </c>
      <c r="G1855" s="33">
        <v>1700.0</v>
      </c>
      <c r="H1855" s="35">
        <v>46138.0</v>
      </c>
      <c r="I1855" s="2" t="s">
        <v>14</v>
      </c>
      <c r="J1855" s="12" t="s">
        <v>1267</v>
      </c>
    </row>
    <row r="1856" ht="22.5" hidden="1" customHeight="1">
      <c r="A1856" s="2" t="s">
        <v>449</v>
      </c>
      <c r="B1856" s="2" t="s">
        <v>1212</v>
      </c>
      <c r="C1856" s="2">
        <v>92212.0</v>
      </c>
      <c r="D1856" s="8" t="s">
        <v>46</v>
      </c>
      <c r="E1856" s="9" t="s">
        <v>23</v>
      </c>
      <c r="F1856" s="33">
        <v>1.0</v>
      </c>
      <c r="G1856" s="33">
        <v>1700.0</v>
      </c>
      <c r="H1856" s="35">
        <v>46138.0</v>
      </c>
      <c r="I1856" s="2" t="s">
        <v>14</v>
      </c>
      <c r="J1856" s="12" t="s">
        <v>1396</v>
      </c>
    </row>
    <row r="1857" ht="22.5" hidden="1" customHeight="1">
      <c r="A1857" s="2" t="s">
        <v>1417</v>
      </c>
      <c r="B1857" s="2" t="s">
        <v>1212</v>
      </c>
      <c r="C1857" s="2">
        <v>92212.0</v>
      </c>
      <c r="D1857" s="8" t="s">
        <v>46</v>
      </c>
      <c r="E1857" s="9" t="s">
        <v>16</v>
      </c>
      <c r="F1857" s="33">
        <v>1.0</v>
      </c>
      <c r="G1857" s="33">
        <v>1700.0</v>
      </c>
      <c r="H1857" s="35">
        <v>46138.0</v>
      </c>
      <c r="I1857" s="2" t="s">
        <v>14</v>
      </c>
      <c r="J1857" s="12" t="s">
        <v>1418</v>
      </c>
    </row>
    <row r="1858" ht="22.5" hidden="1" customHeight="1">
      <c r="A1858" s="2" t="s">
        <v>1419</v>
      </c>
      <c r="B1858" s="2" t="s">
        <v>1212</v>
      </c>
      <c r="C1858" s="2">
        <v>92212.0</v>
      </c>
      <c r="D1858" s="8" t="s">
        <v>46</v>
      </c>
      <c r="E1858" s="9" t="s">
        <v>16</v>
      </c>
      <c r="F1858" s="33">
        <v>1.0</v>
      </c>
      <c r="G1858" s="33">
        <v>1700.0</v>
      </c>
      <c r="H1858" s="35">
        <v>46138.0</v>
      </c>
      <c r="I1858" s="2" t="s">
        <v>14</v>
      </c>
      <c r="J1858" s="12" t="s">
        <v>1420</v>
      </c>
    </row>
    <row r="1859" ht="22.5" hidden="1" customHeight="1">
      <c r="A1859" s="2" t="s">
        <v>1421</v>
      </c>
      <c r="B1859" s="2" t="s">
        <v>1212</v>
      </c>
      <c r="C1859" s="2">
        <v>92212.0</v>
      </c>
      <c r="D1859" s="8" t="s">
        <v>46</v>
      </c>
      <c r="E1859" s="9" t="s">
        <v>23</v>
      </c>
      <c r="F1859" s="33">
        <v>1.0</v>
      </c>
      <c r="G1859" s="33">
        <v>1700.0</v>
      </c>
      <c r="H1859" s="35">
        <v>46138.0</v>
      </c>
      <c r="I1859" s="2" t="s">
        <v>14</v>
      </c>
      <c r="J1859" s="12" t="s">
        <v>1422</v>
      </c>
    </row>
    <row r="1860" ht="22.5" hidden="1" customHeight="1">
      <c r="A1860" s="2" t="s">
        <v>1423</v>
      </c>
      <c r="B1860" s="2" t="s">
        <v>1212</v>
      </c>
      <c r="C1860" s="2">
        <v>92212.0</v>
      </c>
      <c r="D1860" s="8" t="s">
        <v>46</v>
      </c>
      <c r="E1860" s="9" t="s">
        <v>16</v>
      </c>
      <c r="F1860" s="33">
        <v>1.0</v>
      </c>
      <c r="G1860" s="33">
        <v>1700.0</v>
      </c>
      <c r="H1860" s="35">
        <v>46138.0</v>
      </c>
      <c r="I1860" s="2" t="s">
        <v>14</v>
      </c>
      <c r="J1860" s="12" t="s">
        <v>1424</v>
      </c>
    </row>
    <row r="1861" ht="22.5" hidden="1" customHeight="1">
      <c r="A1861" s="2" t="s">
        <v>1425</v>
      </c>
      <c r="B1861" s="2" t="s">
        <v>1212</v>
      </c>
      <c r="C1861" s="2">
        <v>92212.0</v>
      </c>
      <c r="D1861" s="8" t="s">
        <v>46</v>
      </c>
      <c r="E1861" s="9" t="s">
        <v>23</v>
      </c>
      <c r="F1861" s="33">
        <v>1.0</v>
      </c>
      <c r="G1861" s="33">
        <v>1700.0</v>
      </c>
      <c r="H1861" s="35">
        <v>46138.0</v>
      </c>
      <c r="I1861" s="2" t="s">
        <v>14</v>
      </c>
      <c r="J1861" s="12" t="s">
        <v>1426</v>
      </c>
    </row>
    <row r="1862" ht="22.5" hidden="1" customHeight="1">
      <c r="A1862" s="2" t="s">
        <v>1427</v>
      </c>
      <c r="B1862" s="2" t="s">
        <v>1212</v>
      </c>
      <c r="C1862" s="2">
        <v>92212.0</v>
      </c>
      <c r="D1862" s="8" t="s">
        <v>46</v>
      </c>
      <c r="E1862" s="9" t="s">
        <v>16</v>
      </c>
      <c r="F1862" s="33">
        <v>1.0</v>
      </c>
      <c r="G1862" s="33">
        <v>1700.0</v>
      </c>
      <c r="H1862" s="35">
        <v>46138.0</v>
      </c>
      <c r="I1862" s="2" t="s">
        <v>14</v>
      </c>
      <c r="J1862" s="12" t="s">
        <v>1428</v>
      </c>
    </row>
    <row r="1863" ht="22.5" hidden="1" customHeight="1">
      <c r="A1863" s="2" t="s">
        <v>757</v>
      </c>
      <c r="B1863" s="2" t="s">
        <v>1314</v>
      </c>
      <c r="C1863" s="2" t="s">
        <v>1315</v>
      </c>
      <c r="D1863" s="8">
        <v>38.0</v>
      </c>
      <c r="E1863" s="9" t="s">
        <v>16</v>
      </c>
      <c r="F1863" s="33">
        <v>1.0</v>
      </c>
      <c r="G1863" s="33">
        <v>7000.0</v>
      </c>
      <c r="H1863" s="35">
        <v>46138.0</v>
      </c>
      <c r="I1863" s="2" t="s">
        <v>14</v>
      </c>
      <c r="J1863" s="12" t="s">
        <v>759</v>
      </c>
    </row>
    <row r="1864" ht="22.5" hidden="1" customHeight="1">
      <c r="A1864" s="2" t="s">
        <v>757</v>
      </c>
      <c r="B1864" s="2" t="s">
        <v>1429</v>
      </c>
      <c r="C1864" s="2" t="s">
        <v>1430</v>
      </c>
      <c r="D1864" s="8">
        <v>38.0</v>
      </c>
      <c r="E1864" s="9" t="s">
        <v>47</v>
      </c>
      <c r="F1864" s="33">
        <v>1.0</v>
      </c>
      <c r="G1864" s="33">
        <v>7000.0</v>
      </c>
      <c r="H1864" s="35">
        <v>46138.0</v>
      </c>
      <c r="I1864" s="2" t="s">
        <v>14</v>
      </c>
      <c r="J1864" s="12" t="s">
        <v>759</v>
      </c>
    </row>
    <row r="1865" ht="22.5" hidden="1" customHeight="1">
      <c r="A1865" s="2" t="s">
        <v>1431</v>
      </c>
      <c r="B1865" s="2" t="s">
        <v>1184</v>
      </c>
      <c r="C1865" s="2" t="s">
        <v>1185</v>
      </c>
      <c r="D1865" s="8" t="s">
        <v>22</v>
      </c>
      <c r="E1865" s="9" t="s">
        <v>18</v>
      </c>
      <c r="F1865" s="33">
        <v>1.0</v>
      </c>
      <c r="G1865" s="33">
        <v>845.0</v>
      </c>
      <c r="H1865" s="35">
        <v>46139.0</v>
      </c>
      <c r="I1865" s="2" t="s">
        <v>14</v>
      </c>
      <c r="J1865" s="12" t="s">
        <v>1432</v>
      </c>
    </row>
    <row r="1866" ht="22.5" hidden="1" customHeight="1">
      <c r="A1866" s="2" t="s">
        <v>1431</v>
      </c>
      <c r="B1866" s="2" t="s">
        <v>1184</v>
      </c>
      <c r="C1866" s="2" t="s">
        <v>1185</v>
      </c>
      <c r="D1866" s="8" t="s">
        <v>22</v>
      </c>
      <c r="E1866" s="9" t="s">
        <v>58</v>
      </c>
      <c r="F1866" s="33">
        <v>1.0</v>
      </c>
      <c r="G1866" s="33">
        <v>845.0</v>
      </c>
      <c r="H1866" s="35">
        <v>46139.0</v>
      </c>
      <c r="I1866" s="2" t="s">
        <v>14</v>
      </c>
      <c r="J1866" s="12" t="s">
        <v>1432</v>
      </c>
    </row>
    <row r="1867" ht="22.5" hidden="1" customHeight="1">
      <c r="A1867" s="2" t="s">
        <v>1431</v>
      </c>
      <c r="B1867" s="2" t="s">
        <v>1184</v>
      </c>
      <c r="C1867" s="2" t="s">
        <v>1185</v>
      </c>
      <c r="D1867" s="8" t="s">
        <v>22</v>
      </c>
      <c r="E1867" s="9" t="s">
        <v>23</v>
      </c>
      <c r="F1867" s="33">
        <v>1.0</v>
      </c>
      <c r="G1867" s="33">
        <v>845.0</v>
      </c>
      <c r="H1867" s="35">
        <v>46139.0</v>
      </c>
      <c r="I1867" s="2" t="s">
        <v>14</v>
      </c>
      <c r="J1867" s="12" t="s">
        <v>1432</v>
      </c>
    </row>
    <row r="1868" ht="22.5" hidden="1" customHeight="1">
      <c r="A1868" s="2" t="s">
        <v>177</v>
      </c>
      <c r="B1868" s="2" t="s">
        <v>1212</v>
      </c>
      <c r="C1868" s="2">
        <v>92212.0</v>
      </c>
      <c r="D1868" s="8" t="s">
        <v>46</v>
      </c>
      <c r="E1868" s="9" t="s">
        <v>18</v>
      </c>
      <c r="F1868" s="33">
        <v>1.0</v>
      </c>
      <c r="G1868" s="33">
        <v>1700.0</v>
      </c>
      <c r="H1868" s="35">
        <v>46139.0</v>
      </c>
      <c r="I1868" s="2" t="s">
        <v>14</v>
      </c>
      <c r="J1868" s="12" t="s">
        <v>1433</v>
      </c>
    </row>
    <row r="1869" ht="22.5" hidden="1" customHeight="1">
      <c r="A1869" s="2" t="s">
        <v>1434</v>
      </c>
      <c r="B1869" s="2" t="s">
        <v>1374</v>
      </c>
      <c r="C1869" s="2" t="s">
        <v>1375</v>
      </c>
      <c r="D1869" s="8">
        <v>37.0</v>
      </c>
      <c r="E1869" s="9" t="s">
        <v>26</v>
      </c>
      <c r="F1869" s="33">
        <v>1.0</v>
      </c>
      <c r="G1869" s="33">
        <v>7000.0</v>
      </c>
      <c r="H1869" s="35">
        <v>46139.0</v>
      </c>
      <c r="I1869" s="2" t="s">
        <v>14</v>
      </c>
      <c r="J1869" s="2"/>
    </row>
    <row r="1870" ht="22.5" hidden="1" customHeight="1">
      <c r="A1870" s="2" t="s">
        <v>1434</v>
      </c>
      <c r="B1870" s="2" t="s">
        <v>1376</v>
      </c>
      <c r="C1870" s="2" t="s">
        <v>1377</v>
      </c>
      <c r="D1870" s="8">
        <v>39.0</v>
      </c>
      <c r="E1870" s="9" t="s">
        <v>16</v>
      </c>
      <c r="F1870" s="33">
        <v>1.0</v>
      </c>
      <c r="G1870" s="33">
        <v>7000.0</v>
      </c>
      <c r="H1870" s="35">
        <v>46139.0</v>
      </c>
      <c r="I1870" s="2" t="s">
        <v>14</v>
      </c>
      <c r="J1870" s="2"/>
    </row>
    <row r="1871" ht="22.5" hidden="1" customHeight="1">
      <c r="A1871" s="2" t="s">
        <v>1434</v>
      </c>
      <c r="B1871" s="2" t="s">
        <v>1325</v>
      </c>
      <c r="C1871" s="2" t="s">
        <v>1435</v>
      </c>
      <c r="D1871" s="8">
        <v>37.0</v>
      </c>
      <c r="E1871" s="9" t="s">
        <v>340</v>
      </c>
      <c r="F1871" s="33">
        <v>1.0</v>
      </c>
      <c r="G1871" s="33">
        <v>6990.0</v>
      </c>
      <c r="H1871" s="35">
        <v>46139.0</v>
      </c>
      <c r="I1871" s="2" t="s">
        <v>14</v>
      </c>
      <c r="J1871" s="2"/>
    </row>
    <row r="1872" ht="22.5" hidden="1" customHeight="1">
      <c r="A1872" s="2" t="s">
        <v>1436</v>
      </c>
      <c r="B1872" s="2" t="s">
        <v>1325</v>
      </c>
      <c r="C1872" s="2" t="s">
        <v>1435</v>
      </c>
      <c r="D1872" s="8">
        <v>39.0</v>
      </c>
      <c r="E1872" s="9" t="s">
        <v>47</v>
      </c>
      <c r="F1872" s="33">
        <v>1.0</v>
      </c>
      <c r="G1872" s="33">
        <v>6990.0</v>
      </c>
      <c r="H1872" s="35">
        <v>46139.0</v>
      </c>
      <c r="I1872" s="2" t="s">
        <v>14</v>
      </c>
      <c r="J1872" s="2"/>
    </row>
    <row r="1873" ht="22.5" hidden="1" customHeight="1">
      <c r="A1873" s="2" t="s">
        <v>1436</v>
      </c>
      <c r="B1873" s="2" t="s">
        <v>152</v>
      </c>
      <c r="C1873" s="2">
        <v>8319.0</v>
      </c>
      <c r="D1873" s="8" t="s">
        <v>22</v>
      </c>
      <c r="E1873" s="9" t="s">
        <v>58</v>
      </c>
      <c r="F1873" s="33">
        <v>1.0</v>
      </c>
      <c r="G1873" s="33">
        <v>1900.0</v>
      </c>
      <c r="H1873" s="35">
        <v>46139.0</v>
      </c>
      <c r="I1873" s="2" t="s">
        <v>1183</v>
      </c>
      <c r="J1873" s="2"/>
    </row>
    <row r="1874" ht="22.5" hidden="1" customHeight="1">
      <c r="A1874" s="2" t="s">
        <v>526</v>
      </c>
      <c r="B1874" s="2" t="s">
        <v>1325</v>
      </c>
      <c r="C1874" s="2" t="s">
        <v>1435</v>
      </c>
      <c r="D1874" s="8">
        <v>37.0</v>
      </c>
      <c r="E1874" s="9" t="s">
        <v>47</v>
      </c>
      <c r="F1874" s="33">
        <v>1.0</v>
      </c>
      <c r="G1874" s="33">
        <v>6990.0</v>
      </c>
      <c r="H1874" s="35">
        <v>46139.0</v>
      </c>
      <c r="I1874" s="2" t="s">
        <v>14</v>
      </c>
      <c r="J1874" s="12" t="s">
        <v>527</v>
      </c>
    </row>
    <row r="1875" ht="22.5" hidden="1" customHeight="1">
      <c r="A1875" s="2" t="s">
        <v>177</v>
      </c>
      <c r="B1875" s="2" t="s">
        <v>963</v>
      </c>
      <c r="C1875" s="2">
        <v>8610.0</v>
      </c>
      <c r="D1875" s="8" t="s">
        <v>22</v>
      </c>
      <c r="E1875" s="9" t="s">
        <v>13</v>
      </c>
      <c r="F1875" s="33">
        <v>1.0</v>
      </c>
      <c r="G1875" s="33">
        <v>1190.0</v>
      </c>
      <c r="H1875" s="35">
        <v>46139.0</v>
      </c>
      <c r="I1875" s="2" t="s">
        <v>1183</v>
      </c>
      <c r="J1875" s="12" t="s">
        <v>1433</v>
      </c>
    </row>
    <row r="1876" ht="22.5" hidden="1" customHeight="1">
      <c r="A1876" s="2" t="s">
        <v>177</v>
      </c>
      <c r="B1876" s="2" t="s">
        <v>963</v>
      </c>
      <c r="C1876" s="2">
        <v>8610.0</v>
      </c>
      <c r="D1876" s="8" t="s">
        <v>22</v>
      </c>
      <c r="E1876" s="9" t="s">
        <v>26</v>
      </c>
      <c r="F1876" s="33">
        <v>1.0</v>
      </c>
      <c r="G1876" s="33">
        <v>1190.0</v>
      </c>
      <c r="H1876" s="35">
        <v>46139.0</v>
      </c>
      <c r="I1876" s="2" t="s">
        <v>473</v>
      </c>
      <c r="J1876" s="12" t="s">
        <v>1433</v>
      </c>
    </row>
    <row r="1877" ht="22.5" hidden="1" customHeight="1">
      <c r="A1877" s="2" t="s">
        <v>177</v>
      </c>
      <c r="B1877" s="2" t="s">
        <v>1199</v>
      </c>
      <c r="C1877" s="2" t="s">
        <v>1200</v>
      </c>
      <c r="D1877" s="8" t="s">
        <v>75</v>
      </c>
      <c r="E1877" s="9" t="s">
        <v>47</v>
      </c>
      <c r="F1877" s="33">
        <v>1.0</v>
      </c>
      <c r="G1877" s="33">
        <v>725.0</v>
      </c>
      <c r="H1877" s="35">
        <v>46139.0</v>
      </c>
      <c r="I1877" s="2" t="s">
        <v>14</v>
      </c>
      <c r="J1877" s="12" t="s">
        <v>1433</v>
      </c>
    </row>
    <row r="1878" ht="22.5" hidden="1" customHeight="1">
      <c r="A1878" s="2" t="s">
        <v>177</v>
      </c>
      <c r="B1878" s="2" t="s">
        <v>1201</v>
      </c>
      <c r="C1878" s="2" t="s">
        <v>1202</v>
      </c>
      <c r="D1878" s="8" t="s">
        <v>75</v>
      </c>
      <c r="E1878" s="9" t="s">
        <v>47</v>
      </c>
      <c r="F1878" s="33">
        <v>1.0</v>
      </c>
      <c r="G1878" s="33">
        <v>725.0</v>
      </c>
      <c r="H1878" s="35">
        <v>46139.0</v>
      </c>
      <c r="I1878" s="2" t="s">
        <v>14</v>
      </c>
      <c r="J1878" s="12" t="s">
        <v>1433</v>
      </c>
    </row>
    <row r="1879" ht="22.5" hidden="1" customHeight="1">
      <c r="A1879" s="2" t="s">
        <v>177</v>
      </c>
      <c r="B1879" s="2" t="s">
        <v>1311</v>
      </c>
      <c r="C1879" s="2">
        <v>8888.0</v>
      </c>
      <c r="D1879" s="8" t="s">
        <v>22</v>
      </c>
      <c r="E1879" s="9" t="s">
        <v>13</v>
      </c>
      <c r="F1879" s="33">
        <v>1.0</v>
      </c>
      <c r="G1879" s="33">
        <v>1700.0</v>
      </c>
      <c r="H1879" s="35">
        <v>46139.0</v>
      </c>
      <c r="I1879" s="2" t="s">
        <v>24</v>
      </c>
      <c r="J1879" s="12" t="s">
        <v>1433</v>
      </c>
    </row>
    <row r="1880" ht="22.5" hidden="1" customHeight="1">
      <c r="A1880" s="2" t="s">
        <v>177</v>
      </c>
      <c r="B1880" s="2" t="s">
        <v>516</v>
      </c>
      <c r="C1880" s="2" t="s">
        <v>517</v>
      </c>
      <c r="D1880" s="8" t="s">
        <v>46</v>
      </c>
      <c r="E1880" s="9" t="s">
        <v>338</v>
      </c>
      <c r="F1880" s="33">
        <v>1.0</v>
      </c>
      <c r="G1880" s="33">
        <v>1390.0</v>
      </c>
      <c r="H1880" s="35">
        <v>46139.0</v>
      </c>
      <c r="I1880" s="2" t="s">
        <v>14</v>
      </c>
      <c r="J1880" s="12" t="s">
        <v>1433</v>
      </c>
    </row>
    <row r="1881" ht="22.5" hidden="1" customHeight="1">
      <c r="A1881" s="2" t="s">
        <v>106</v>
      </c>
      <c r="B1881" s="2" t="s">
        <v>1212</v>
      </c>
      <c r="C1881" s="2">
        <v>92212.0</v>
      </c>
      <c r="D1881" s="8" t="s">
        <v>46</v>
      </c>
      <c r="E1881" s="9" t="s">
        <v>16</v>
      </c>
      <c r="F1881" s="33">
        <v>1.0</v>
      </c>
      <c r="G1881" s="33">
        <v>1700.0</v>
      </c>
      <c r="H1881" s="35">
        <v>46139.0</v>
      </c>
      <c r="I1881" s="2" t="s">
        <v>14</v>
      </c>
      <c r="J1881" s="12" t="s">
        <v>1437</v>
      </c>
    </row>
    <row r="1882" ht="22.5" hidden="1" customHeight="1">
      <c r="A1882" s="2" t="s">
        <v>358</v>
      </c>
      <c r="B1882" s="2" t="s">
        <v>1438</v>
      </c>
      <c r="C1882" s="2" t="s">
        <v>1439</v>
      </c>
      <c r="D1882" s="8">
        <v>37.0</v>
      </c>
      <c r="E1882" s="9" t="s">
        <v>47</v>
      </c>
      <c r="F1882" s="33">
        <v>1.0</v>
      </c>
      <c r="G1882" s="33">
        <v>7600.0</v>
      </c>
      <c r="H1882" s="35">
        <v>46139.0</v>
      </c>
      <c r="I1882" s="2" t="s">
        <v>473</v>
      </c>
      <c r="J1882" s="12" t="s">
        <v>1440</v>
      </c>
    </row>
    <row r="1883" ht="22.5" hidden="1" customHeight="1">
      <c r="A1883" s="2" t="s">
        <v>358</v>
      </c>
      <c r="B1883" s="2" t="s">
        <v>1254</v>
      </c>
      <c r="C1883" s="2" t="s">
        <v>1255</v>
      </c>
      <c r="D1883" s="8" t="s">
        <v>22</v>
      </c>
      <c r="E1883" s="9" t="s">
        <v>1260</v>
      </c>
      <c r="F1883" s="33">
        <v>1.0</v>
      </c>
      <c r="G1883" s="33">
        <v>1200.0</v>
      </c>
      <c r="H1883" s="35">
        <v>46139.0</v>
      </c>
      <c r="I1883" s="2" t="s">
        <v>473</v>
      </c>
      <c r="J1883" s="12" t="s">
        <v>1440</v>
      </c>
    </row>
    <row r="1884" ht="22.5" hidden="1" customHeight="1">
      <c r="A1884" s="2" t="s">
        <v>55</v>
      </c>
      <c r="B1884" s="2" t="s">
        <v>1232</v>
      </c>
      <c r="C1884" s="2" t="s">
        <v>1233</v>
      </c>
      <c r="D1884" s="8" t="s">
        <v>46</v>
      </c>
      <c r="E1884" s="9" t="s">
        <v>13</v>
      </c>
      <c r="F1884" s="33">
        <v>1.0</v>
      </c>
      <c r="G1884" s="33">
        <v>1550.0</v>
      </c>
      <c r="H1884" s="35">
        <v>46139.0</v>
      </c>
      <c r="I1884" s="2" t="s">
        <v>14</v>
      </c>
      <c r="J1884" s="12" t="s">
        <v>1441</v>
      </c>
    </row>
    <row r="1885" ht="22.5" hidden="1" customHeight="1">
      <c r="A1885" s="2" t="s">
        <v>1442</v>
      </c>
      <c r="B1885" s="2" t="s">
        <v>1254</v>
      </c>
      <c r="C1885" s="2" t="s">
        <v>1255</v>
      </c>
      <c r="D1885" s="8" t="s">
        <v>22</v>
      </c>
      <c r="E1885" s="9" t="s">
        <v>1256</v>
      </c>
      <c r="F1885" s="33">
        <v>1.0</v>
      </c>
      <c r="G1885" s="33">
        <v>1200.0</v>
      </c>
      <c r="H1885" s="35">
        <v>46140.0</v>
      </c>
      <c r="I1885" s="2" t="s">
        <v>24</v>
      </c>
      <c r="J1885" s="12" t="s">
        <v>1443</v>
      </c>
    </row>
    <row r="1886" ht="22.5" hidden="1" customHeight="1">
      <c r="A1886" s="2" t="s">
        <v>701</v>
      </c>
      <c r="B1886" s="2" t="s">
        <v>1199</v>
      </c>
      <c r="C1886" s="2" t="s">
        <v>1200</v>
      </c>
      <c r="D1886" s="8" t="s">
        <v>75</v>
      </c>
      <c r="E1886" s="9" t="s">
        <v>18</v>
      </c>
      <c r="F1886" s="33">
        <v>1.0</v>
      </c>
      <c r="G1886" s="33">
        <v>725.0</v>
      </c>
      <c r="H1886" s="35">
        <v>46140.0</v>
      </c>
      <c r="I1886" s="2" t="s">
        <v>473</v>
      </c>
      <c r="J1886" s="12" t="s">
        <v>1351</v>
      </c>
    </row>
    <row r="1887" ht="22.5" hidden="1" customHeight="1">
      <c r="A1887" s="2" t="s">
        <v>701</v>
      </c>
      <c r="B1887" s="2" t="s">
        <v>1199</v>
      </c>
      <c r="C1887" s="2" t="s">
        <v>1200</v>
      </c>
      <c r="D1887" s="8" t="s">
        <v>75</v>
      </c>
      <c r="E1887" s="9" t="s">
        <v>47</v>
      </c>
      <c r="F1887" s="33">
        <v>1.0</v>
      </c>
      <c r="G1887" s="33">
        <v>725.0</v>
      </c>
      <c r="H1887" s="35">
        <v>46140.0</v>
      </c>
      <c r="I1887" s="2" t="s">
        <v>473</v>
      </c>
      <c r="J1887" s="12" t="s">
        <v>1351</v>
      </c>
    </row>
    <row r="1888" ht="22.5" hidden="1" customHeight="1">
      <c r="A1888" s="2" t="s">
        <v>701</v>
      </c>
      <c r="B1888" s="2" t="s">
        <v>1082</v>
      </c>
      <c r="C1888" s="2">
        <v>9083.0</v>
      </c>
      <c r="D1888" s="8" t="s">
        <v>12</v>
      </c>
      <c r="E1888" s="9" t="s">
        <v>340</v>
      </c>
      <c r="F1888" s="33">
        <v>1.0</v>
      </c>
      <c r="G1888" s="33">
        <v>2400.0</v>
      </c>
      <c r="H1888" s="35">
        <v>46140.0</v>
      </c>
      <c r="I1888" s="2" t="s">
        <v>473</v>
      </c>
      <c r="J1888" s="12" t="s">
        <v>1351</v>
      </c>
    </row>
    <row r="1889" ht="22.5" hidden="1" customHeight="1">
      <c r="A1889" s="2" t="s">
        <v>701</v>
      </c>
      <c r="B1889" s="2" t="s">
        <v>826</v>
      </c>
      <c r="C1889" s="2">
        <v>8825.0</v>
      </c>
      <c r="D1889" s="8" t="s">
        <v>12</v>
      </c>
      <c r="E1889" s="9" t="s">
        <v>18</v>
      </c>
      <c r="F1889" s="33">
        <v>1.0</v>
      </c>
      <c r="G1889" s="33">
        <v>1450.0</v>
      </c>
      <c r="H1889" s="35">
        <v>46140.0</v>
      </c>
      <c r="I1889" s="2" t="s">
        <v>473</v>
      </c>
      <c r="J1889" s="12" t="s">
        <v>1351</v>
      </c>
    </row>
    <row r="1890" ht="22.5" hidden="1" customHeight="1">
      <c r="A1890" s="2" t="s">
        <v>1007</v>
      </c>
      <c r="B1890" s="2" t="s">
        <v>1254</v>
      </c>
      <c r="C1890" s="2" t="s">
        <v>1255</v>
      </c>
      <c r="D1890" s="8" t="s">
        <v>22</v>
      </c>
      <c r="E1890" s="9" t="s">
        <v>1256</v>
      </c>
      <c r="F1890" s="33">
        <v>1.0</v>
      </c>
      <c r="G1890" s="33">
        <v>1200.0</v>
      </c>
      <c r="H1890" s="35">
        <v>46140.0</v>
      </c>
      <c r="I1890" s="2" t="s">
        <v>14</v>
      </c>
      <c r="J1890" s="12" t="s">
        <v>1008</v>
      </c>
    </row>
    <row r="1891" ht="22.5" hidden="1" customHeight="1">
      <c r="A1891" s="2" t="s">
        <v>109</v>
      </c>
      <c r="B1891" s="2" t="s">
        <v>1011</v>
      </c>
      <c r="C1891" s="2">
        <v>3225.0</v>
      </c>
      <c r="D1891" s="8" t="s">
        <v>12</v>
      </c>
      <c r="E1891" s="9" t="s">
        <v>58</v>
      </c>
      <c r="F1891" s="33">
        <v>1.0</v>
      </c>
      <c r="G1891" s="33">
        <v>2350.0</v>
      </c>
      <c r="H1891" s="35">
        <v>46140.0</v>
      </c>
      <c r="I1891" s="2" t="s">
        <v>14</v>
      </c>
      <c r="J1891" s="12" t="s">
        <v>1444</v>
      </c>
    </row>
    <row r="1892" ht="22.5" hidden="1" customHeight="1">
      <c r="A1892" s="2" t="s">
        <v>109</v>
      </c>
      <c r="B1892" s="2" t="s">
        <v>1011</v>
      </c>
      <c r="C1892" s="2">
        <v>3225.0</v>
      </c>
      <c r="D1892" s="8" t="s">
        <v>22</v>
      </c>
      <c r="E1892" s="9" t="s">
        <v>58</v>
      </c>
      <c r="F1892" s="33">
        <v>1.0</v>
      </c>
      <c r="G1892" s="33">
        <v>2350.0</v>
      </c>
      <c r="H1892" s="35">
        <v>46140.0</v>
      </c>
      <c r="I1892" s="2" t="s">
        <v>14</v>
      </c>
      <c r="J1892" s="12" t="s">
        <v>1444</v>
      </c>
    </row>
    <row r="1893" ht="22.5" hidden="1" customHeight="1">
      <c r="A1893" s="2" t="s">
        <v>1445</v>
      </c>
      <c r="B1893" s="2" t="s">
        <v>1254</v>
      </c>
      <c r="C1893" s="2" t="s">
        <v>1255</v>
      </c>
      <c r="D1893" s="8" t="s">
        <v>75</v>
      </c>
      <c r="E1893" s="9" t="s">
        <v>1260</v>
      </c>
      <c r="F1893" s="33">
        <v>1.0</v>
      </c>
      <c r="G1893" s="33">
        <v>1200.0</v>
      </c>
      <c r="H1893" s="35">
        <v>46140.0</v>
      </c>
      <c r="I1893" s="2" t="s">
        <v>14</v>
      </c>
      <c r="J1893" s="12" t="s">
        <v>1446</v>
      </c>
    </row>
    <row r="1894" ht="22.5" hidden="1" customHeight="1">
      <c r="A1894" s="2" t="s">
        <v>1445</v>
      </c>
      <c r="B1894" s="2" t="s">
        <v>1254</v>
      </c>
      <c r="C1894" s="2" t="s">
        <v>1255</v>
      </c>
      <c r="D1894" s="8" t="s">
        <v>75</v>
      </c>
      <c r="E1894" s="9" t="s">
        <v>1258</v>
      </c>
      <c r="F1894" s="33">
        <v>1.0</v>
      </c>
      <c r="G1894" s="33">
        <v>1200.0</v>
      </c>
      <c r="H1894" s="35">
        <v>46140.0</v>
      </c>
      <c r="I1894" s="2" t="s">
        <v>14</v>
      </c>
      <c r="J1894" s="12" t="s">
        <v>1446</v>
      </c>
    </row>
    <row r="1895" ht="22.5" hidden="1" customHeight="1">
      <c r="A1895" s="2" t="s">
        <v>1447</v>
      </c>
      <c r="B1895" s="2" t="s">
        <v>1254</v>
      </c>
      <c r="C1895" s="2" t="s">
        <v>1255</v>
      </c>
      <c r="D1895" s="8" t="s">
        <v>75</v>
      </c>
      <c r="E1895" s="9" t="s">
        <v>1256</v>
      </c>
      <c r="F1895" s="33">
        <v>1.0</v>
      </c>
      <c r="G1895" s="33">
        <v>1200.0</v>
      </c>
      <c r="H1895" s="35">
        <v>46140.0</v>
      </c>
      <c r="I1895" s="2" t="s">
        <v>14</v>
      </c>
      <c r="J1895" s="12" t="s">
        <v>1448</v>
      </c>
    </row>
    <row r="1896" ht="22.5" hidden="1" customHeight="1">
      <c r="A1896" s="2" t="s">
        <v>1447</v>
      </c>
      <c r="B1896" s="2" t="s">
        <v>1254</v>
      </c>
      <c r="C1896" s="2" t="s">
        <v>1255</v>
      </c>
      <c r="D1896" s="8" t="s">
        <v>75</v>
      </c>
      <c r="E1896" s="9" t="s">
        <v>1260</v>
      </c>
      <c r="F1896" s="33">
        <v>1.0</v>
      </c>
      <c r="G1896" s="33">
        <v>1200.0</v>
      </c>
      <c r="H1896" s="35">
        <v>46140.0</v>
      </c>
      <c r="I1896" s="2" t="s">
        <v>14</v>
      </c>
      <c r="J1896" s="12" t="s">
        <v>1448</v>
      </c>
    </row>
    <row r="1897" ht="22.5" hidden="1" customHeight="1">
      <c r="A1897" s="2" t="s">
        <v>1449</v>
      </c>
      <c r="B1897" s="2" t="s">
        <v>1254</v>
      </c>
      <c r="C1897" s="2" t="s">
        <v>1255</v>
      </c>
      <c r="D1897" s="8" t="s">
        <v>22</v>
      </c>
      <c r="E1897" s="9" t="s">
        <v>1256</v>
      </c>
      <c r="F1897" s="33">
        <v>1.0</v>
      </c>
      <c r="G1897" s="33">
        <v>1200.0</v>
      </c>
      <c r="H1897" s="35">
        <v>46140.0</v>
      </c>
      <c r="I1897" s="2" t="s">
        <v>14</v>
      </c>
      <c r="J1897" s="12" t="s">
        <v>1450</v>
      </c>
    </row>
    <row r="1898" ht="22.5" hidden="1" customHeight="1">
      <c r="A1898" s="2" t="s">
        <v>69</v>
      </c>
      <c r="B1898" s="2" t="s">
        <v>1254</v>
      </c>
      <c r="C1898" s="2" t="s">
        <v>1255</v>
      </c>
      <c r="D1898" s="8" t="s">
        <v>75</v>
      </c>
      <c r="E1898" s="9" t="s">
        <v>1260</v>
      </c>
      <c r="F1898" s="33">
        <v>1.0</v>
      </c>
      <c r="G1898" s="33">
        <v>1200.0</v>
      </c>
      <c r="H1898" s="35">
        <v>46140.0</v>
      </c>
      <c r="I1898" s="2" t="s">
        <v>473</v>
      </c>
      <c r="J1898" s="12" t="s">
        <v>1451</v>
      </c>
    </row>
    <row r="1899" ht="22.5" hidden="1" customHeight="1">
      <c r="A1899" s="2" t="s">
        <v>69</v>
      </c>
      <c r="B1899" s="2" t="s">
        <v>1254</v>
      </c>
      <c r="C1899" s="2" t="s">
        <v>1255</v>
      </c>
      <c r="D1899" s="8" t="s">
        <v>75</v>
      </c>
      <c r="E1899" s="9" t="s">
        <v>1258</v>
      </c>
      <c r="F1899" s="33">
        <v>1.0</v>
      </c>
      <c r="G1899" s="33">
        <v>1200.0</v>
      </c>
      <c r="H1899" s="35">
        <v>46140.0</v>
      </c>
      <c r="I1899" s="2" t="s">
        <v>473</v>
      </c>
      <c r="J1899" s="12" t="s">
        <v>1451</v>
      </c>
    </row>
    <row r="1900" ht="22.5" hidden="1" customHeight="1">
      <c r="A1900" s="2" t="s">
        <v>1452</v>
      </c>
      <c r="B1900" s="2" t="s">
        <v>1254</v>
      </c>
      <c r="C1900" s="2" t="s">
        <v>1255</v>
      </c>
      <c r="D1900" s="8" t="s">
        <v>75</v>
      </c>
      <c r="E1900" s="9" t="s">
        <v>1260</v>
      </c>
      <c r="F1900" s="33">
        <v>1.0</v>
      </c>
      <c r="G1900" s="33">
        <v>1200.0</v>
      </c>
      <c r="H1900" s="35">
        <v>46140.0</v>
      </c>
      <c r="I1900" s="2" t="s">
        <v>14</v>
      </c>
      <c r="J1900" s="12" t="s">
        <v>1453</v>
      </c>
    </row>
    <row r="1901" ht="22.5" hidden="1" customHeight="1">
      <c r="A1901" s="2" t="s">
        <v>1454</v>
      </c>
      <c r="B1901" s="2" t="s">
        <v>1254</v>
      </c>
      <c r="C1901" s="2" t="s">
        <v>1255</v>
      </c>
      <c r="D1901" s="8" t="s">
        <v>22</v>
      </c>
      <c r="E1901" s="9" t="s">
        <v>1260</v>
      </c>
      <c r="F1901" s="33">
        <v>1.0</v>
      </c>
      <c r="G1901" s="33">
        <v>1200.0</v>
      </c>
      <c r="H1901" s="35">
        <v>46140.0</v>
      </c>
      <c r="I1901" s="2" t="s">
        <v>14</v>
      </c>
      <c r="J1901" s="12" t="s">
        <v>1455</v>
      </c>
    </row>
    <row r="1902" ht="22.5" hidden="1" customHeight="1">
      <c r="A1902" s="2" t="s">
        <v>1456</v>
      </c>
      <c r="B1902" s="2" t="s">
        <v>1254</v>
      </c>
      <c r="C1902" s="2" t="s">
        <v>1255</v>
      </c>
      <c r="D1902" s="8" t="s">
        <v>75</v>
      </c>
      <c r="E1902" s="9" t="s">
        <v>1256</v>
      </c>
      <c r="F1902" s="33">
        <v>1.0</v>
      </c>
      <c r="G1902" s="33">
        <v>1200.0</v>
      </c>
      <c r="H1902" s="35">
        <v>46140.0</v>
      </c>
      <c r="I1902" s="2" t="s">
        <v>14</v>
      </c>
      <c r="J1902" s="12" t="s">
        <v>1457</v>
      </c>
    </row>
    <row r="1903" ht="22.5" hidden="1" customHeight="1">
      <c r="A1903" s="2" t="s">
        <v>849</v>
      </c>
      <c r="B1903" s="2" t="s">
        <v>1254</v>
      </c>
      <c r="C1903" s="2" t="s">
        <v>1255</v>
      </c>
      <c r="D1903" s="8" t="s">
        <v>75</v>
      </c>
      <c r="E1903" s="9" t="s">
        <v>1260</v>
      </c>
      <c r="F1903" s="33">
        <v>1.0</v>
      </c>
      <c r="G1903" s="33">
        <v>1200.0</v>
      </c>
      <c r="H1903" s="35">
        <v>46140.0</v>
      </c>
      <c r="I1903" s="2" t="s">
        <v>14</v>
      </c>
      <c r="J1903" s="12" t="s">
        <v>1458</v>
      </c>
    </row>
    <row r="1904" ht="22.5" hidden="1" customHeight="1">
      <c r="A1904" s="2" t="s">
        <v>1459</v>
      </c>
      <c r="B1904" s="2" t="s">
        <v>1254</v>
      </c>
      <c r="C1904" s="2" t="s">
        <v>1255</v>
      </c>
      <c r="D1904" s="8" t="s">
        <v>75</v>
      </c>
      <c r="E1904" s="9" t="s">
        <v>1256</v>
      </c>
      <c r="F1904" s="33">
        <v>1.0</v>
      </c>
      <c r="G1904" s="33">
        <v>1200.0</v>
      </c>
      <c r="H1904" s="35">
        <v>46140.0</v>
      </c>
      <c r="I1904" s="2" t="s">
        <v>14</v>
      </c>
      <c r="J1904" s="12" t="s">
        <v>1460</v>
      </c>
    </row>
    <row r="1905" ht="22.5" hidden="1" customHeight="1">
      <c r="A1905" s="2" t="s">
        <v>1459</v>
      </c>
      <c r="B1905" s="2" t="s">
        <v>1254</v>
      </c>
      <c r="C1905" s="2" t="s">
        <v>1255</v>
      </c>
      <c r="D1905" s="8" t="s">
        <v>75</v>
      </c>
      <c r="E1905" s="9" t="s">
        <v>1258</v>
      </c>
      <c r="F1905" s="33">
        <v>1.0</v>
      </c>
      <c r="G1905" s="33">
        <v>1200.0</v>
      </c>
      <c r="H1905" s="35">
        <v>46140.0</v>
      </c>
      <c r="I1905" s="2" t="s">
        <v>14</v>
      </c>
      <c r="J1905" s="12" t="s">
        <v>1460</v>
      </c>
    </row>
    <row r="1906" ht="22.5" hidden="1" customHeight="1">
      <c r="A1906" s="2" t="s">
        <v>276</v>
      </c>
      <c r="B1906" s="2" t="s">
        <v>1254</v>
      </c>
      <c r="C1906" s="2" t="s">
        <v>1255</v>
      </c>
      <c r="D1906" s="8" t="s">
        <v>22</v>
      </c>
      <c r="E1906" s="9" t="s">
        <v>1256</v>
      </c>
      <c r="F1906" s="33">
        <v>1.0</v>
      </c>
      <c r="G1906" s="33">
        <v>1200.0</v>
      </c>
      <c r="H1906" s="35">
        <v>46140.0</v>
      </c>
      <c r="I1906" s="2" t="s">
        <v>14</v>
      </c>
      <c r="J1906" s="12" t="s">
        <v>1461</v>
      </c>
    </row>
    <row r="1907" ht="22.5" hidden="1" customHeight="1">
      <c r="A1907" s="2" t="s">
        <v>19</v>
      </c>
      <c r="B1907" s="2" t="s">
        <v>1254</v>
      </c>
      <c r="C1907" s="2" t="s">
        <v>1255</v>
      </c>
      <c r="D1907" s="8" t="s">
        <v>75</v>
      </c>
      <c r="E1907" s="9" t="s">
        <v>1256</v>
      </c>
      <c r="F1907" s="33">
        <v>1.0</v>
      </c>
      <c r="G1907" s="33">
        <v>1200.0</v>
      </c>
      <c r="H1907" s="35">
        <v>46140.0</v>
      </c>
      <c r="I1907" s="2" t="s">
        <v>14</v>
      </c>
      <c r="J1907" s="12" t="s">
        <v>1462</v>
      </c>
    </row>
    <row r="1908" ht="22.5" hidden="1" customHeight="1">
      <c r="A1908" s="2" t="s">
        <v>19</v>
      </c>
      <c r="B1908" s="2" t="s">
        <v>1254</v>
      </c>
      <c r="C1908" s="2" t="s">
        <v>1255</v>
      </c>
      <c r="D1908" s="8" t="s">
        <v>75</v>
      </c>
      <c r="E1908" s="9" t="s">
        <v>1260</v>
      </c>
      <c r="F1908" s="33">
        <v>1.0</v>
      </c>
      <c r="G1908" s="33">
        <v>1200.0</v>
      </c>
      <c r="H1908" s="35">
        <v>46140.0</v>
      </c>
      <c r="I1908" s="2" t="s">
        <v>14</v>
      </c>
      <c r="J1908" s="12" t="s">
        <v>1462</v>
      </c>
    </row>
    <row r="1909" ht="22.5" hidden="1" customHeight="1">
      <c r="A1909" s="2" t="s">
        <v>1463</v>
      </c>
      <c r="B1909" s="2" t="s">
        <v>1254</v>
      </c>
      <c r="C1909" s="2" t="s">
        <v>1255</v>
      </c>
      <c r="D1909" s="8" t="s">
        <v>75</v>
      </c>
      <c r="E1909" s="9" t="s">
        <v>1260</v>
      </c>
      <c r="F1909" s="33">
        <v>1.0</v>
      </c>
      <c r="G1909" s="33">
        <v>1200.0</v>
      </c>
      <c r="H1909" s="35">
        <v>46140.0</v>
      </c>
      <c r="I1909" s="2" t="s">
        <v>14</v>
      </c>
      <c r="J1909" s="12" t="s">
        <v>1464</v>
      </c>
    </row>
    <row r="1910" ht="22.5" hidden="1" customHeight="1">
      <c r="A1910" s="2" t="s">
        <v>1463</v>
      </c>
      <c r="B1910" s="2" t="s">
        <v>1254</v>
      </c>
      <c r="C1910" s="2" t="s">
        <v>1255</v>
      </c>
      <c r="D1910" s="8" t="s">
        <v>75</v>
      </c>
      <c r="E1910" s="9" t="s">
        <v>1258</v>
      </c>
      <c r="F1910" s="33">
        <v>1.0</v>
      </c>
      <c r="G1910" s="33">
        <v>1200.0</v>
      </c>
      <c r="H1910" s="35">
        <v>46140.0</v>
      </c>
      <c r="I1910" s="2" t="s">
        <v>14</v>
      </c>
      <c r="J1910" s="12" t="s">
        <v>1464</v>
      </c>
    </row>
    <row r="1911" ht="22.5" hidden="1" customHeight="1">
      <c r="A1911" s="2" t="s">
        <v>813</v>
      </c>
      <c r="B1911" s="2" t="s">
        <v>1254</v>
      </c>
      <c r="C1911" s="2" t="s">
        <v>1255</v>
      </c>
      <c r="D1911" s="8" t="s">
        <v>22</v>
      </c>
      <c r="E1911" s="9" t="s">
        <v>1260</v>
      </c>
      <c r="F1911" s="33">
        <v>1.0</v>
      </c>
      <c r="G1911" s="33">
        <v>1200.0</v>
      </c>
      <c r="H1911" s="35">
        <v>46140.0</v>
      </c>
      <c r="I1911" s="2" t="s">
        <v>14</v>
      </c>
      <c r="J1911" s="12" t="s">
        <v>1465</v>
      </c>
    </row>
    <row r="1912" ht="22.5" hidden="1" customHeight="1">
      <c r="A1912" s="2" t="s">
        <v>111</v>
      </c>
      <c r="B1912" s="2" t="s">
        <v>1254</v>
      </c>
      <c r="C1912" s="2" t="s">
        <v>1255</v>
      </c>
      <c r="D1912" s="8" t="s">
        <v>22</v>
      </c>
      <c r="E1912" s="9" t="s">
        <v>1260</v>
      </c>
      <c r="F1912" s="33">
        <v>1.0</v>
      </c>
      <c r="G1912" s="33">
        <v>1200.0</v>
      </c>
      <c r="H1912" s="35">
        <v>46140.0</v>
      </c>
      <c r="I1912" s="2" t="s">
        <v>14</v>
      </c>
      <c r="J1912" s="12" t="s">
        <v>1112</v>
      </c>
    </row>
    <row r="1913" ht="22.5" hidden="1" customHeight="1">
      <c r="A1913" s="2" t="s">
        <v>111</v>
      </c>
      <c r="B1913" s="2" t="s">
        <v>1254</v>
      </c>
      <c r="C1913" s="2" t="s">
        <v>1255</v>
      </c>
      <c r="D1913" s="8" t="s">
        <v>75</v>
      </c>
      <c r="E1913" s="9" t="s">
        <v>1260</v>
      </c>
      <c r="F1913" s="33">
        <v>1.0</v>
      </c>
      <c r="G1913" s="33">
        <v>1200.0</v>
      </c>
      <c r="H1913" s="35">
        <v>46140.0</v>
      </c>
      <c r="I1913" s="2" t="s">
        <v>14</v>
      </c>
      <c r="J1913" s="12" t="s">
        <v>1112</v>
      </c>
    </row>
    <row r="1914" ht="22.5" hidden="1" customHeight="1">
      <c r="A1914" s="2" t="s">
        <v>1338</v>
      </c>
      <c r="B1914" s="2" t="s">
        <v>1254</v>
      </c>
      <c r="C1914" s="2" t="s">
        <v>1255</v>
      </c>
      <c r="D1914" s="8" t="s">
        <v>75</v>
      </c>
      <c r="E1914" s="9" t="s">
        <v>1256</v>
      </c>
      <c r="F1914" s="33">
        <v>1.0</v>
      </c>
      <c r="G1914" s="33">
        <v>1200.0</v>
      </c>
      <c r="H1914" s="35">
        <v>46140.0</v>
      </c>
      <c r="I1914" s="2" t="s">
        <v>14</v>
      </c>
      <c r="J1914" s="12" t="s">
        <v>1339</v>
      </c>
    </row>
    <row r="1915" ht="22.5" hidden="1" customHeight="1">
      <c r="A1915" s="2" t="s">
        <v>300</v>
      </c>
      <c r="B1915" s="2" t="s">
        <v>1254</v>
      </c>
      <c r="C1915" s="2" t="s">
        <v>1255</v>
      </c>
      <c r="D1915" s="8" t="s">
        <v>75</v>
      </c>
      <c r="E1915" s="9" t="s">
        <v>1256</v>
      </c>
      <c r="F1915" s="33">
        <v>1.0</v>
      </c>
      <c r="G1915" s="33">
        <v>1200.0</v>
      </c>
      <c r="H1915" s="35">
        <v>46140.0</v>
      </c>
      <c r="I1915" s="2" t="s">
        <v>14</v>
      </c>
      <c r="J1915" s="12" t="s">
        <v>1414</v>
      </c>
    </row>
    <row r="1916" ht="22.5" hidden="1" customHeight="1">
      <c r="A1916" s="2" t="s">
        <v>300</v>
      </c>
      <c r="B1916" s="2" t="s">
        <v>1254</v>
      </c>
      <c r="C1916" s="2" t="s">
        <v>1255</v>
      </c>
      <c r="D1916" s="8" t="s">
        <v>75</v>
      </c>
      <c r="E1916" s="9" t="s">
        <v>1260</v>
      </c>
      <c r="F1916" s="33">
        <v>1.0</v>
      </c>
      <c r="G1916" s="33">
        <v>1200.0</v>
      </c>
      <c r="H1916" s="35">
        <v>46140.0</v>
      </c>
      <c r="I1916" s="2" t="s">
        <v>14</v>
      </c>
      <c r="J1916" s="12" t="s">
        <v>1414</v>
      </c>
    </row>
    <row r="1917" ht="22.5" hidden="1" customHeight="1">
      <c r="A1917" s="2" t="s">
        <v>1466</v>
      </c>
      <c r="B1917" s="2" t="s">
        <v>1254</v>
      </c>
      <c r="C1917" s="2" t="s">
        <v>1255</v>
      </c>
      <c r="D1917" s="8" t="s">
        <v>989</v>
      </c>
      <c r="E1917" s="9" t="s">
        <v>1256</v>
      </c>
      <c r="F1917" s="33">
        <v>1.0</v>
      </c>
      <c r="G1917" s="33">
        <v>1200.0</v>
      </c>
      <c r="H1917" s="35">
        <v>46140.0</v>
      </c>
      <c r="I1917" s="2" t="s">
        <v>14</v>
      </c>
      <c r="J1917" s="12" t="s">
        <v>1467</v>
      </c>
    </row>
    <row r="1918" ht="22.5" hidden="1" customHeight="1">
      <c r="A1918" s="2" t="s">
        <v>1466</v>
      </c>
      <c r="B1918" s="2" t="s">
        <v>1254</v>
      </c>
      <c r="C1918" s="2" t="s">
        <v>1255</v>
      </c>
      <c r="D1918" s="8" t="s">
        <v>989</v>
      </c>
      <c r="E1918" s="9" t="s">
        <v>1260</v>
      </c>
      <c r="F1918" s="33">
        <v>1.0</v>
      </c>
      <c r="G1918" s="33">
        <v>1200.0</v>
      </c>
      <c r="H1918" s="35">
        <v>46140.0</v>
      </c>
      <c r="I1918" s="2" t="s">
        <v>14</v>
      </c>
      <c r="J1918" s="12" t="s">
        <v>1467</v>
      </c>
    </row>
    <row r="1919" ht="22.5" hidden="1" customHeight="1">
      <c r="A1919" s="2" t="s">
        <v>1466</v>
      </c>
      <c r="B1919" s="2" t="s">
        <v>1254</v>
      </c>
      <c r="C1919" s="2" t="s">
        <v>1255</v>
      </c>
      <c r="D1919" s="8" t="s">
        <v>989</v>
      </c>
      <c r="E1919" s="9" t="s">
        <v>1258</v>
      </c>
      <c r="F1919" s="33">
        <v>1.0</v>
      </c>
      <c r="G1919" s="33">
        <v>1200.0</v>
      </c>
      <c r="H1919" s="35">
        <v>46140.0</v>
      </c>
      <c r="I1919" s="2" t="s">
        <v>14</v>
      </c>
      <c r="J1919" s="12" t="s">
        <v>1467</v>
      </c>
    </row>
    <row r="1920" ht="22.5" hidden="1" customHeight="1">
      <c r="A1920" s="2" t="s">
        <v>1209</v>
      </c>
      <c r="B1920" s="2" t="s">
        <v>1254</v>
      </c>
      <c r="C1920" s="2" t="s">
        <v>1255</v>
      </c>
      <c r="D1920" s="8" t="s">
        <v>75</v>
      </c>
      <c r="E1920" s="9" t="s">
        <v>1256</v>
      </c>
      <c r="F1920" s="33">
        <v>1.0</v>
      </c>
      <c r="G1920" s="33">
        <v>1200.0</v>
      </c>
      <c r="H1920" s="35">
        <v>46140.0</v>
      </c>
      <c r="I1920" s="2" t="s">
        <v>14</v>
      </c>
      <c r="J1920" s="12" t="s">
        <v>1468</v>
      </c>
    </row>
    <row r="1921" ht="22.5" hidden="1" customHeight="1">
      <c r="A1921" s="2" t="s">
        <v>383</v>
      </c>
      <c r="B1921" s="2" t="s">
        <v>1254</v>
      </c>
      <c r="C1921" s="2" t="s">
        <v>1255</v>
      </c>
      <c r="D1921" s="8" t="s">
        <v>22</v>
      </c>
      <c r="E1921" s="9" t="s">
        <v>1256</v>
      </c>
      <c r="F1921" s="33">
        <v>1.0</v>
      </c>
      <c r="G1921" s="33">
        <v>1200.0</v>
      </c>
      <c r="H1921" s="35">
        <v>46140.0</v>
      </c>
      <c r="I1921" s="2" t="s">
        <v>14</v>
      </c>
      <c r="J1921" s="12" t="s">
        <v>1469</v>
      </c>
    </row>
    <row r="1922" ht="22.5" hidden="1" customHeight="1">
      <c r="A1922" s="2" t="s">
        <v>1142</v>
      </c>
      <c r="B1922" s="2" t="s">
        <v>1254</v>
      </c>
      <c r="C1922" s="2" t="s">
        <v>1255</v>
      </c>
      <c r="D1922" s="8" t="s">
        <v>22</v>
      </c>
      <c r="E1922" s="9" t="s">
        <v>1256</v>
      </c>
      <c r="F1922" s="33">
        <v>1.0</v>
      </c>
      <c r="G1922" s="33">
        <v>1200.0</v>
      </c>
      <c r="H1922" s="35">
        <v>46140.0</v>
      </c>
      <c r="I1922" s="2" t="s">
        <v>14</v>
      </c>
      <c r="J1922" s="12" t="s">
        <v>1143</v>
      </c>
    </row>
    <row r="1923" ht="22.5" hidden="1" customHeight="1">
      <c r="A1923" s="2" t="s">
        <v>1142</v>
      </c>
      <c r="B1923" s="2" t="s">
        <v>1254</v>
      </c>
      <c r="C1923" s="2" t="s">
        <v>1255</v>
      </c>
      <c r="D1923" s="8" t="s">
        <v>22</v>
      </c>
      <c r="E1923" s="9" t="s">
        <v>1260</v>
      </c>
      <c r="F1923" s="33">
        <v>1.0</v>
      </c>
      <c r="G1923" s="33">
        <v>1200.0</v>
      </c>
      <c r="H1923" s="35">
        <v>46140.0</v>
      </c>
      <c r="I1923" s="2" t="s">
        <v>14</v>
      </c>
      <c r="J1923" s="12" t="s">
        <v>1143</v>
      </c>
    </row>
    <row r="1924" ht="22.5" hidden="1" customHeight="1">
      <c r="A1924" s="2" t="s">
        <v>1309</v>
      </c>
      <c r="B1924" s="2" t="s">
        <v>1470</v>
      </c>
      <c r="C1924" s="2" t="s">
        <v>1471</v>
      </c>
      <c r="D1924" s="8" t="s">
        <v>46</v>
      </c>
      <c r="E1924" s="9" t="s">
        <v>26</v>
      </c>
      <c r="F1924" s="33">
        <v>1.0</v>
      </c>
      <c r="G1924" s="33">
        <v>990.0</v>
      </c>
      <c r="H1924" s="35">
        <v>46140.0</v>
      </c>
      <c r="I1924" s="2" t="s">
        <v>14</v>
      </c>
      <c r="J1924" s="12" t="s">
        <v>1310</v>
      </c>
    </row>
    <row r="1925" ht="22.5" hidden="1" customHeight="1">
      <c r="A1925" s="2" t="s">
        <v>79</v>
      </c>
      <c r="B1925" s="2" t="s">
        <v>1470</v>
      </c>
      <c r="C1925" s="2" t="s">
        <v>1471</v>
      </c>
      <c r="D1925" s="8" t="s">
        <v>46</v>
      </c>
      <c r="E1925" s="9" t="s">
        <v>338</v>
      </c>
      <c r="F1925" s="33">
        <v>1.0</v>
      </c>
      <c r="G1925" s="33">
        <v>990.0</v>
      </c>
      <c r="H1925" s="35">
        <v>46140.0</v>
      </c>
      <c r="I1925" s="2" t="s">
        <v>14</v>
      </c>
      <c r="J1925" s="12" t="s">
        <v>1472</v>
      </c>
    </row>
    <row r="1926" ht="22.5" hidden="1" customHeight="1">
      <c r="A1926" s="2" t="s">
        <v>79</v>
      </c>
      <c r="B1926" s="2" t="s">
        <v>1203</v>
      </c>
      <c r="C1926" s="2" t="s">
        <v>1204</v>
      </c>
      <c r="D1926" s="8" t="s">
        <v>12</v>
      </c>
      <c r="E1926" s="9" t="s">
        <v>47</v>
      </c>
      <c r="F1926" s="33">
        <v>1.0</v>
      </c>
      <c r="G1926" s="33">
        <v>725.0</v>
      </c>
      <c r="H1926" s="35">
        <v>46140.0</v>
      </c>
      <c r="I1926" s="2" t="s">
        <v>14</v>
      </c>
      <c r="J1926" s="12" t="s">
        <v>1472</v>
      </c>
    </row>
    <row r="1927" ht="22.5" hidden="1" customHeight="1">
      <c r="A1927" s="2" t="s">
        <v>79</v>
      </c>
      <c r="B1927" s="2" t="s">
        <v>1199</v>
      </c>
      <c r="C1927" s="2" t="s">
        <v>1200</v>
      </c>
      <c r="D1927" s="8" t="s">
        <v>12</v>
      </c>
      <c r="E1927" s="9" t="s">
        <v>47</v>
      </c>
      <c r="F1927" s="33">
        <v>1.0</v>
      </c>
      <c r="G1927" s="33">
        <v>725.0</v>
      </c>
      <c r="H1927" s="35">
        <v>46140.0</v>
      </c>
      <c r="I1927" s="2" t="s">
        <v>14</v>
      </c>
      <c r="J1927" s="12" t="s">
        <v>1472</v>
      </c>
    </row>
    <row r="1928" ht="22.5" hidden="1" customHeight="1">
      <c r="A1928" s="2" t="s">
        <v>1473</v>
      </c>
      <c r="B1928" s="2" t="s">
        <v>1470</v>
      </c>
      <c r="C1928" s="2" t="s">
        <v>1471</v>
      </c>
      <c r="D1928" s="8" t="s">
        <v>46</v>
      </c>
      <c r="E1928" s="9" t="s">
        <v>27</v>
      </c>
      <c r="F1928" s="33">
        <v>1.0</v>
      </c>
      <c r="G1928" s="33">
        <v>990.0</v>
      </c>
      <c r="H1928" s="35">
        <v>46140.0</v>
      </c>
      <c r="I1928" s="2" t="s">
        <v>14</v>
      </c>
      <c r="J1928" s="12" t="s">
        <v>1474</v>
      </c>
    </row>
    <row r="1929" ht="22.5" hidden="1" customHeight="1">
      <c r="A1929" s="2" t="s">
        <v>1473</v>
      </c>
      <c r="B1929" s="2" t="s">
        <v>1470</v>
      </c>
      <c r="C1929" s="2" t="s">
        <v>1471</v>
      </c>
      <c r="D1929" s="8" t="s">
        <v>46</v>
      </c>
      <c r="E1929" s="9" t="s">
        <v>338</v>
      </c>
      <c r="F1929" s="33">
        <v>1.0</v>
      </c>
      <c r="G1929" s="33">
        <v>990.0</v>
      </c>
      <c r="H1929" s="35">
        <v>46140.0</v>
      </c>
      <c r="I1929" s="2" t="s">
        <v>14</v>
      </c>
      <c r="J1929" s="12" t="s">
        <v>1474</v>
      </c>
    </row>
    <row r="1930" ht="22.5" hidden="1" customHeight="1">
      <c r="A1930" s="2" t="s">
        <v>1473</v>
      </c>
      <c r="B1930" s="2" t="s">
        <v>1325</v>
      </c>
      <c r="C1930" s="2" t="s">
        <v>1435</v>
      </c>
      <c r="D1930" s="8">
        <v>37.0</v>
      </c>
      <c r="E1930" s="9" t="s">
        <v>47</v>
      </c>
      <c r="F1930" s="33">
        <v>1.0</v>
      </c>
      <c r="G1930" s="33">
        <v>6990.0</v>
      </c>
      <c r="H1930" s="35">
        <v>46140.0</v>
      </c>
      <c r="I1930" s="2" t="s">
        <v>14</v>
      </c>
      <c r="J1930" s="12" t="s">
        <v>1474</v>
      </c>
    </row>
    <row r="1931" ht="22.5" hidden="1" customHeight="1">
      <c r="A1931" s="2" t="s">
        <v>1475</v>
      </c>
      <c r="B1931" s="2" t="s">
        <v>958</v>
      </c>
      <c r="C1931" s="2" t="s">
        <v>959</v>
      </c>
      <c r="D1931" s="8" t="s">
        <v>12</v>
      </c>
      <c r="E1931" s="9" t="s">
        <v>18</v>
      </c>
      <c r="F1931" s="33">
        <v>1.0</v>
      </c>
      <c r="G1931" s="33">
        <v>1800.0</v>
      </c>
      <c r="H1931" s="35">
        <v>46140.0</v>
      </c>
      <c r="I1931" s="2" t="s">
        <v>14</v>
      </c>
      <c r="J1931" s="12" t="s">
        <v>1476</v>
      </c>
    </row>
    <row r="1932" ht="22.5" hidden="1" customHeight="1">
      <c r="A1932" s="2" t="s">
        <v>1475</v>
      </c>
      <c r="B1932" s="2" t="s">
        <v>1199</v>
      </c>
      <c r="C1932" s="2" t="s">
        <v>1200</v>
      </c>
      <c r="D1932" s="8" t="s">
        <v>22</v>
      </c>
      <c r="E1932" s="9" t="s">
        <v>47</v>
      </c>
      <c r="F1932" s="33">
        <v>1.0</v>
      </c>
      <c r="G1932" s="33">
        <v>725.0</v>
      </c>
      <c r="H1932" s="35">
        <v>46140.0</v>
      </c>
      <c r="I1932" s="2" t="s">
        <v>14</v>
      </c>
      <c r="J1932" s="12" t="s">
        <v>1476</v>
      </c>
    </row>
    <row r="1933" ht="22.5" hidden="1" customHeight="1">
      <c r="A1933" s="2" t="s">
        <v>1475</v>
      </c>
      <c r="B1933" s="2" t="s">
        <v>1203</v>
      </c>
      <c r="C1933" s="2" t="s">
        <v>1204</v>
      </c>
      <c r="D1933" s="8" t="s">
        <v>22</v>
      </c>
      <c r="E1933" s="9" t="s">
        <v>47</v>
      </c>
      <c r="F1933" s="33">
        <v>1.0</v>
      </c>
      <c r="G1933" s="33">
        <v>725.0</v>
      </c>
      <c r="H1933" s="35">
        <v>46140.0</v>
      </c>
      <c r="I1933" s="2" t="s">
        <v>14</v>
      </c>
      <c r="J1933" s="12" t="s">
        <v>1476</v>
      </c>
    </row>
    <row r="1934" ht="22.5" hidden="1" customHeight="1">
      <c r="A1934" s="2" t="s">
        <v>1477</v>
      </c>
      <c r="B1934" s="2" t="s">
        <v>1470</v>
      </c>
      <c r="C1934" s="2" t="s">
        <v>1471</v>
      </c>
      <c r="D1934" s="8" t="s">
        <v>46</v>
      </c>
      <c r="E1934" s="9" t="s">
        <v>27</v>
      </c>
      <c r="F1934" s="33">
        <v>1.0</v>
      </c>
      <c r="G1934" s="33">
        <v>990.0</v>
      </c>
      <c r="H1934" s="35">
        <v>46140.0</v>
      </c>
      <c r="I1934" s="2" t="s">
        <v>14</v>
      </c>
      <c r="J1934" s="12" t="s">
        <v>1478</v>
      </c>
    </row>
    <row r="1935" ht="22.5" hidden="1" customHeight="1">
      <c r="A1935" s="2" t="s">
        <v>1477</v>
      </c>
      <c r="B1935" s="2" t="s">
        <v>1470</v>
      </c>
      <c r="C1935" s="2" t="s">
        <v>1471</v>
      </c>
      <c r="D1935" s="8" t="s">
        <v>46</v>
      </c>
      <c r="E1935" s="9" t="s">
        <v>26</v>
      </c>
      <c r="F1935" s="33">
        <v>1.0</v>
      </c>
      <c r="G1935" s="33">
        <v>990.0</v>
      </c>
      <c r="H1935" s="35">
        <v>46140.0</v>
      </c>
      <c r="I1935" s="2" t="s">
        <v>14</v>
      </c>
      <c r="J1935" s="12" t="s">
        <v>1478</v>
      </c>
    </row>
    <row r="1936" ht="22.5" hidden="1" customHeight="1">
      <c r="A1936" s="2" t="s">
        <v>1477</v>
      </c>
      <c r="B1936" s="2" t="s">
        <v>1212</v>
      </c>
      <c r="C1936" s="2">
        <v>92212.0</v>
      </c>
      <c r="D1936" s="8" t="s">
        <v>46</v>
      </c>
      <c r="E1936" s="9" t="s">
        <v>23</v>
      </c>
      <c r="F1936" s="33">
        <v>1.0</v>
      </c>
      <c r="G1936" s="33">
        <v>1700.0</v>
      </c>
      <c r="H1936" s="35">
        <v>46140.0</v>
      </c>
      <c r="I1936" s="2" t="s">
        <v>14</v>
      </c>
      <c r="J1936" s="12" t="s">
        <v>1478</v>
      </c>
    </row>
    <row r="1937" ht="22.5" hidden="1" customHeight="1">
      <c r="A1937" s="2" t="s">
        <v>1477</v>
      </c>
      <c r="B1937" s="2" t="s">
        <v>1232</v>
      </c>
      <c r="C1937" s="2" t="s">
        <v>1233</v>
      </c>
      <c r="D1937" s="8" t="s">
        <v>46</v>
      </c>
      <c r="E1937" s="9" t="s">
        <v>13</v>
      </c>
      <c r="F1937" s="33">
        <v>1.0</v>
      </c>
      <c r="G1937" s="33">
        <v>1550.0</v>
      </c>
      <c r="H1937" s="35">
        <v>46140.0</v>
      </c>
      <c r="I1937" s="2" t="s">
        <v>14</v>
      </c>
      <c r="J1937" s="12" t="s">
        <v>1478</v>
      </c>
    </row>
    <row r="1938" ht="22.5" hidden="1" customHeight="1">
      <c r="A1938" s="2" t="s">
        <v>1479</v>
      </c>
      <c r="B1938" s="2" t="s">
        <v>1470</v>
      </c>
      <c r="C1938" s="2" t="s">
        <v>1471</v>
      </c>
      <c r="D1938" s="8" t="s">
        <v>46</v>
      </c>
      <c r="E1938" s="9" t="s">
        <v>340</v>
      </c>
      <c r="F1938" s="33">
        <v>1.0</v>
      </c>
      <c r="G1938" s="33">
        <v>990.0</v>
      </c>
      <c r="H1938" s="35">
        <v>46140.0</v>
      </c>
      <c r="I1938" s="2" t="s">
        <v>14</v>
      </c>
      <c r="J1938" s="12" t="s">
        <v>1480</v>
      </c>
    </row>
    <row r="1939" ht="22.5" hidden="1" customHeight="1">
      <c r="A1939" s="2" t="s">
        <v>1303</v>
      </c>
      <c r="B1939" s="2" t="s">
        <v>1293</v>
      </c>
      <c r="C1939" s="2" t="s">
        <v>1378</v>
      </c>
      <c r="D1939" s="8">
        <v>38.0</v>
      </c>
      <c r="E1939" s="9" t="s">
        <v>47</v>
      </c>
      <c r="F1939" s="33">
        <v>1.0</v>
      </c>
      <c r="G1939" s="33">
        <v>2900.0</v>
      </c>
      <c r="H1939" s="35">
        <v>46140.0</v>
      </c>
      <c r="I1939" s="2" t="s">
        <v>14</v>
      </c>
      <c r="J1939" s="12" t="s">
        <v>1304</v>
      </c>
    </row>
    <row r="1940" ht="22.5" hidden="1" customHeight="1">
      <c r="A1940" s="2" t="s">
        <v>1303</v>
      </c>
      <c r="B1940" s="2" t="s">
        <v>1212</v>
      </c>
      <c r="C1940" s="2">
        <v>92212.0</v>
      </c>
      <c r="D1940" s="8" t="s">
        <v>46</v>
      </c>
      <c r="E1940" s="9" t="s">
        <v>13</v>
      </c>
      <c r="F1940" s="33">
        <v>1.0</v>
      </c>
      <c r="G1940" s="33">
        <v>1700.0</v>
      </c>
      <c r="H1940" s="35">
        <v>46140.0</v>
      </c>
      <c r="I1940" s="2" t="s">
        <v>14</v>
      </c>
      <c r="J1940" s="12" t="s">
        <v>1304</v>
      </c>
    </row>
    <row r="1941" ht="22.5" hidden="1" customHeight="1">
      <c r="A1941" s="2" t="s">
        <v>1303</v>
      </c>
      <c r="B1941" s="2" t="s">
        <v>730</v>
      </c>
      <c r="C1941" s="2">
        <v>8116.0</v>
      </c>
      <c r="D1941" s="8" t="s">
        <v>12</v>
      </c>
      <c r="E1941" s="9" t="s">
        <v>58</v>
      </c>
      <c r="F1941" s="33">
        <v>1.0</v>
      </c>
      <c r="G1941" s="33">
        <v>2490.0</v>
      </c>
      <c r="H1941" s="35">
        <v>46140.0</v>
      </c>
      <c r="I1941" s="2" t="s">
        <v>24</v>
      </c>
      <c r="J1941" s="12" t="s">
        <v>1304</v>
      </c>
    </row>
    <row r="1942" ht="22.5" hidden="1" customHeight="1">
      <c r="A1942" s="2" t="s">
        <v>895</v>
      </c>
      <c r="B1942" s="2" t="s">
        <v>1254</v>
      </c>
      <c r="C1942" s="2" t="s">
        <v>1255</v>
      </c>
      <c r="D1942" s="8" t="s">
        <v>22</v>
      </c>
      <c r="E1942" s="9" t="s">
        <v>1256</v>
      </c>
      <c r="F1942" s="33">
        <v>1.0</v>
      </c>
      <c r="G1942" s="33">
        <v>1200.0</v>
      </c>
      <c r="H1942" s="35">
        <v>46140.0</v>
      </c>
      <c r="I1942" s="2" t="s">
        <v>14</v>
      </c>
      <c r="J1942" s="12" t="s">
        <v>1481</v>
      </c>
    </row>
    <row r="1943" ht="22.5" hidden="1" customHeight="1">
      <c r="A1943" s="2" t="s">
        <v>895</v>
      </c>
      <c r="B1943" s="2" t="s">
        <v>1254</v>
      </c>
      <c r="C1943" s="2" t="s">
        <v>1255</v>
      </c>
      <c r="D1943" s="8" t="s">
        <v>22</v>
      </c>
      <c r="E1943" s="9" t="s">
        <v>1258</v>
      </c>
      <c r="F1943" s="33">
        <v>1.0</v>
      </c>
      <c r="G1943" s="33">
        <v>1200.0</v>
      </c>
      <c r="H1943" s="35">
        <v>46140.0</v>
      </c>
      <c r="I1943" s="2" t="s">
        <v>14</v>
      </c>
      <c r="J1943" s="12" t="s">
        <v>1481</v>
      </c>
    </row>
    <row r="1944" ht="22.5" hidden="1" customHeight="1">
      <c r="A1944" s="2" t="s">
        <v>1482</v>
      </c>
      <c r="B1944" s="2" t="s">
        <v>1254</v>
      </c>
      <c r="C1944" s="2" t="s">
        <v>1255</v>
      </c>
      <c r="D1944" s="8" t="s">
        <v>75</v>
      </c>
      <c r="E1944" s="9" t="s">
        <v>1256</v>
      </c>
      <c r="F1944" s="33">
        <v>1.0</v>
      </c>
      <c r="G1944" s="33">
        <v>1200.0</v>
      </c>
      <c r="H1944" s="35">
        <v>46140.0</v>
      </c>
      <c r="I1944" s="2" t="s">
        <v>14</v>
      </c>
      <c r="J1944" s="12" t="s">
        <v>1483</v>
      </c>
    </row>
    <row r="1945" ht="22.5" hidden="1" customHeight="1">
      <c r="A1945" s="2" t="s">
        <v>80</v>
      </c>
      <c r="B1945" s="2" t="s">
        <v>1470</v>
      </c>
      <c r="C1945" s="2" t="s">
        <v>1471</v>
      </c>
      <c r="D1945" s="8" t="s">
        <v>46</v>
      </c>
      <c r="E1945" s="9" t="s">
        <v>338</v>
      </c>
      <c r="F1945" s="33">
        <v>1.0</v>
      </c>
      <c r="G1945" s="33">
        <v>990.0</v>
      </c>
      <c r="H1945" s="35">
        <v>46140.0</v>
      </c>
      <c r="I1945" s="2" t="s">
        <v>14</v>
      </c>
      <c r="J1945" s="12" t="s">
        <v>1237</v>
      </c>
    </row>
    <row r="1946" ht="22.5" hidden="1" customHeight="1">
      <c r="A1946" s="2" t="s">
        <v>80</v>
      </c>
      <c r="B1946" s="2" t="s">
        <v>1254</v>
      </c>
      <c r="C1946" s="2" t="s">
        <v>1255</v>
      </c>
      <c r="D1946" s="8" t="s">
        <v>22</v>
      </c>
      <c r="E1946" s="9" t="s">
        <v>1260</v>
      </c>
      <c r="F1946" s="33">
        <v>1.0</v>
      </c>
      <c r="G1946" s="33">
        <v>1200.0</v>
      </c>
      <c r="H1946" s="35">
        <v>46140.0</v>
      </c>
      <c r="I1946" s="2" t="s">
        <v>14</v>
      </c>
      <c r="J1946" s="12" t="s">
        <v>1237</v>
      </c>
    </row>
    <row r="1947" ht="22.5" hidden="1" customHeight="1">
      <c r="A1947" s="2" t="s">
        <v>80</v>
      </c>
      <c r="B1947" s="2" t="s">
        <v>1254</v>
      </c>
      <c r="C1947" s="2" t="s">
        <v>1255</v>
      </c>
      <c r="D1947" s="8" t="s">
        <v>22</v>
      </c>
      <c r="E1947" s="9" t="s">
        <v>1258</v>
      </c>
      <c r="F1947" s="33">
        <v>1.0</v>
      </c>
      <c r="G1947" s="33">
        <v>1200.0</v>
      </c>
      <c r="H1947" s="35">
        <v>46140.0</v>
      </c>
      <c r="I1947" s="2" t="s">
        <v>14</v>
      </c>
      <c r="J1947" s="12" t="s">
        <v>1237</v>
      </c>
    </row>
    <row r="1948" ht="22.5" hidden="1" customHeight="1">
      <c r="A1948" s="2" t="s">
        <v>1399</v>
      </c>
      <c r="B1948" s="2" t="s">
        <v>961</v>
      </c>
      <c r="C1948" s="2">
        <v>6612.0</v>
      </c>
      <c r="D1948" s="8" t="s">
        <v>46</v>
      </c>
      <c r="E1948" s="9">
        <v>4.0</v>
      </c>
      <c r="F1948" s="33">
        <v>1.0</v>
      </c>
      <c r="G1948" s="33">
        <v>850.0</v>
      </c>
      <c r="H1948" s="35">
        <v>46140.0</v>
      </c>
      <c r="I1948" s="2" t="s">
        <v>14</v>
      </c>
      <c r="J1948" s="12" t="s">
        <v>1400</v>
      </c>
    </row>
    <row r="1949" ht="22.5" hidden="1" customHeight="1">
      <c r="A1949" s="2" t="s">
        <v>1399</v>
      </c>
      <c r="B1949" s="2" t="s">
        <v>961</v>
      </c>
      <c r="C1949" s="2">
        <v>6612.0</v>
      </c>
      <c r="D1949" s="8" t="s">
        <v>46</v>
      </c>
      <c r="E1949" s="9">
        <v>5.0</v>
      </c>
      <c r="F1949" s="33">
        <v>1.0</v>
      </c>
      <c r="G1949" s="33">
        <v>850.0</v>
      </c>
      <c r="H1949" s="35">
        <v>46140.0</v>
      </c>
      <c r="I1949" s="2" t="s">
        <v>14</v>
      </c>
      <c r="J1949" s="12" t="s">
        <v>1400</v>
      </c>
    </row>
    <row r="1950" ht="22.5" hidden="1" customHeight="1">
      <c r="A1950" s="2" t="s">
        <v>1399</v>
      </c>
      <c r="B1950" s="2" t="s">
        <v>1254</v>
      </c>
      <c r="C1950" s="2" t="s">
        <v>1255</v>
      </c>
      <c r="D1950" s="8" t="s">
        <v>75</v>
      </c>
      <c r="E1950" s="9" t="s">
        <v>1256</v>
      </c>
      <c r="F1950" s="33">
        <v>1.0</v>
      </c>
      <c r="G1950" s="33">
        <v>1200.0</v>
      </c>
      <c r="H1950" s="35">
        <v>46140.0</v>
      </c>
      <c r="I1950" s="2" t="s">
        <v>14</v>
      </c>
      <c r="J1950" s="12" t="s">
        <v>1400</v>
      </c>
    </row>
    <row r="1951" ht="22.5" hidden="1" customHeight="1">
      <c r="A1951" s="2" t="s">
        <v>1484</v>
      </c>
      <c r="B1951" s="2" t="s">
        <v>1254</v>
      </c>
      <c r="C1951" s="2" t="s">
        <v>1255</v>
      </c>
      <c r="D1951" s="8" t="s">
        <v>22</v>
      </c>
      <c r="E1951" s="9" t="s">
        <v>1256</v>
      </c>
      <c r="F1951" s="33">
        <v>1.0</v>
      </c>
      <c r="G1951" s="33">
        <v>1200.0</v>
      </c>
      <c r="H1951" s="35">
        <v>46141.0</v>
      </c>
      <c r="I1951" s="2" t="s">
        <v>14</v>
      </c>
      <c r="J1951" s="12" t="s">
        <v>1485</v>
      </c>
    </row>
    <row r="1952" ht="22.5" hidden="1" customHeight="1">
      <c r="A1952" s="2" t="s">
        <v>1484</v>
      </c>
      <c r="B1952" s="2" t="s">
        <v>1254</v>
      </c>
      <c r="C1952" s="2" t="s">
        <v>1255</v>
      </c>
      <c r="D1952" s="8" t="s">
        <v>22</v>
      </c>
      <c r="E1952" s="9" t="s">
        <v>1260</v>
      </c>
      <c r="F1952" s="33">
        <v>1.0</v>
      </c>
      <c r="G1952" s="33">
        <v>1200.0</v>
      </c>
      <c r="H1952" s="35">
        <v>46141.0</v>
      </c>
      <c r="I1952" s="2" t="s">
        <v>14</v>
      </c>
      <c r="J1952" s="12" t="s">
        <v>1485</v>
      </c>
    </row>
    <row r="1953" ht="22.5" hidden="1" customHeight="1">
      <c r="A1953" s="2" t="s">
        <v>303</v>
      </c>
      <c r="B1953" s="2" t="s">
        <v>1254</v>
      </c>
      <c r="C1953" s="2" t="s">
        <v>1255</v>
      </c>
      <c r="D1953" s="8" t="s">
        <v>22</v>
      </c>
      <c r="E1953" s="9" t="s">
        <v>1260</v>
      </c>
      <c r="F1953" s="33">
        <v>1.0</v>
      </c>
      <c r="G1953" s="33">
        <v>1200.0</v>
      </c>
      <c r="H1953" s="35">
        <v>46141.0</v>
      </c>
      <c r="I1953" s="2" t="s">
        <v>14</v>
      </c>
      <c r="J1953" s="12" t="s">
        <v>1486</v>
      </c>
    </row>
    <row r="1954" ht="22.5" hidden="1" customHeight="1">
      <c r="A1954" s="2" t="s">
        <v>1487</v>
      </c>
      <c r="B1954" s="2" t="s">
        <v>1488</v>
      </c>
      <c r="C1954" s="2" t="s">
        <v>1489</v>
      </c>
      <c r="D1954" s="8" t="s">
        <v>46</v>
      </c>
      <c r="E1954" s="9" t="s">
        <v>26</v>
      </c>
      <c r="F1954" s="33">
        <v>3.0</v>
      </c>
      <c r="G1954" s="33">
        <v>1700.0</v>
      </c>
      <c r="H1954" s="35">
        <v>46141.0</v>
      </c>
      <c r="I1954" s="2" t="s">
        <v>14</v>
      </c>
      <c r="J1954" s="12" t="s">
        <v>513</v>
      </c>
    </row>
    <row r="1955" ht="22.5" hidden="1" customHeight="1">
      <c r="A1955" s="2" t="s">
        <v>312</v>
      </c>
      <c r="B1955" s="2" t="s">
        <v>1488</v>
      </c>
      <c r="C1955" s="2" t="s">
        <v>1489</v>
      </c>
      <c r="D1955" s="8" t="s">
        <v>46</v>
      </c>
      <c r="E1955" s="9" t="s">
        <v>26</v>
      </c>
      <c r="F1955" s="33">
        <v>1.0</v>
      </c>
      <c r="G1955" s="33">
        <v>1700.0</v>
      </c>
      <c r="H1955" s="35">
        <v>46141.0</v>
      </c>
      <c r="I1955" s="2" t="s">
        <v>14</v>
      </c>
      <c r="J1955" s="12" t="s">
        <v>541</v>
      </c>
    </row>
    <row r="1956" ht="22.5" hidden="1" customHeight="1">
      <c r="A1956" s="2" t="s">
        <v>142</v>
      </c>
      <c r="B1956" s="2" t="s">
        <v>1488</v>
      </c>
      <c r="C1956" s="2" t="s">
        <v>1489</v>
      </c>
      <c r="D1956" s="8" t="s">
        <v>46</v>
      </c>
      <c r="E1956" s="9" t="s">
        <v>26</v>
      </c>
      <c r="F1956" s="33">
        <v>1.0</v>
      </c>
      <c r="G1956" s="33">
        <v>1700.0</v>
      </c>
      <c r="H1956" s="35">
        <v>46141.0</v>
      </c>
      <c r="I1956" s="2" t="s">
        <v>14</v>
      </c>
      <c r="J1956" s="12" t="s">
        <v>1490</v>
      </c>
    </row>
    <row r="1957" ht="22.5" hidden="1" customHeight="1">
      <c r="A1957" s="2" t="s">
        <v>80</v>
      </c>
      <c r="B1957" s="2" t="s">
        <v>1488</v>
      </c>
      <c r="C1957" s="2" t="s">
        <v>1489</v>
      </c>
      <c r="D1957" s="8" t="s">
        <v>46</v>
      </c>
      <c r="E1957" s="9" t="s">
        <v>26</v>
      </c>
      <c r="F1957" s="33">
        <v>1.0</v>
      </c>
      <c r="G1957" s="33">
        <v>1700.0</v>
      </c>
      <c r="H1957" s="35">
        <v>46141.0</v>
      </c>
      <c r="I1957" s="2" t="s">
        <v>14</v>
      </c>
      <c r="J1957" s="12" t="s">
        <v>1237</v>
      </c>
    </row>
    <row r="1958" ht="22.5" hidden="1" customHeight="1">
      <c r="A1958" s="2" t="s">
        <v>421</v>
      </c>
      <c r="B1958" s="2" t="s">
        <v>1488</v>
      </c>
      <c r="C1958" s="2" t="s">
        <v>1489</v>
      </c>
      <c r="D1958" s="8" t="s">
        <v>46</v>
      </c>
      <c r="E1958" s="9" t="s">
        <v>26</v>
      </c>
      <c r="F1958" s="33">
        <v>3.0</v>
      </c>
      <c r="G1958" s="33">
        <v>1700.0</v>
      </c>
      <c r="H1958" s="35">
        <v>46141.0</v>
      </c>
      <c r="I1958" s="2" t="s">
        <v>14</v>
      </c>
      <c r="J1958" s="12" t="s">
        <v>1491</v>
      </c>
    </row>
    <row r="1959" ht="22.5" hidden="1" customHeight="1">
      <c r="A1959" s="2" t="s">
        <v>1421</v>
      </c>
      <c r="B1959" s="2" t="s">
        <v>1488</v>
      </c>
      <c r="C1959" s="2" t="s">
        <v>1489</v>
      </c>
      <c r="D1959" s="8" t="s">
        <v>46</v>
      </c>
      <c r="E1959" s="9" t="s">
        <v>26</v>
      </c>
      <c r="F1959" s="33">
        <v>3.0</v>
      </c>
      <c r="G1959" s="33">
        <v>1700.0</v>
      </c>
      <c r="H1959" s="35">
        <v>46141.0</v>
      </c>
      <c r="I1959" s="2" t="s">
        <v>14</v>
      </c>
      <c r="J1959" s="12" t="s">
        <v>1422</v>
      </c>
    </row>
    <row r="1960" ht="22.5" hidden="1" customHeight="1">
      <c r="A1960" s="2" t="s">
        <v>451</v>
      </c>
      <c r="B1960" s="2" t="s">
        <v>1488</v>
      </c>
      <c r="C1960" s="2" t="s">
        <v>1489</v>
      </c>
      <c r="D1960" s="8" t="s">
        <v>46</v>
      </c>
      <c r="E1960" s="9" t="s">
        <v>26</v>
      </c>
      <c r="F1960" s="33">
        <v>1.0</v>
      </c>
      <c r="G1960" s="33">
        <v>1700.0</v>
      </c>
      <c r="H1960" s="35">
        <v>46141.0</v>
      </c>
      <c r="I1960" s="2" t="s">
        <v>14</v>
      </c>
      <c r="J1960" s="12" t="s">
        <v>1492</v>
      </c>
    </row>
    <row r="1961" ht="22.5" hidden="1" customHeight="1">
      <c r="A1961" s="2" t="s">
        <v>1493</v>
      </c>
      <c r="B1961" s="2" t="s">
        <v>1488</v>
      </c>
      <c r="C1961" s="2" t="s">
        <v>1489</v>
      </c>
      <c r="D1961" s="8" t="s">
        <v>46</v>
      </c>
      <c r="E1961" s="9" t="s">
        <v>26</v>
      </c>
      <c r="F1961" s="33">
        <v>1.0</v>
      </c>
      <c r="G1961" s="33">
        <v>1700.0</v>
      </c>
      <c r="H1961" s="35">
        <v>46141.0</v>
      </c>
      <c r="I1961" s="2" t="s">
        <v>14</v>
      </c>
      <c r="J1961" s="12" t="s">
        <v>1494</v>
      </c>
    </row>
    <row r="1962" ht="22.5" hidden="1" customHeight="1">
      <c r="A1962" s="2" t="s">
        <v>1495</v>
      </c>
      <c r="B1962" s="2" t="s">
        <v>1488</v>
      </c>
      <c r="C1962" s="2" t="s">
        <v>1489</v>
      </c>
      <c r="D1962" s="8" t="s">
        <v>46</v>
      </c>
      <c r="E1962" s="9" t="s">
        <v>26</v>
      </c>
      <c r="F1962" s="33">
        <v>1.0</v>
      </c>
      <c r="G1962" s="33">
        <v>1700.0</v>
      </c>
      <c r="H1962" s="35">
        <v>46141.0</v>
      </c>
      <c r="I1962" s="2" t="s">
        <v>14</v>
      </c>
      <c r="J1962" s="12" t="s">
        <v>1496</v>
      </c>
    </row>
    <row r="1963" ht="22.5" hidden="1" customHeight="1">
      <c r="A1963" s="2" t="s">
        <v>1497</v>
      </c>
      <c r="B1963" s="2" t="s">
        <v>1488</v>
      </c>
      <c r="C1963" s="2" t="s">
        <v>1489</v>
      </c>
      <c r="D1963" s="8" t="s">
        <v>46</v>
      </c>
      <c r="E1963" s="9" t="s">
        <v>26</v>
      </c>
      <c r="F1963" s="33">
        <v>1.0</v>
      </c>
      <c r="G1963" s="33">
        <v>1700.0</v>
      </c>
      <c r="H1963" s="35">
        <v>46141.0</v>
      </c>
      <c r="I1963" s="2" t="s">
        <v>14</v>
      </c>
      <c r="J1963" s="12" t="s">
        <v>1498</v>
      </c>
    </row>
    <row r="1964" ht="22.5" hidden="1" customHeight="1">
      <c r="A1964" s="2" t="s">
        <v>851</v>
      </c>
      <c r="B1964" s="2" t="s">
        <v>1488</v>
      </c>
      <c r="C1964" s="2" t="s">
        <v>1489</v>
      </c>
      <c r="D1964" s="8" t="s">
        <v>46</v>
      </c>
      <c r="E1964" s="9" t="s">
        <v>26</v>
      </c>
      <c r="F1964" s="33">
        <v>1.0</v>
      </c>
      <c r="G1964" s="33">
        <v>1700.0</v>
      </c>
      <c r="H1964" s="35">
        <v>46141.0</v>
      </c>
      <c r="I1964" s="2" t="s">
        <v>14</v>
      </c>
      <c r="J1964" s="12" t="s">
        <v>852</v>
      </c>
    </row>
    <row r="1965" ht="22.5" hidden="1" customHeight="1">
      <c r="A1965" s="2" t="s">
        <v>707</v>
      </c>
      <c r="B1965" s="2" t="s">
        <v>1488</v>
      </c>
      <c r="C1965" s="2" t="s">
        <v>1489</v>
      </c>
      <c r="D1965" s="8" t="s">
        <v>46</v>
      </c>
      <c r="E1965" s="9" t="s">
        <v>26</v>
      </c>
      <c r="F1965" s="33">
        <v>3.0</v>
      </c>
      <c r="G1965" s="33">
        <v>1700.0</v>
      </c>
      <c r="H1965" s="35">
        <v>46141.0</v>
      </c>
      <c r="I1965" s="2" t="s">
        <v>14</v>
      </c>
      <c r="J1965" s="12" t="s">
        <v>1061</v>
      </c>
    </row>
    <row r="1966" ht="22.5" hidden="1" customHeight="1">
      <c r="A1966" s="2" t="s">
        <v>1499</v>
      </c>
      <c r="B1966" s="2" t="s">
        <v>1488</v>
      </c>
      <c r="C1966" s="2" t="s">
        <v>1489</v>
      </c>
      <c r="D1966" s="8" t="s">
        <v>46</v>
      </c>
      <c r="E1966" s="9" t="s">
        <v>26</v>
      </c>
      <c r="F1966" s="33">
        <v>3.0</v>
      </c>
      <c r="G1966" s="33">
        <v>1700.0</v>
      </c>
      <c r="H1966" s="35">
        <v>46141.0</v>
      </c>
      <c r="I1966" s="2" t="s">
        <v>14</v>
      </c>
      <c r="J1966" s="12" t="s">
        <v>1500</v>
      </c>
    </row>
    <row r="1967" ht="22.5" hidden="1" customHeight="1">
      <c r="A1967" s="2" t="s">
        <v>751</v>
      </c>
      <c r="B1967" s="2" t="s">
        <v>1488</v>
      </c>
      <c r="C1967" s="2" t="s">
        <v>1489</v>
      </c>
      <c r="D1967" s="8" t="s">
        <v>46</v>
      </c>
      <c r="E1967" s="9" t="s">
        <v>26</v>
      </c>
      <c r="F1967" s="33">
        <v>1.0</v>
      </c>
      <c r="G1967" s="33">
        <v>1700.0</v>
      </c>
      <c r="H1967" s="35">
        <v>46141.0</v>
      </c>
      <c r="I1967" s="2" t="s">
        <v>14</v>
      </c>
      <c r="J1967" s="12" t="s">
        <v>752</v>
      </c>
    </row>
    <row r="1968" ht="22.5" hidden="1" customHeight="1">
      <c r="A1968" s="2" t="s">
        <v>293</v>
      </c>
      <c r="B1968" s="2" t="s">
        <v>1488</v>
      </c>
      <c r="C1968" s="2" t="s">
        <v>1489</v>
      </c>
      <c r="D1968" s="8" t="s">
        <v>46</v>
      </c>
      <c r="E1968" s="9" t="s">
        <v>26</v>
      </c>
      <c r="F1968" s="33">
        <v>1.0</v>
      </c>
      <c r="G1968" s="33">
        <v>1700.0</v>
      </c>
      <c r="H1968" s="35">
        <v>46141.0</v>
      </c>
      <c r="I1968" s="2" t="s">
        <v>14</v>
      </c>
      <c r="J1968" s="12" t="s">
        <v>1501</v>
      </c>
    </row>
    <row r="1969" ht="22.5" hidden="1" customHeight="1">
      <c r="A1969" s="2" t="s">
        <v>1502</v>
      </c>
      <c r="B1969" s="2" t="s">
        <v>1488</v>
      </c>
      <c r="C1969" s="2" t="s">
        <v>1489</v>
      </c>
      <c r="D1969" s="8" t="s">
        <v>46</v>
      </c>
      <c r="E1969" s="9" t="s">
        <v>26</v>
      </c>
      <c r="F1969" s="33">
        <v>3.0</v>
      </c>
      <c r="G1969" s="33">
        <v>1700.0</v>
      </c>
      <c r="H1969" s="35">
        <v>46141.0</v>
      </c>
      <c r="I1969" s="2" t="s">
        <v>14</v>
      </c>
      <c r="J1969" s="12" t="s">
        <v>1503</v>
      </c>
    </row>
    <row r="1970" ht="22.5" hidden="1" customHeight="1">
      <c r="A1970" s="2" t="s">
        <v>339</v>
      </c>
      <c r="B1970" s="2" t="s">
        <v>1488</v>
      </c>
      <c r="C1970" s="2" t="s">
        <v>1489</v>
      </c>
      <c r="D1970" s="8" t="s">
        <v>46</v>
      </c>
      <c r="E1970" s="9" t="s">
        <v>26</v>
      </c>
      <c r="F1970" s="33">
        <v>1.0</v>
      </c>
      <c r="G1970" s="33">
        <v>1700.0</v>
      </c>
      <c r="H1970" s="35">
        <v>46141.0</v>
      </c>
      <c r="I1970" s="2" t="s">
        <v>14</v>
      </c>
      <c r="J1970" s="12" t="s">
        <v>1504</v>
      </c>
    </row>
    <row r="1971" ht="22.5" hidden="1" customHeight="1">
      <c r="A1971" s="2" t="s">
        <v>207</v>
      </c>
      <c r="B1971" s="2" t="s">
        <v>1488</v>
      </c>
      <c r="C1971" s="2" t="s">
        <v>1489</v>
      </c>
      <c r="D1971" s="8" t="s">
        <v>46</v>
      </c>
      <c r="E1971" s="9" t="s">
        <v>26</v>
      </c>
      <c r="F1971" s="33">
        <v>2.0</v>
      </c>
      <c r="G1971" s="33">
        <v>1700.0</v>
      </c>
      <c r="H1971" s="35">
        <v>46141.0</v>
      </c>
      <c r="I1971" s="2" t="s">
        <v>24</v>
      </c>
      <c r="J1971" s="12" t="s">
        <v>1504</v>
      </c>
    </row>
    <row r="1972" ht="22.5" hidden="1" customHeight="1">
      <c r="A1972" s="2" t="s">
        <v>207</v>
      </c>
      <c r="B1972" s="2" t="s">
        <v>1488</v>
      </c>
      <c r="C1972" s="2" t="s">
        <v>1489</v>
      </c>
      <c r="D1972" s="8" t="s">
        <v>46</v>
      </c>
      <c r="E1972" s="9" t="s">
        <v>26</v>
      </c>
      <c r="F1972" s="33">
        <v>2.0</v>
      </c>
      <c r="G1972" s="33">
        <v>1700.0</v>
      </c>
      <c r="H1972" s="35">
        <v>46141.0</v>
      </c>
      <c r="I1972" s="2" t="s">
        <v>14</v>
      </c>
      <c r="J1972" s="12" t="s">
        <v>1505</v>
      </c>
    </row>
    <row r="1973" ht="22.5" hidden="1" customHeight="1">
      <c r="A1973" s="2" t="s">
        <v>1423</v>
      </c>
      <c r="B1973" s="2" t="s">
        <v>1488</v>
      </c>
      <c r="C1973" s="2" t="s">
        <v>1489</v>
      </c>
      <c r="D1973" s="8" t="s">
        <v>46</v>
      </c>
      <c r="E1973" s="9" t="s">
        <v>26</v>
      </c>
      <c r="F1973" s="33">
        <v>2.0</v>
      </c>
      <c r="G1973" s="33">
        <v>1700.0</v>
      </c>
      <c r="H1973" s="35">
        <v>46141.0</v>
      </c>
      <c r="I1973" s="2" t="s">
        <v>14</v>
      </c>
      <c r="J1973" s="12" t="s">
        <v>1424</v>
      </c>
    </row>
    <row r="1974" ht="22.5" hidden="1" customHeight="1">
      <c r="A1974" s="2" t="s">
        <v>1506</v>
      </c>
      <c r="B1974" s="2" t="s">
        <v>1488</v>
      </c>
      <c r="C1974" s="2" t="s">
        <v>1489</v>
      </c>
      <c r="D1974" s="8" t="s">
        <v>46</v>
      </c>
      <c r="E1974" s="9" t="s">
        <v>26</v>
      </c>
      <c r="F1974" s="33">
        <v>3.0</v>
      </c>
      <c r="G1974" s="33">
        <v>1700.0</v>
      </c>
      <c r="H1974" s="35">
        <v>46141.0</v>
      </c>
      <c r="I1974" s="2" t="s">
        <v>14</v>
      </c>
      <c r="J1974" s="12" t="s">
        <v>1507</v>
      </c>
    </row>
    <row r="1975" ht="22.5" hidden="1" customHeight="1">
      <c r="A1975" s="2" t="s">
        <v>446</v>
      </c>
      <c r="B1975" s="2" t="s">
        <v>1488</v>
      </c>
      <c r="C1975" s="2" t="s">
        <v>1489</v>
      </c>
      <c r="D1975" s="8" t="s">
        <v>46</v>
      </c>
      <c r="E1975" s="9" t="s">
        <v>26</v>
      </c>
      <c r="F1975" s="33">
        <v>1.0</v>
      </c>
      <c r="G1975" s="33">
        <v>1700.0</v>
      </c>
      <c r="H1975" s="35">
        <v>46141.0</v>
      </c>
      <c r="I1975" s="2" t="s">
        <v>1183</v>
      </c>
      <c r="J1975" s="12" t="s">
        <v>1508</v>
      </c>
    </row>
    <row r="1976" ht="22.5" hidden="1" customHeight="1">
      <c r="A1976" s="2" t="s">
        <v>1509</v>
      </c>
      <c r="B1976" s="2" t="s">
        <v>1488</v>
      </c>
      <c r="C1976" s="2" t="s">
        <v>1489</v>
      </c>
      <c r="D1976" s="8" t="s">
        <v>46</v>
      </c>
      <c r="E1976" s="9" t="s">
        <v>26</v>
      </c>
      <c r="F1976" s="33">
        <v>1.0</v>
      </c>
      <c r="G1976" s="33">
        <v>1700.0</v>
      </c>
      <c r="H1976" s="35">
        <v>46141.0</v>
      </c>
      <c r="I1976" s="2" t="s">
        <v>1183</v>
      </c>
      <c r="J1976" s="12" t="s">
        <v>1510</v>
      </c>
    </row>
    <row r="1977" ht="22.5" hidden="1" customHeight="1">
      <c r="A1977" s="2" t="s">
        <v>1511</v>
      </c>
      <c r="B1977" s="2" t="s">
        <v>377</v>
      </c>
      <c r="C1977" s="2" t="s">
        <v>378</v>
      </c>
      <c r="D1977" s="8" t="s">
        <v>46</v>
      </c>
      <c r="E1977" s="9" t="s">
        <v>18</v>
      </c>
      <c r="F1977" s="33">
        <v>1.0</v>
      </c>
      <c r="G1977" s="33">
        <v>750.0</v>
      </c>
      <c r="H1977" s="35">
        <v>46141.0</v>
      </c>
      <c r="I1977" s="2" t="s">
        <v>14</v>
      </c>
      <c r="J1977" s="12" t="s">
        <v>1512</v>
      </c>
    </row>
    <row r="1978" ht="22.5" hidden="1" customHeight="1">
      <c r="A1978" s="2" t="s">
        <v>1511</v>
      </c>
      <c r="B1978" s="2" t="s">
        <v>377</v>
      </c>
      <c r="C1978" s="2" t="s">
        <v>378</v>
      </c>
      <c r="D1978" s="8" t="s">
        <v>46</v>
      </c>
      <c r="E1978" s="9" t="s">
        <v>13</v>
      </c>
      <c r="F1978" s="33">
        <v>1.0</v>
      </c>
      <c r="G1978" s="33">
        <v>750.0</v>
      </c>
      <c r="H1978" s="35">
        <v>46141.0</v>
      </c>
      <c r="I1978" s="2" t="s">
        <v>14</v>
      </c>
      <c r="J1978" s="12" t="s">
        <v>1512</v>
      </c>
    </row>
    <row r="1979" ht="22.5" hidden="1" customHeight="1">
      <c r="A1979" s="2" t="s">
        <v>1513</v>
      </c>
      <c r="B1979" s="2" t="s">
        <v>1311</v>
      </c>
      <c r="C1979" s="2">
        <v>8888.0</v>
      </c>
      <c r="D1979" s="8" t="s">
        <v>12</v>
      </c>
      <c r="E1979" s="9" t="s">
        <v>13</v>
      </c>
      <c r="F1979" s="33">
        <v>1.0</v>
      </c>
      <c r="G1979" s="33">
        <v>1700.0</v>
      </c>
      <c r="H1979" s="35">
        <v>46141.0</v>
      </c>
      <c r="I1979" s="2" t="s">
        <v>1183</v>
      </c>
      <c r="J1979" s="12" t="s">
        <v>1514</v>
      </c>
    </row>
    <row r="1980" ht="22.5" hidden="1" customHeight="1">
      <c r="A1980" s="2" t="s">
        <v>1513</v>
      </c>
      <c r="B1980" s="2" t="s">
        <v>440</v>
      </c>
      <c r="C1980" s="2" t="s">
        <v>441</v>
      </c>
      <c r="D1980" s="8" t="s">
        <v>46</v>
      </c>
      <c r="E1980" s="9" t="s">
        <v>47</v>
      </c>
      <c r="F1980" s="33">
        <v>2.0</v>
      </c>
      <c r="G1980" s="33">
        <v>1200.0</v>
      </c>
      <c r="H1980" s="35">
        <v>46141.0</v>
      </c>
      <c r="I1980" s="2" t="s">
        <v>473</v>
      </c>
      <c r="J1980" s="12" t="s">
        <v>1514</v>
      </c>
    </row>
    <row r="1981" ht="22.5" hidden="1" customHeight="1">
      <c r="A1981" s="2" t="s">
        <v>1515</v>
      </c>
      <c r="B1981" s="2" t="s">
        <v>958</v>
      </c>
      <c r="C1981" s="2" t="s">
        <v>959</v>
      </c>
      <c r="D1981" s="8" t="s">
        <v>75</v>
      </c>
      <c r="E1981" s="9" t="s">
        <v>18</v>
      </c>
      <c r="F1981" s="33">
        <v>1.0</v>
      </c>
      <c r="G1981" s="33">
        <v>1800.0</v>
      </c>
      <c r="H1981" s="35">
        <v>46141.0</v>
      </c>
      <c r="I1981" s="2" t="s">
        <v>14</v>
      </c>
      <c r="J1981" s="12" t="s">
        <v>1516</v>
      </c>
    </row>
    <row r="1982" ht="22.5" hidden="1" customHeight="1">
      <c r="A1982" s="2" t="s">
        <v>1515</v>
      </c>
      <c r="B1982" s="2" t="s">
        <v>1201</v>
      </c>
      <c r="C1982" s="2" t="s">
        <v>1202</v>
      </c>
      <c r="D1982" s="8" t="s">
        <v>989</v>
      </c>
      <c r="E1982" s="9" t="s">
        <v>47</v>
      </c>
      <c r="F1982" s="33">
        <v>1.0</v>
      </c>
      <c r="G1982" s="33">
        <v>725.0</v>
      </c>
      <c r="H1982" s="35">
        <v>46141.0</v>
      </c>
      <c r="I1982" s="2" t="s">
        <v>14</v>
      </c>
      <c r="J1982" s="12" t="s">
        <v>1516</v>
      </c>
    </row>
    <row r="1983" ht="22.5" hidden="1" customHeight="1">
      <c r="A1983" s="2" t="s">
        <v>1515</v>
      </c>
      <c r="B1983" s="2" t="s">
        <v>1201</v>
      </c>
      <c r="C1983" s="2" t="s">
        <v>1202</v>
      </c>
      <c r="D1983" s="8" t="s">
        <v>989</v>
      </c>
      <c r="E1983" s="9" t="s">
        <v>18</v>
      </c>
      <c r="F1983" s="33">
        <v>1.0</v>
      </c>
      <c r="G1983" s="33">
        <v>725.0</v>
      </c>
      <c r="H1983" s="35">
        <v>46141.0</v>
      </c>
      <c r="I1983" s="2" t="s">
        <v>14</v>
      </c>
      <c r="J1983" s="12" t="s">
        <v>1516</v>
      </c>
    </row>
    <row r="1984" ht="22.5" hidden="1" customHeight="1">
      <c r="A1984" s="2" t="s">
        <v>55</v>
      </c>
      <c r="B1984" s="2" t="s">
        <v>1517</v>
      </c>
      <c r="C1984" s="2">
        <v>9500.0</v>
      </c>
      <c r="D1984" s="8" t="s">
        <v>12</v>
      </c>
      <c r="E1984" s="9" t="s">
        <v>340</v>
      </c>
      <c r="F1984" s="33">
        <v>1.0</v>
      </c>
      <c r="G1984" s="33">
        <v>2690.0</v>
      </c>
      <c r="H1984" s="35">
        <v>46141.0</v>
      </c>
      <c r="I1984" s="2" t="s">
        <v>14</v>
      </c>
      <c r="J1984" s="12" t="s">
        <v>1441</v>
      </c>
    </row>
    <row r="1985" ht="22.5" hidden="1" customHeight="1">
      <c r="A1985" s="2" t="s">
        <v>1399</v>
      </c>
      <c r="B1985" s="2" t="s">
        <v>1517</v>
      </c>
      <c r="C1985" s="2">
        <v>9500.0</v>
      </c>
      <c r="D1985" s="8" t="s">
        <v>75</v>
      </c>
      <c r="E1985" s="9" t="s">
        <v>340</v>
      </c>
      <c r="F1985" s="33">
        <v>1.0</v>
      </c>
      <c r="G1985" s="33">
        <v>2690.0</v>
      </c>
      <c r="H1985" s="35">
        <v>46141.0</v>
      </c>
      <c r="I1985" s="2" t="s">
        <v>14</v>
      </c>
      <c r="J1985" s="12" t="s">
        <v>1400</v>
      </c>
    </row>
    <row r="1986" ht="22.5" hidden="1" customHeight="1">
      <c r="A1986" s="2" t="s">
        <v>214</v>
      </c>
      <c r="B1986" s="2" t="s">
        <v>1517</v>
      </c>
      <c r="C1986" s="2">
        <v>9500.0</v>
      </c>
      <c r="D1986" s="8" t="s">
        <v>75</v>
      </c>
      <c r="E1986" s="9" t="s">
        <v>340</v>
      </c>
      <c r="F1986" s="33">
        <v>1.0</v>
      </c>
      <c r="G1986" s="33">
        <v>2690.0</v>
      </c>
      <c r="H1986" s="35">
        <v>46141.0</v>
      </c>
      <c r="I1986" s="2" t="s">
        <v>14</v>
      </c>
      <c r="J1986" s="12" t="s">
        <v>1518</v>
      </c>
    </row>
    <row r="1987" ht="22.5" hidden="1" customHeight="1">
      <c r="A1987" s="2" t="s">
        <v>1519</v>
      </c>
      <c r="B1987" s="2" t="s">
        <v>1517</v>
      </c>
      <c r="C1987" s="2">
        <v>9500.0</v>
      </c>
      <c r="D1987" s="8" t="s">
        <v>22</v>
      </c>
      <c r="E1987" s="9" t="s">
        <v>340</v>
      </c>
      <c r="F1987" s="33">
        <v>1.0</v>
      </c>
      <c r="G1987" s="33">
        <v>2690.0</v>
      </c>
      <c r="H1987" s="35">
        <v>46141.0</v>
      </c>
      <c r="I1987" s="2" t="s">
        <v>473</v>
      </c>
      <c r="J1987" s="12" t="s">
        <v>1520</v>
      </c>
    </row>
    <row r="1988" ht="22.5" hidden="1" customHeight="1">
      <c r="A1988" s="2" t="s">
        <v>288</v>
      </c>
      <c r="B1988" s="2" t="s">
        <v>1517</v>
      </c>
      <c r="C1988" s="2">
        <v>9500.0</v>
      </c>
      <c r="D1988" s="8" t="s">
        <v>22</v>
      </c>
      <c r="E1988" s="9" t="s">
        <v>340</v>
      </c>
      <c r="F1988" s="33">
        <v>1.0</v>
      </c>
      <c r="G1988" s="33">
        <v>2690.0</v>
      </c>
      <c r="H1988" s="35">
        <v>46141.0</v>
      </c>
      <c r="I1988" s="2" t="s">
        <v>14</v>
      </c>
      <c r="J1988" s="12" t="s">
        <v>1197</v>
      </c>
    </row>
    <row r="1989" ht="22.5" hidden="1" customHeight="1">
      <c r="A1989" s="2" t="s">
        <v>1521</v>
      </c>
      <c r="B1989" s="2" t="s">
        <v>1254</v>
      </c>
      <c r="C1989" s="2" t="s">
        <v>1255</v>
      </c>
      <c r="D1989" s="8" t="s">
        <v>75</v>
      </c>
      <c r="E1989" s="9" t="s">
        <v>1256</v>
      </c>
      <c r="F1989" s="33">
        <v>1.0</v>
      </c>
      <c r="G1989" s="33">
        <v>1200.0</v>
      </c>
      <c r="H1989" s="35">
        <v>46141.0</v>
      </c>
      <c r="I1989" s="2" t="s">
        <v>14</v>
      </c>
      <c r="J1989" s="2"/>
    </row>
    <row r="1990" ht="22.5" hidden="1" customHeight="1">
      <c r="A1990" s="2" t="s">
        <v>1521</v>
      </c>
      <c r="B1990" s="2" t="s">
        <v>1254</v>
      </c>
      <c r="C1990" s="2" t="s">
        <v>1255</v>
      </c>
      <c r="D1990" s="8" t="s">
        <v>75</v>
      </c>
      <c r="E1990" s="9" t="s">
        <v>1260</v>
      </c>
      <c r="F1990" s="33">
        <v>1.0</v>
      </c>
      <c r="G1990" s="33">
        <v>1200.0</v>
      </c>
      <c r="H1990" s="35">
        <v>46141.0</v>
      </c>
      <c r="I1990" s="2" t="s">
        <v>14</v>
      </c>
      <c r="J1990" s="2"/>
    </row>
    <row r="1991" ht="22.5" hidden="1" customHeight="1">
      <c r="A1991" s="2" t="s">
        <v>309</v>
      </c>
      <c r="B1991" s="2" t="s">
        <v>958</v>
      </c>
      <c r="C1991" s="2" t="s">
        <v>959</v>
      </c>
      <c r="D1991" s="8" t="s">
        <v>989</v>
      </c>
      <c r="E1991" s="9"/>
      <c r="F1991" s="33">
        <v>1.0</v>
      </c>
      <c r="G1991" s="33">
        <v>1800.0</v>
      </c>
      <c r="H1991" s="35">
        <v>46141.0</v>
      </c>
      <c r="I1991" s="2" t="s">
        <v>14</v>
      </c>
      <c r="J1991" s="2"/>
    </row>
    <row r="1992" ht="22.5" hidden="1" customHeight="1">
      <c r="A1992" s="2" t="s">
        <v>1521</v>
      </c>
      <c r="B1992" s="2" t="s">
        <v>1184</v>
      </c>
      <c r="C1992" s="2" t="s">
        <v>1185</v>
      </c>
      <c r="D1992" s="8" t="s">
        <v>989</v>
      </c>
      <c r="E1992" s="9" t="s">
        <v>23</v>
      </c>
      <c r="F1992" s="33">
        <v>1.0</v>
      </c>
      <c r="G1992" s="33">
        <v>845.0</v>
      </c>
      <c r="H1992" s="35">
        <v>46141.0</v>
      </c>
      <c r="I1992" s="2" t="s">
        <v>14</v>
      </c>
      <c r="J1992" s="2"/>
    </row>
    <row r="1993" ht="22.5" hidden="1" customHeight="1">
      <c r="A1993" s="2" t="s">
        <v>1521</v>
      </c>
      <c r="B1993" s="2" t="s">
        <v>1184</v>
      </c>
      <c r="C1993" s="2" t="s">
        <v>1185</v>
      </c>
      <c r="D1993" s="8" t="s">
        <v>989</v>
      </c>
      <c r="E1993" s="9" t="s">
        <v>18</v>
      </c>
      <c r="F1993" s="33">
        <v>1.0</v>
      </c>
      <c r="G1993" s="33">
        <v>845.0</v>
      </c>
      <c r="H1993" s="35">
        <v>46141.0</v>
      </c>
      <c r="I1993" s="2" t="s">
        <v>14</v>
      </c>
      <c r="J1993" s="2"/>
    </row>
    <row r="1994" ht="22.5" hidden="1" customHeight="1">
      <c r="A1994" s="2" t="s">
        <v>351</v>
      </c>
      <c r="B1994" s="2" t="s">
        <v>1212</v>
      </c>
      <c r="C1994" s="2">
        <v>92212.0</v>
      </c>
      <c r="D1994" s="8" t="s">
        <v>46</v>
      </c>
      <c r="E1994" s="9" t="s">
        <v>16</v>
      </c>
      <c r="F1994" s="33">
        <v>1.0</v>
      </c>
      <c r="G1994" s="33">
        <v>1700.0</v>
      </c>
      <c r="H1994" s="35">
        <v>46141.0</v>
      </c>
      <c r="I1994" s="2" t="s">
        <v>473</v>
      </c>
      <c r="J1994" s="2"/>
    </row>
    <row r="1995" ht="22.5" hidden="1" customHeight="1">
      <c r="A1995" s="2" t="s">
        <v>303</v>
      </c>
      <c r="B1995" s="2" t="s">
        <v>1232</v>
      </c>
      <c r="C1995" s="2" t="s">
        <v>1233</v>
      </c>
      <c r="D1995" s="8" t="s">
        <v>46</v>
      </c>
      <c r="E1995" s="9" t="s">
        <v>13</v>
      </c>
      <c r="F1995" s="33">
        <v>1.0</v>
      </c>
      <c r="G1995" s="33">
        <v>1550.0</v>
      </c>
      <c r="H1995" s="35">
        <v>46141.0</v>
      </c>
      <c r="I1995" s="2" t="s">
        <v>14</v>
      </c>
      <c r="J1995" s="12" t="s">
        <v>1486</v>
      </c>
    </row>
    <row r="1996" ht="22.5" hidden="1" customHeight="1">
      <c r="A1996" s="2" t="s">
        <v>1522</v>
      </c>
      <c r="B1996" s="2" t="s">
        <v>1523</v>
      </c>
      <c r="C1996" s="2" t="s">
        <v>1524</v>
      </c>
      <c r="D1996" s="8" t="s">
        <v>46</v>
      </c>
      <c r="E1996" s="9" t="s">
        <v>198</v>
      </c>
      <c r="F1996" s="33">
        <v>1.0</v>
      </c>
      <c r="G1996" s="33">
        <v>4200.0</v>
      </c>
      <c r="H1996" s="35">
        <v>46141.0</v>
      </c>
      <c r="I1996" s="2" t="s">
        <v>14</v>
      </c>
      <c r="J1996" s="12" t="s">
        <v>1525</v>
      </c>
    </row>
    <row r="1997" ht="22.5" hidden="1" customHeight="1">
      <c r="A1997" s="2" t="s">
        <v>1526</v>
      </c>
      <c r="B1997" s="2" t="s">
        <v>1523</v>
      </c>
      <c r="C1997" s="2" t="s">
        <v>1524</v>
      </c>
      <c r="D1997" s="8" t="s">
        <v>46</v>
      </c>
      <c r="E1997" s="9" t="s">
        <v>198</v>
      </c>
      <c r="F1997" s="33">
        <v>1.0</v>
      </c>
      <c r="G1997" s="33">
        <v>4200.0</v>
      </c>
      <c r="H1997" s="35">
        <v>46141.0</v>
      </c>
      <c r="I1997" s="2" t="s">
        <v>14</v>
      </c>
      <c r="J1997" s="12" t="s">
        <v>1527</v>
      </c>
    </row>
    <row r="1998" ht="22.5" hidden="1" customHeight="1">
      <c r="A1998" s="2" t="s">
        <v>1528</v>
      </c>
      <c r="B1998" s="2" t="s">
        <v>1523</v>
      </c>
      <c r="C1998" s="2" t="s">
        <v>1524</v>
      </c>
      <c r="D1998" s="8" t="s">
        <v>46</v>
      </c>
      <c r="E1998" s="9" t="s">
        <v>198</v>
      </c>
      <c r="F1998" s="33">
        <v>1.0</v>
      </c>
      <c r="G1998" s="33">
        <v>4200.0</v>
      </c>
      <c r="H1998" s="35">
        <v>46141.0</v>
      </c>
      <c r="I1998" s="2" t="s">
        <v>24</v>
      </c>
      <c r="J1998" s="2"/>
    </row>
    <row r="1999" ht="22.5" hidden="1" customHeight="1">
      <c r="A1999" s="2" t="s">
        <v>1116</v>
      </c>
      <c r="B1999" s="2" t="s">
        <v>1523</v>
      </c>
      <c r="C1999" s="2" t="s">
        <v>1524</v>
      </c>
      <c r="D1999" s="8" t="s">
        <v>46</v>
      </c>
      <c r="E1999" s="9" t="s">
        <v>198</v>
      </c>
      <c r="F1999" s="33">
        <v>1.0</v>
      </c>
      <c r="G1999" s="33">
        <v>4200.0</v>
      </c>
      <c r="H1999" s="35">
        <v>46141.0</v>
      </c>
      <c r="I1999" s="2" t="s">
        <v>473</v>
      </c>
      <c r="J1999" s="12" t="s">
        <v>1529</v>
      </c>
    </row>
    <row r="2000" ht="22.5" hidden="1" customHeight="1">
      <c r="A2000" s="2" t="s">
        <v>1530</v>
      </c>
      <c r="B2000" s="2" t="s">
        <v>1523</v>
      </c>
      <c r="C2000" s="2" t="s">
        <v>1524</v>
      </c>
      <c r="D2000" s="8" t="s">
        <v>46</v>
      </c>
      <c r="E2000" s="9" t="s">
        <v>198</v>
      </c>
      <c r="F2000" s="33">
        <v>1.0</v>
      </c>
      <c r="G2000" s="33">
        <v>4200.0</v>
      </c>
      <c r="H2000" s="35">
        <v>46141.0</v>
      </c>
      <c r="I2000" s="2" t="s">
        <v>14</v>
      </c>
      <c r="J2000" s="12" t="s">
        <v>1531</v>
      </c>
    </row>
    <row r="2001" ht="22.5" hidden="1" customHeight="1">
      <c r="A2001" s="2" t="s">
        <v>1427</v>
      </c>
      <c r="B2001" s="2" t="s">
        <v>268</v>
      </c>
      <c r="C2001" s="2" t="s">
        <v>269</v>
      </c>
      <c r="D2001" s="8">
        <v>36.0</v>
      </c>
      <c r="E2001" s="9" t="s">
        <v>18</v>
      </c>
      <c r="F2001" s="33">
        <v>1.0</v>
      </c>
      <c r="G2001" s="33">
        <v>1990.0</v>
      </c>
      <c r="H2001" s="35">
        <v>46141.0</v>
      </c>
      <c r="I2001" s="2" t="s">
        <v>14</v>
      </c>
      <c r="J2001" s="12" t="s">
        <v>1532</v>
      </c>
    </row>
    <row r="2002" ht="22.5" hidden="1" customHeight="1">
      <c r="A2002" s="2" t="s">
        <v>1213</v>
      </c>
      <c r="B2002" s="2" t="s">
        <v>268</v>
      </c>
      <c r="C2002" s="2" t="s">
        <v>269</v>
      </c>
      <c r="D2002" s="8">
        <v>37.0</v>
      </c>
      <c r="E2002" s="9" t="s">
        <v>18</v>
      </c>
      <c r="F2002" s="33">
        <v>1.0</v>
      </c>
      <c r="G2002" s="33">
        <v>1990.0</v>
      </c>
      <c r="H2002" s="35">
        <v>46141.0</v>
      </c>
      <c r="I2002" s="2" t="s">
        <v>14</v>
      </c>
      <c r="J2002" s="12" t="s">
        <v>1214</v>
      </c>
    </row>
    <row r="2003" ht="22.5" hidden="1" customHeight="1">
      <c r="A2003" s="2" t="s">
        <v>1533</v>
      </c>
      <c r="B2003" s="2" t="s">
        <v>1470</v>
      </c>
      <c r="C2003" s="2" t="s">
        <v>1471</v>
      </c>
      <c r="D2003" s="8" t="s">
        <v>46</v>
      </c>
      <c r="E2003" s="9" t="s">
        <v>340</v>
      </c>
      <c r="F2003" s="33">
        <v>1.0</v>
      </c>
      <c r="G2003" s="33">
        <v>990.0</v>
      </c>
      <c r="H2003" s="35">
        <v>46141.0</v>
      </c>
      <c r="I2003" s="2" t="s">
        <v>14</v>
      </c>
      <c r="J2003" s="12" t="s">
        <v>1534</v>
      </c>
    </row>
    <row r="2004" ht="22.5" hidden="1" customHeight="1">
      <c r="A2004" s="2" t="s">
        <v>1535</v>
      </c>
      <c r="B2004" s="2" t="s">
        <v>1470</v>
      </c>
      <c r="C2004" s="2" t="s">
        <v>1471</v>
      </c>
      <c r="D2004" s="8" t="s">
        <v>46</v>
      </c>
      <c r="E2004" s="9" t="s">
        <v>338</v>
      </c>
      <c r="F2004" s="33">
        <v>1.0</v>
      </c>
      <c r="G2004" s="33">
        <v>990.0</v>
      </c>
      <c r="H2004" s="35">
        <v>46141.0</v>
      </c>
      <c r="I2004" s="2" t="s">
        <v>14</v>
      </c>
      <c r="J2004" s="12" t="s">
        <v>1536</v>
      </c>
    </row>
    <row r="2005" ht="22.5" hidden="1" customHeight="1">
      <c r="A2005" s="2" t="s">
        <v>255</v>
      </c>
      <c r="B2005" s="2" t="s">
        <v>182</v>
      </c>
      <c r="C2005" s="2">
        <v>9369.0</v>
      </c>
      <c r="D2005" s="8" t="s">
        <v>12</v>
      </c>
      <c r="E2005" s="9" t="s">
        <v>58</v>
      </c>
      <c r="F2005" s="33">
        <v>1.0</v>
      </c>
      <c r="G2005" s="33">
        <v>2400.0</v>
      </c>
      <c r="H2005" s="35">
        <v>46144.0</v>
      </c>
      <c r="I2005" s="2" t="s">
        <v>14</v>
      </c>
      <c r="J2005" s="2"/>
    </row>
    <row r="2006" ht="22.5" hidden="1" customHeight="1">
      <c r="A2006" s="2" t="s">
        <v>817</v>
      </c>
      <c r="B2006" s="2" t="s">
        <v>196</v>
      </c>
      <c r="C2006" s="2">
        <v>8876.0</v>
      </c>
      <c r="D2006" s="8" t="s">
        <v>22</v>
      </c>
      <c r="E2006" s="9" t="s">
        <v>18</v>
      </c>
      <c r="F2006" s="33">
        <v>2.0</v>
      </c>
      <c r="G2006" s="33">
        <v>990.0</v>
      </c>
      <c r="H2006" s="35">
        <v>46144.0</v>
      </c>
      <c r="I2006" s="2" t="s">
        <v>14</v>
      </c>
      <c r="J2006" s="2"/>
    </row>
    <row r="2007" ht="22.5" hidden="1" customHeight="1">
      <c r="A2007" s="2" t="s">
        <v>1162</v>
      </c>
      <c r="B2007" s="2" t="s">
        <v>268</v>
      </c>
      <c r="C2007" s="2" t="s">
        <v>269</v>
      </c>
      <c r="D2007" s="8">
        <v>39.0</v>
      </c>
      <c r="E2007" s="9" t="s">
        <v>18</v>
      </c>
      <c r="F2007" s="33">
        <v>1.0</v>
      </c>
      <c r="G2007" s="33">
        <v>1990.0</v>
      </c>
      <c r="H2007" s="35">
        <v>46144.0</v>
      </c>
      <c r="I2007" s="2" t="s">
        <v>14</v>
      </c>
      <c r="J2007" s="12" t="s">
        <v>1164</v>
      </c>
    </row>
    <row r="2008" ht="22.5" hidden="1" customHeight="1">
      <c r="A2008" s="2" t="s">
        <v>1162</v>
      </c>
      <c r="B2008" s="2" t="s">
        <v>762</v>
      </c>
      <c r="C2008" s="2" t="s">
        <v>763</v>
      </c>
      <c r="D2008" s="8" t="s">
        <v>46</v>
      </c>
      <c r="E2008" s="9" t="s">
        <v>1163</v>
      </c>
      <c r="F2008" s="33">
        <v>1.0</v>
      </c>
      <c r="G2008" s="33">
        <v>2500.0</v>
      </c>
      <c r="H2008" s="35">
        <v>46147.0</v>
      </c>
      <c r="I2008" s="2" t="s">
        <v>14</v>
      </c>
      <c r="J2008" s="12" t="s">
        <v>1164</v>
      </c>
    </row>
    <row r="2009" ht="22.5" hidden="1" customHeight="1">
      <c r="A2009" s="2" t="s">
        <v>751</v>
      </c>
      <c r="B2009" s="2" t="s">
        <v>762</v>
      </c>
      <c r="C2009" s="2" t="s">
        <v>763</v>
      </c>
      <c r="D2009" s="8" t="s">
        <v>46</v>
      </c>
      <c r="E2009" s="9" t="s">
        <v>1537</v>
      </c>
      <c r="F2009" s="33">
        <v>1.0</v>
      </c>
      <c r="G2009" s="33">
        <v>2500.0</v>
      </c>
      <c r="H2009" s="35">
        <v>46147.0</v>
      </c>
      <c r="I2009" s="2" t="s">
        <v>14</v>
      </c>
      <c r="J2009" s="12" t="s">
        <v>752</v>
      </c>
    </row>
    <row r="2010" ht="22.5" hidden="1" customHeight="1">
      <c r="A2010" s="2" t="s">
        <v>1538</v>
      </c>
      <c r="B2010" s="2" t="s">
        <v>762</v>
      </c>
      <c r="C2010" s="2" t="s">
        <v>763</v>
      </c>
      <c r="D2010" s="8" t="s">
        <v>46</v>
      </c>
      <c r="E2010" s="9" t="s">
        <v>1539</v>
      </c>
      <c r="F2010" s="33">
        <v>1.0</v>
      </c>
      <c r="G2010" s="33">
        <v>2500.0</v>
      </c>
      <c r="H2010" s="35">
        <v>46147.0</v>
      </c>
      <c r="I2010" s="2" t="s">
        <v>14</v>
      </c>
      <c r="J2010" s="2"/>
    </row>
    <row r="2011" ht="22.5" hidden="1" customHeight="1">
      <c r="A2011" s="2" t="s">
        <v>367</v>
      </c>
      <c r="B2011" s="2" t="s">
        <v>762</v>
      </c>
      <c r="C2011" s="2" t="s">
        <v>763</v>
      </c>
      <c r="D2011" s="8" t="s">
        <v>46</v>
      </c>
      <c r="E2011" s="9" t="s">
        <v>1540</v>
      </c>
      <c r="F2011" s="33">
        <v>1.0</v>
      </c>
      <c r="G2011" s="33">
        <v>2500.0</v>
      </c>
      <c r="H2011" s="35">
        <v>46147.0</v>
      </c>
      <c r="I2011" s="2" t="s">
        <v>14</v>
      </c>
      <c r="J2011" s="2"/>
    </row>
    <row r="2012" ht="22.5" hidden="1" customHeight="1">
      <c r="A2012" s="2" t="s">
        <v>1541</v>
      </c>
      <c r="B2012" s="2" t="s">
        <v>762</v>
      </c>
      <c r="C2012" s="2" t="s">
        <v>763</v>
      </c>
      <c r="D2012" s="8" t="s">
        <v>46</v>
      </c>
      <c r="E2012" s="9" t="s">
        <v>1542</v>
      </c>
      <c r="F2012" s="33">
        <v>1.0</v>
      </c>
      <c r="G2012" s="33">
        <v>4500.0</v>
      </c>
      <c r="H2012" s="35">
        <v>46147.0</v>
      </c>
      <c r="I2012" s="2" t="s">
        <v>473</v>
      </c>
      <c r="J2012" s="2"/>
    </row>
    <row r="2013" ht="22.5" hidden="1" customHeight="1">
      <c r="A2013" s="2" t="s">
        <v>684</v>
      </c>
      <c r="B2013" s="2" t="s">
        <v>762</v>
      </c>
      <c r="C2013" s="2" t="s">
        <v>763</v>
      </c>
      <c r="D2013" s="8" t="s">
        <v>46</v>
      </c>
      <c r="E2013" s="9" t="s">
        <v>1543</v>
      </c>
      <c r="F2013" s="33">
        <v>1.0</v>
      </c>
      <c r="G2013" s="33">
        <v>4500.0</v>
      </c>
      <c r="H2013" s="35">
        <v>46147.0</v>
      </c>
      <c r="I2013" s="2" t="s">
        <v>14</v>
      </c>
      <c r="J2013" s="2"/>
    </row>
    <row r="2014" ht="22.5" hidden="1" customHeight="1">
      <c r="A2014" s="2" t="s">
        <v>1013</v>
      </c>
      <c r="B2014" s="2" t="s">
        <v>762</v>
      </c>
      <c r="C2014" s="2" t="s">
        <v>763</v>
      </c>
      <c r="D2014" s="8" t="s">
        <v>46</v>
      </c>
      <c r="E2014" s="9" t="s">
        <v>1544</v>
      </c>
      <c r="F2014" s="33">
        <v>1.0</v>
      </c>
      <c r="G2014" s="33">
        <v>2000.0</v>
      </c>
      <c r="H2014" s="35">
        <v>46147.0</v>
      </c>
      <c r="I2014" s="2" t="s">
        <v>14</v>
      </c>
      <c r="J2014" s="2"/>
    </row>
    <row r="2015" ht="22.5" hidden="1" customHeight="1">
      <c r="A2015" s="2" t="s">
        <v>1545</v>
      </c>
      <c r="B2015" s="2" t="s">
        <v>762</v>
      </c>
      <c r="C2015" s="2" t="s">
        <v>763</v>
      </c>
      <c r="D2015" s="8" t="s">
        <v>46</v>
      </c>
      <c r="E2015" s="9" t="s">
        <v>1546</v>
      </c>
      <c r="F2015" s="33">
        <v>1.0</v>
      </c>
      <c r="G2015" s="33">
        <v>1.0</v>
      </c>
      <c r="H2015" s="35">
        <v>46148.0</v>
      </c>
      <c r="I2015" s="2" t="s">
        <v>14</v>
      </c>
      <c r="J2015" s="2"/>
    </row>
    <row r="2016" ht="22.5" hidden="1" customHeight="1">
      <c r="A2016" s="2" t="s">
        <v>312</v>
      </c>
      <c r="B2016" s="2" t="s">
        <v>268</v>
      </c>
      <c r="C2016" s="2" t="s">
        <v>269</v>
      </c>
      <c r="D2016" s="8">
        <v>37.0</v>
      </c>
      <c r="E2016" s="9" t="s">
        <v>47</v>
      </c>
      <c r="F2016" s="33">
        <v>1.0</v>
      </c>
      <c r="G2016" s="33">
        <v>1990.0</v>
      </c>
      <c r="H2016" s="35">
        <v>46148.0</v>
      </c>
      <c r="I2016" s="2" t="s">
        <v>14</v>
      </c>
      <c r="J2016" s="12" t="s">
        <v>541</v>
      </c>
    </row>
    <row r="2017" ht="22.5" hidden="1" customHeight="1">
      <c r="A2017" s="2" t="s">
        <v>204</v>
      </c>
      <c r="B2017" s="2" t="s">
        <v>958</v>
      </c>
      <c r="C2017" s="2" t="s">
        <v>959</v>
      </c>
      <c r="D2017" s="8" t="s">
        <v>22</v>
      </c>
      <c r="E2017" s="9" t="s">
        <v>18</v>
      </c>
      <c r="F2017" s="33">
        <v>1.0</v>
      </c>
      <c r="G2017" s="33">
        <v>1800.0</v>
      </c>
      <c r="H2017" s="35">
        <v>46148.0</v>
      </c>
      <c r="I2017" s="2" t="s">
        <v>14</v>
      </c>
      <c r="J2017" s="12" t="s">
        <v>834</v>
      </c>
    </row>
    <row r="2018" ht="22.5" hidden="1" customHeight="1">
      <c r="A2018" s="2" t="s">
        <v>1547</v>
      </c>
      <c r="B2018" s="2" t="s">
        <v>1470</v>
      </c>
      <c r="C2018" s="2" t="s">
        <v>1471</v>
      </c>
      <c r="D2018" s="8" t="s">
        <v>46</v>
      </c>
      <c r="E2018" s="9" t="s">
        <v>26</v>
      </c>
      <c r="F2018" s="33">
        <v>1.0</v>
      </c>
      <c r="G2018" s="33">
        <v>990.0</v>
      </c>
      <c r="H2018" s="35">
        <v>46150.0</v>
      </c>
      <c r="I2018" s="2" t="s">
        <v>14</v>
      </c>
      <c r="J2018" s="12" t="s">
        <v>1548</v>
      </c>
    </row>
    <row r="2019" ht="22.5" hidden="1" customHeight="1">
      <c r="A2019" s="2" t="s">
        <v>1549</v>
      </c>
      <c r="B2019" s="2" t="s">
        <v>1470</v>
      </c>
      <c r="C2019" s="2" t="s">
        <v>1471</v>
      </c>
      <c r="D2019" s="8" t="s">
        <v>46</v>
      </c>
      <c r="E2019" s="9" t="s">
        <v>198</v>
      </c>
      <c r="F2019" s="33">
        <v>1.0</v>
      </c>
      <c r="G2019" s="33">
        <v>990.0</v>
      </c>
      <c r="H2019" s="35">
        <v>46150.0</v>
      </c>
      <c r="I2019" s="2" t="s">
        <v>24</v>
      </c>
      <c r="J2019" s="12" t="s">
        <v>1550</v>
      </c>
    </row>
    <row r="2020" ht="22.5" hidden="1" customHeight="1">
      <c r="A2020" s="2" t="s">
        <v>1551</v>
      </c>
      <c r="B2020" s="2" t="s">
        <v>1470</v>
      </c>
      <c r="C2020" s="2" t="s">
        <v>1471</v>
      </c>
      <c r="D2020" s="8" t="s">
        <v>46</v>
      </c>
      <c r="E2020" s="9" t="s">
        <v>338</v>
      </c>
      <c r="F2020" s="33">
        <v>1.0</v>
      </c>
      <c r="G2020" s="33">
        <v>990.0</v>
      </c>
      <c r="H2020" s="35">
        <v>46150.0</v>
      </c>
      <c r="I2020" s="2" t="s">
        <v>14</v>
      </c>
      <c r="J2020" s="12" t="s">
        <v>1552</v>
      </c>
    </row>
    <row r="2021" ht="22.5" hidden="1" customHeight="1">
      <c r="A2021" s="2" t="s">
        <v>1551</v>
      </c>
      <c r="B2021" s="2" t="s">
        <v>1470</v>
      </c>
      <c r="C2021" s="2" t="s">
        <v>1471</v>
      </c>
      <c r="D2021" s="8" t="s">
        <v>46</v>
      </c>
      <c r="E2021" s="9" t="s">
        <v>340</v>
      </c>
      <c r="F2021" s="33">
        <v>1.0</v>
      </c>
      <c r="G2021" s="33">
        <v>990.0</v>
      </c>
      <c r="H2021" s="35">
        <v>46150.0</v>
      </c>
      <c r="I2021" s="2" t="s">
        <v>14</v>
      </c>
      <c r="J2021" s="12" t="s">
        <v>1552</v>
      </c>
    </row>
    <row r="2022" ht="22.5" hidden="1" customHeight="1">
      <c r="A2022" s="2" t="s">
        <v>337</v>
      </c>
      <c r="B2022" s="2" t="s">
        <v>1470</v>
      </c>
      <c r="C2022" s="2" t="s">
        <v>1471</v>
      </c>
      <c r="D2022" s="8" t="s">
        <v>46</v>
      </c>
      <c r="E2022" s="9" t="s">
        <v>198</v>
      </c>
      <c r="F2022" s="33">
        <v>1.0</v>
      </c>
      <c r="G2022" s="33">
        <v>990.0</v>
      </c>
      <c r="H2022" s="35">
        <v>46150.0</v>
      </c>
      <c r="I2022" s="2" t="s">
        <v>14</v>
      </c>
      <c r="J2022" s="2"/>
    </row>
    <row r="2023" ht="22.5" hidden="1" customHeight="1">
      <c r="A2023" s="2" t="s">
        <v>1553</v>
      </c>
      <c r="B2023" s="2" t="s">
        <v>1470</v>
      </c>
      <c r="C2023" s="2" t="s">
        <v>1471</v>
      </c>
      <c r="D2023" s="8" t="s">
        <v>46</v>
      </c>
      <c r="E2023" s="9" t="s">
        <v>338</v>
      </c>
      <c r="F2023" s="33">
        <v>1.0</v>
      </c>
      <c r="G2023" s="33">
        <v>990.0</v>
      </c>
      <c r="H2023" s="35">
        <v>46150.0</v>
      </c>
      <c r="I2023" s="2" t="s">
        <v>14</v>
      </c>
      <c r="J2023" s="12" t="s">
        <v>1554</v>
      </c>
    </row>
    <row r="2024" ht="22.5" hidden="1" customHeight="1">
      <c r="A2024" s="2" t="s">
        <v>1555</v>
      </c>
      <c r="B2024" s="2" t="s">
        <v>1470</v>
      </c>
      <c r="C2024" s="2" t="s">
        <v>1471</v>
      </c>
      <c r="D2024" s="8" t="s">
        <v>46</v>
      </c>
      <c r="E2024" s="9" t="s">
        <v>338</v>
      </c>
      <c r="F2024" s="33">
        <v>1.0</v>
      </c>
      <c r="G2024" s="33">
        <v>990.0</v>
      </c>
      <c r="H2024" s="35">
        <v>46150.0</v>
      </c>
      <c r="I2024" s="2" t="s">
        <v>24</v>
      </c>
      <c r="J2024" s="12" t="s">
        <v>1556</v>
      </c>
    </row>
    <row r="2025" ht="22.5" hidden="1" customHeight="1">
      <c r="A2025" s="2" t="s">
        <v>1557</v>
      </c>
      <c r="B2025" s="2" t="s">
        <v>1470</v>
      </c>
      <c r="C2025" s="2" t="s">
        <v>1471</v>
      </c>
      <c r="D2025" s="8" t="s">
        <v>46</v>
      </c>
      <c r="E2025" s="9" t="s">
        <v>27</v>
      </c>
      <c r="F2025" s="33">
        <v>1.0</v>
      </c>
      <c r="G2025" s="33">
        <v>990.0</v>
      </c>
      <c r="H2025" s="35">
        <v>46150.0</v>
      </c>
      <c r="I2025" s="2" t="s">
        <v>14</v>
      </c>
      <c r="J2025" s="12" t="s">
        <v>1558</v>
      </c>
    </row>
    <row r="2026" ht="22.5" hidden="1" customHeight="1">
      <c r="A2026" s="2" t="s">
        <v>1557</v>
      </c>
      <c r="B2026" s="2" t="s">
        <v>1470</v>
      </c>
      <c r="C2026" s="2" t="s">
        <v>1471</v>
      </c>
      <c r="D2026" s="8" t="s">
        <v>46</v>
      </c>
      <c r="E2026" s="9" t="s">
        <v>340</v>
      </c>
      <c r="F2026" s="33">
        <v>1.0</v>
      </c>
      <c r="G2026" s="33">
        <v>990.0</v>
      </c>
      <c r="H2026" s="35">
        <v>46150.0</v>
      </c>
      <c r="I2026" s="2" t="s">
        <v>14</v>
      </c>
      <c r="J2026" s="12" t="s">
        <v>1558</v>
      </c>
    </row>
    <row r="2027" ht="22.5" hidden="1" customHeight="1">
      <c r="A2027" s="2" t="s">
        <v>121</v>
      </c>
      <c r="B2027" s="2" t="s">
        <v>1470</v>
      </c>
      <c r="C2027" s="2" t="s">
        <v>1471</v>
      </c>
      <c r="D2027" s="8" t="s">
        <v>46</v>
      </c>
      <c r="E2027" s="9" t="s">
        <v>340</v>
      </c>
      <c r="F2027" s="33">
        <v>1.0</v>
      </c>
      <c r="G2027" s="33">
        <v>990.0</v>
      </c>
      <c r="H2027" s="35">
        <v>46150.0</v>
      </c>
      <c r="I2027" s="2" t="s">
        <v>14</v>
      </c>
      <c r="J2027" s="12" t="s">
        <v>900</v>
      </c>
    </row>
    <row r="2028" ht="22.5" hidden="1" customHeight="1">
      <c r="A2028" s="2" t="s">
        <v>121</v>
      </c>
      <c r="B2028" s="2" t="s">
        <v>1470</v>
      </c>
      <c r="C2028" s="2" t="s">
        <v>1471</v>
      </c>
      <c r="D2028" s="8" t="s">
        <v>46</v>
      </c>
      <c r="E2028" s="9" t="s">
        <v>27</v>
      </c>
      <c r="F2028" s="33">
        <v>1.0</v>
      </c>
      <c r="G2028" s="33">
        <v>990.0</v>
      </c>
      <c r="H2028" s="35">
        <v>46150.0</v>
      </c>
      <c r="I2028" s="2" t="s">
        <v>14</v>
      </c>
      <c r="J2028" s="12" t="s">
        <v>900</v>
      </c>
    </row>
    <row r="2029" ht="22.5" hidden="1" customHeight="1">
      <c r="A2029" s="2" t="s">
        <v>121</v>
      </c>
      <c r="B2029" s="2" t="s">
        <v>1470</v>
      </c>
      <c r="C2029" s="2" t="s">
        <v>1471</v>
      </c>
      <c r="D2029" s="8" t="s">
        <v>46</v>
      </c>
      <c r="E2029" s="9" t="s">
        <v>338</v>
      </c>
      <c r="F2029" s="33">
        <v>1.0</v>
      </c>
      <c r="G2029" s="33">
        <v>990.0</v>
      </c>
      <c r="H2029" s="35">
        <v>46150.0</v>
      </c>
      <c r="I2029" s="2" t="s">
        <v>14</v>
      </c>
      <c r="J2029" s="12" t="s">
        <v>900</v>
      </c>
    </row>
    <row r="2030" ht="22.5" hidden="1" customHeight="1">
      <c r="A2030" s="2" t="s">
        <v>353</v>
      </c>
      <c r="B2030" s="2" t="s">
        <v>1470</v>
      </c>
      <c r="C2030" s="2" t="s">
        <v>1471</v>
      </c>
      <c r="D2030" s="8" t="s">
        <v>46</v>
      </c>
      <c r="E2030" s="9" t="s">
        <v>338</v>
      </c>
      <c r="F2030" s="33">
        <v>1.0</v>
      </c>
      <c r="G2030" s="33">
        <v>990.0</v>
      </c>
      <c r="H2030" s="35">
        <v>46150.0</v>
      </c>
      <c r="I2030" s="2" t="s">
        <v>14</v>
      </c>
      <c r="J2030" s="12" t="s">
        <v>1559</v>
      </c>
    </row>
    <row r="2031" ht="22.5" hidden="1" customHeight="1">
      <c r="A2031" s="2" t="s">
        <v>398</v>
      </c>
      <c r="B2031" s="2" t="s">
        <v>1470</v>
      </c>
      <c r="C2031" s="2" t="s">
        <v>1471</v>
      </c>
      <c r="D2031" s="8" t="s">
        <v>46</v>
      </c>
      <c r="E2031" s="9" t="s">
        <v>338</v>
      </c>
      <c r="F2031" s="33">
        <v>1.0</v>
      </c>
      <c r="G2031" s="33">
        <v>990.0</v>
      </c>
      <c r="H2031" s="35">
        <v>46150.0</v>
      </c>
      <c r="I2031" s="2" t="s">
        <v>14</v>
      </c>
      <c r="J2031" s="12" t="s">
        <v>797</v>
      </c>
    </row>
    <row r="2032" ht="22.5" hidden="1" customHeight="1">
      <c r="A2032" s="2" t="s">
        <v>1560</v>
      </c>
      <c r="B2032" s="2" t="s">
        <v>1470</v>
      </c>
      <c r="C2032" s="2" t="s">
        <v>1471</v>
      </c>
      <c r="D2032" s="8" t="s">
        <v>46</v>
      </c>
      <c r="E2032" s="9" t="s">
        <v>27</v>
      </c>
      <c r="F2032" s="33">
        <v>1.0</v>
      </c>
      <c r="G2032" s="33">
        <v>990.0</v>
      </c>
      <c r="H2032" s="35">
        <v>46150.0</v>
      </c>
      <c r="I2032" s="2" t="s">
        <v>14</v>
      </c>
      <c r="J2032" s="12" t="s">
        <v>1561</v>
      </c>
    </row>
    <row r="2033" ht="22.5" hidden="1" customHeight="1">
      <c r="A2033" s="2" t="s">
        <v>1560</v>
      </c>
      <c r="B2033" s="2" t="s">
        <v>1470</v>
      </c>
      <c r="C2033" s="2" t="s">
        <v>1471</v>
      </c>
      <c r="D2033" s="8" t="s">
        <v>46</v>
      </c>
      <c r="E2033" s="9" t="s">
        <v>338</v>
      </c>
      <c r="F2033" s="33">
        <v>1.0</v>
      </c>
      <c r="G2033" s="33">
        <v>990.0</v>
      </c>
      <c r="H2033" s="35">
        <v>46150.0</v>
      </c>
      <c r="I2033" s="2" t="s">
        <v>14</v>
      </c>
      <c r="J2033" s="12" t="s">
        <v>1561</v>
      </c>
    </row>
    <row r="2034" ht="22.5" hidden="1" customHeight="1">
      <c r="A2034" s="2" t="s">
        <v>1412</v>
      </c>
      <c r="B2034" s="2" t="s">
        <v>1470</v>
      </c>
      <c r="C2034" s="2" t="s">
        <v>1471</v>
      </c>
      <c r="D2034" s="8" t="s">
        <v>46</v>
      </c>
      <c r="E2034" s="9" t="s">
        <v>340</v>
      </c>
      <c r="F2034" s="33">
        <v>1.0</v>
      </c>
      <c r="G2034" s="33">
        <v>990.0</v>
      </c>
      <c r="H2034" s="35">
        <v>46150.0</v>
      </c>
      <c r="I2034" s="2" t="s">
        <v>14</v>
      </c>
      <c r="J2034" s="12" t="s">
        <v>1413</v>
      </c>
    </row>
    <row r="2035" ht="22.5" hidden="1" customHeight="1">
      <c r="A2035" s="2" t="s">
        <v>1562</v>
      </c>
      <c r="B2035" s="2" t="s">
        <v>1470</v>
      </c>
      <c r="C2035" s="2" t="s">
        <v>1471</v>
      </c>
      <c r="D2035" s="8" t="s">
        <v>46</v>
      </c>
      <c r="E2035" s="9" t="s">
        <v>26</v>
      </c>
      <c r="F2035" s="33">
        <v>1.0</v>
      </c>
      <c r="G2035" s="33">
        <v>990.0</v>
      </c>
      <c r="H2035" s="35">
        <v>46150.0</v>
      </c>
      <c r="I2035" s="2" t="s">
        <v>24</v>
      </c>
      <c r="J2035" s="12" t="s">
        <v>1563</v>
      </c>
    </row>
    <row r="2036" ht="22.5" hidden="1" customHeight="1">
      <c r="A2036" s="2" t="s">
        <v>1564</v>
      </c>
      <c r="B2036" s="2" t="s">
        <v>1470</v>
      </c>
      <c r="C2036" s="2" t="s">
        <v>1471</v>
      </c>
      <c r="D2036" s="8" t="s">
        <v>46</v>
      </c>
      <c r="E2036" s="9" t="s">
        <v>338</v>
      </c>
      <c r="F2036" s="33">
        <v>1.0</v>
      </c>
      <c r="G2036" s="33">
        <v>990.0</v>
      </c>
      <c r="H2036" s="35">
        <v>46150.0</v>
      </c>
      <c r="I2036" s="2" t="s">
        <v>14</v>
      </c>
      <c r="J2036" s="12" t="s">
        <v>1565</v>
      </c>
    </row>
    <row r="2037" ht="22.5" hidden="1" customHeight="1">
      <c r="A2037" s="2" t="s">
        <v>1032</v>
      </c>
      <c r="B2037" s="2" t="s">
        <v>1470</v>
      </c>
      <c r="C2037" s="2" t="s">
        <v>1471</v>
      </c>
      <c r="D2037" s="8" t="s">
        <v>46</v>
      </c>
      <c r="E2037" s="9" t="s">
        <v>26</v>
      </c>
      <c r="F2037" s="33">
        <v>1.0</v>
      </c>
      <c r="G2037" s="33">
        <v>990.0</v>
      </c>
      <c r="H2037" s="35">
        <v>46150.0</v>
      </c>
      <c r="I2037" s="2" t="s">
        <v>14</v>
      </c>
      <c r="J2037" s="12" t="s">
        <v>1033</v>
      </c>
    </row>
    <row r="2038" ht="22.5" hidden="1" customHeight="1">
      <c r="A2038" s="2" t="s">
        <v>248</v>
      </c>
      <c r="B2038" s="2" t="s">
        <v>1470</v>
      </c>
      <c r="C2038" s="2" t="s">
        <v>1471</v>
      </c>
      <c r="D2038" s="8" t="s">
        <v>46</v>
      </c>
      <c r="E2038" s="9" t="s">
        <v>26</v>
      </c>
      <c r="F2038" s="33">
        <v>1.0</v>
      </c>
      <c r="G2038" s="33">
        <v>990.0</v>
      </c>
      <c r="H2038" s="35">
        <v>46150.0</v>
      </c>
      <c r="I2038" s="2" t="s">
        <v>14</v>
      </c>
      <c r="J2038" s="12" t="s">
        <v>1566</v>
      </c>
    </row>
    <row r="2039" ht="22.5" hidden="1" customHeight="1">
      <c r="A2039" s="2" t="s">
        <v>404</v>
      </c>
      <c r="B2039" s="2" t="s">
        <v>1470</v>
      </c>
      <c r="C2039" s="2" t="s">
        <v>1471</v>
      </c>
      <c r="D2039" s="8" t="s">
        <v>46</v>
      </c>
      <c r="E2039" s="9" t="s">
        <v>26</v>
      </c>
      <c r="F2039" s="33">
        <v>1.0</v>
      </c>
      <c r="G2039" s="33">
        <v>990.0</v>
      </c>
      <c r="H2039" s="35">
        <v>46150.0</v>
      </c>
      <c r="I2039" s="2" t="s">
        <v>14</v>
      </c>
      <c r="J2039" s="12" t="s">
        <v>1567</v>
      </c>
    </row>
    <row r="2040" ht="22.5" hidden="1" customHeight="1">
      <c r="A2040" s="2" t="s">
        <v>51</v>
      </c>
      <c r="B2040" s="2" t="s">
        <v>1470</v>
      </c>
      <c r="C2040" s="2" t="s">
        <v>1471</v>
      </c>
      <c r="D2040" s="8" t="s">
        <v>46</v>
      </c>
      <c r="E2040" s="9" t="s">
        <v>338</v>
      </c>
      <c r="F2040" s="33">
        <v>1.0</v>
      </c>
      <c r="G2040" s="33">
        <v>990.0</v>
      </c>
      <c r="H2040" s="35">
        <v>46150.0</v>
      </c>
      <c r="I2040" s="2" t="s">
        <v>14</v>
      </c>
      <c r="J2040" s="12" t="s">
        <v>1568</v>
      </c>
    </row>
    <row r="2041" ht="22.5" hidden="1" customHeight="1">
      <c r="A2041" s="2" t="s">
        <v>313</v>
      </c>
      <c r="B2041" s="2" t="s">
        <v>1470</v>
      </c>
      <c r="C2041" s="2" t="s">
        <v>1471</v>
      </c>
      <c r="D2041" s="8" t="s">
        <v>46</v>
      </c>
      <c r="E2041" s="9" t="s">
        <v>338</v>
      </c>
      <c r="F2041" s="33">
        <v>1.0</v>
      </c>
      <c r="G2041" s="33">
        <v>990.0</v>
      </c>
      <c r="H2041" s="35">
        <v>46150.0</v>
      </c>
      <c r="I2041" s="2" t="s">
        <v>14</v>
      </c>
      <c r="J2041" s="12" t="s">
        <v>1216</v>
      </c>
    </row>
    <row r="2042" ht="22.5" hidden="1" customHeight="1">
      <c r="A2042" s="2" t="s">
        <v>288</v>
      </c>
      <c r="B2042" s="2" t="s">
        <v>1470</v>
      </c>
      <c r="C2042" s="2" t="s">
        <v>1471</v>
      </c>
      <c r="D2042" s="8" t="s">
        <v>46</v>
      </c>
      <c r="E2042" s="9" t="s">
        <v>338</v>
      </c>
      <c r="F2042" s="33">
        <v>1.0</v>
      </c>
      <c r="G2042" s="33">
        <v>990.0</v>
      </c>
      <c r="H2042" s="35">
        <v>46150.0</v>
      </c>
      <c r="I2042" s="2" t="s">
        <v>14</v>
      </c>
      <c r="J2042" s="12" t="s">
        <v>1197</v>
      </c>
    </row>
    <row r="2043" ht="22.5" hidden="1" customHeight="1">
      <c r="A2043" s="2" t="s">
        <v>1569</v>
      </c>
      <c r="B2043" s="2" t="s">
        <v>1470</v>
      </c>
      <c r="C2043" s="2" t="s">
        <v>1471</v>
      </c>
      <c r="D2043" s="8" t="s">
        <v>46</v>
      </c>
      <c r="E2043" s="9" t="s">
        <v>340</v>
      </c>
      <c r="F2043" s="33">
        <v>1.0</v>
      </c>
      <c r="G2043" s="33">
        <v>990.0</v>
      </c>
      <c r="H2043" s="35">
        <v>46150.0</v>
      </c>
      <c r="I2043" s="2" t="s">
        <v>14</v>
      </c>
      <c r="J2043" s="12" t="s">
        <v>1570</v>
      </c>
    </row>
    <row r="2044" ht="22.5" hidden="1" customHeight="1">
      <c r="A2044" s="2" t="s">
        <v>1571</v>
      </c>
      <c r="B2044" s="2" t="s">
        <v>1470</v>
      </c>
      <c r="C2044" s="2" t="s">
        <v>1471</v>
      </c>
      <c r="D2044" s="8" t="s">
        <v>46</v>
      </c>
      <c r="E2044" s="9" t="s">
        <v>198</v>
      </c>
      <c r="F2044" s="33">
        <v>1.0</v>
      </c>
      <c r="G2044" s="33">
        <v>990.0</v>
      </c>
      <c r="H2044" s="35">
        <v>46150.0</v>
      </c>
      <c r="I2044" s="2" t="s">
        <v>24</v>
      </c>
      <c r="J2044" s="12" t="s">
        <v>1572</v>
      </c>
    </row>
    <row r="2045" ht="22.5" hidden="1" customHeight="1">
      <c r="A2045" s="2" t="s">
        <v>1571</v>
      </c>
      <c r="B2045" s="2" t="s">
        <v>1470</v>
      </c>
      <c r="C2045" s="2" t="s">
        <v>1471</v>
      </c>
      <c r="D2045" s="8" t="s">
        <v>46</v>
      </c>
      <c r="E2045" s="9" t="s">
        <v>338</v>
      </c>
      <c r="F2045" s="33">
        <v>1.0</v>
      </c>
      <c r="G2045" s="33">
        <v>990.0</v>
      </c>
      <c r="H2045" s="35">
        <v>46150.0</v>
      </c>
      <c r="I2045" s="2" t="s">
        <v>24</v>
      </c>
      <c r="J2045" s="12" t="s">
        <v>1572</v>
      </c>
    </row>
    <row r="2046" ht="22.5" hidden="1" customHeight="1">
      <c r="A2046" s="2" t="s">
        <v>332</v>
      </c>
      <c r="B2046" s="2" t="s">
        <v>1470</v>
      </c>
      <c r="C2046" s="2" t="s">
        <v>1471</v>
      </c>
      <c r="D2046" s="8" t="s">
        <v>46</v>
      </c>
      <c r="E2046" s="9" t="s">
        <v>27</v>
      </c>
      <c r="F2046" s="33">
        <v>1.0</v>
      </c>
      <c r="G2046" s="33">
        <v>990.0</v>
      </c>
      <c r="H2046" s="35">
        <v>46150.0</v>
      </c>
      <c r="I2046" s="2" t="s">
        <v>14</v>
      </c>
      <c r="J2046" s="12" t="s">
        <v>500</v>
      </c>
    </row>
    <row r="2047" ht="22.5" hidden="1" customHeight="1">
      <c r="A2047" s="2" t="s">
        <v>1573</v>
      </c>
      <c r="B2047" s="2" t="s">
        <v>1470</v>
      </c>
      <c r="C2047" s="2" t="s">
        <v>1471</v>
      </c>
      <c r="D2047" s="8" t="s">
        <v>46</v>
      </c>
      <c r="E2047" s="9" t="s">
        <v>198</v>
      </c>
      <c r="F2047" s="33">
        <v>1.0</v>
      </c>
      <c r="G2047" s="33">
        <v>990.0</v>
      </c>
      <c r="H2047" s="35">
        <v>46150.0</v>
      </c>
      <c r="I2047" s="2" t="s">
        <v>14</v>
      </c>
      <c r="J2047" s="12" t="s">
        <v>1574</v>
      </c>
    </row>
    <row r="2048" ht="22.5" hidden="1" customHeight="1">
      <c r="A2048" s="2" t="s">
        <v>1403</v>
      </c>
      <c r="B2048" s="2" t="s">
        <v>1470</v>
      </c>
      <c r="C2048" s="2" t="s">
        <v>1471</v>
      </c>
      <c r="D2048" s="8" t="s">
        <v>46</v>
      </c>
      <c r="E2048" s="9" t="s">
        <v>338</v>
      </c>
      <c r="F2048" s="33">
        <v>1.0</v>
      </c>
      <c r="G2048" s="33">
        <v>990.0</v>
      </c>
      <c r="H2048" s="35">
        <v>46150.0</v>
      </c>
      <c r="I2048" s="2" t="s">
        <v>14</v>
      </c>
      <c r="J2048" s="12" t="s">
        <v>1404</v>
      </c>
    </row>
    <row r="2049" ht="22.5" hidden="1" customHeight="1">
      <c r="A2049" s="2" t="s">
        <v>1575</v>
      </c>
      <c r="B2049" s="2" t="s">
        <v>1470</v>
      </c>
      <c r="C2049" s="2" t="s">
        <v>1471</v>
      </c>
      <c r="D2049" s="8" t="s">
        <v>46</v>
      </c>
      <c r="E2049" s="9" t="s">
        <v>27</v>
      </c>
      <c r="F2049" s="33">
        <v>1.0</v>
      </c>
      <c r="G2049" s="33">
        <v>990.0</v>
      </c>
      <c r="H2049" s="35">
        <v>46150.0</v>
      </c>
      <c r="I2049" s="2" t="s">
        <v>14</v>
      </c>
      <c r="J2049" s="12" t="s">
        <v>1576</v>
      </c>
    </row>
    <row r="2050" ht="22.5" hidden="1" customHeight="1">
      <c r="A2050" s="2" t="s">
        <v>25</v>
      </c>
      <c r="B2050" s="2" t="s">
        <v>1470</v>
      </c>
      <c r="C2050" s="2" t="s">
        <v>1471</v>
      </c>
      <c r="D2050" s="8" t="s">
        <v>46</v>
      </c>
      <c r="E2050" s="9" t="s">
        <v>338</v>
      </c>
      <c r="F2050" s="33">
        <v>1.0</v>
      </c>
      <c r="G2050" s="33">
        <v>990.0</v>
      </c>
      <c r="H2050" s="35">
        <v>46150.0</v>
      </c>
      <c r="I2050" s="2" t="s">
        <v>14</v>
      </c>
      <c r="J2050" s="12" t="s">
        <v>1228</v>
      </c>
    </row>
    <row r="2051" ht="22.5" hidden="1" customHeight="1">
      <c r="A2051" s="2" t="s">
        <v>25</v>
      </c>
      <c r="B2051" s="2" t="s">
        <v>1470</v>
      </c>
      <c r="C2051" s="2" t="s">
        <v>1471</v>
      </c>
      <c r="D2051" s="8" t="s">
        <v>46</v>
      </c>
      <c r="E2051" s="9" t="s">
        <v>198</v>
      </c>
      <c r="F2051" s="33">
        <v>1.0</v>
      </c>
      <c r="G2051" s="33">
        <v>990.0</v>
      </c>
      <c r="H2051" s="35">
        <v>46150.0</v>
      </c>
      <c r="I2051" s="2" t="s">
        <v>14</v>
      </c>
      <c r="J2051" s="12" t="s">
        <v>1228</v>
      </c>
    </row>
    <row r="2052" ht="22.5" hidden="1" customHeight="1">
      <c r="A2052" s="2" t="s">
        <v>1022</v>
      </c>
      <c r="B2052" s="2" t="s">
        <v>1470</v>
      </c>
      <c r="C2052" s="2" t="s">
        <v>1471</v>
      </c>
      <c r="D2052" s="8" t="s">
        <v>46</v>
      </c>
      <c r="E2052" s="9" t="s">
        <v>338</v>
      </c>
      <c r="F2052" s="33">
        <v>1.0</v>
      </c>
      <c r="G2052" s="33">
        <v>990.0</v>
      </c>
      <c r="H2052" s="35">
        <v>46150.0</v>
      </c>
      <c r="I2052" s="2" t="s">
        <v>473</v>
      </c>
      <c r="J2052" s="12" t="s">
        <v>1023</v>
      </c>
    </row>
    <row r="2053" ht="22.5" hidden="1" customHeight="1">
      <c r="A2053" s="2" t="s">
        <v>400</v>
      </c>
      <c r="B2053" s="2" t="s">
        <v>1470</v>
      </c>
      <c r="C2053" s="2" t="s">
        <v>1471</v>
      </c>
      <c r="D2053" s="8" t="s">
        <v>46</v>
      </c>
      <c r="E2053" s="9" t="s">
        <v>27</v>
      </c>
      <c r="F2053" s="33">
        <v>1.0</v>
      </c>
      <c r="G2053" s="33">
        <v>990.0</v>
      </c>
      <c r="H2053" s="35">
        <v>46150.0</v>
      </c>
      <c r="I2053" s="2" t="s">
        <v>473</v>
      </c>
      <c r="J2053" s="12" t="s">
        <v>1577</v>
      </c>
    </row>
    <row r="2054" ht="22.5" hidden="1" customHeight="1">
      <c r="A2054" s="2" t="s">
        <v>1578</v>
      </c>
      <c r="B2054" s="2" t="s">
        <v>1470</v>
      </c>
      <c r="C2054" s="2" t="s">
        <v>1471</v>
      </c>
      <c r="D2054" s="8" t="s">
        <v>46</v>
      </c>
      <c r="E2054" s="9" t="s">
        <v>340</v>
      </c>
      <c r="F2054" s="33">
        <v>1.0</v>
      </c>
      <c r="G2054" s="33">
        <v>990.0</v>
      </c>
      <c r="H2054" s="35">
        <v>46150.0</v>
      </c>
      <c r="I2054" s="2" t="s">
        <v>14</v>
      </c>
      <c r="J2054" s="12" t="s">
        <v>1579</v>
      </c>
    </row>
    <row r="2055" ht="22.5" hidden="1" customHeight="1">
      <c r="A2055" s="2" t="s">
        <v>1580</v>
      </c>
      <c r="B2055" s="2" t="s">
        <v>1470</v>
      </c>
      <c r="C2055" s="2" t="s">
        <v>1471</v>
      </c>
      <c r="D2055" s="8" t="s">
        <v>46</v>
      </c>
      <c r="E2055" s="9" t="s">
        <v>338</v>
      </c>
      <c r="F2055" s="33">
        <v>1.0</v>
      </c>
      <c r="G2055" s="33">
        <v>990.0</v>
      </c>
      <c r="H2055" s="35">
        <v>46150.0</v>
      </c>
      <c r="I2055" s="2" t="s">
        <v>14</v>
      </c>
      <c r="J2055" s="12" t="s">
        <v>1581</v>
      </c>
    </row>
    <row r="2056" ht="22.5" hidden="1" customHeight="1">
      <c r="A2056" s="2" t="s">
        <v>1582</v>
      </c>
      <c r="B2056" s="2" t="s">
        <v>1470</v>
      </c>
      <c r="C2056" s="2" t="s">
        <v>1471</v>
      </c>
      <c r="D2056" s="8" t="s">
        <v>46</v>
      </c>
      <c r="E2056" s="9" t="s">
        <v>340</v>
      </c>
      <c r="F2056" s="33">
        <v>1.0</v>
      </c>
      <c r="G2056" s="33">
        <v>990.0</v>
      </c>
      <c r="H2056" s="35">
        <v>46150.0</v>
      </c>
      <c r="I2056" s="2" t="s">
        <v>14</v>
      </c>
      <c r="J2056" s="12" t="s">
        <v>1583</v>
      </c>
    </row>
    <row r="2057" ht="22.5" hidden="1" customHeight="1">
      <c r="A2057" s="2" t="s">
        <v>71</v>
      </c>
      <c r="B2057" s="2" t="s">
        <v>1470</v>
      </c>
      <c r="C2057" s="2" t="s">
        <v>1471</v>
      </c>
      <c r="D2057" s="8" t="s">
        <v>46</v>
      </c>
      <c r="E2057" s="9" t="s">
        <v>26</v>
      </c>
      <c r="F2057" s="33">
        <v>1.0</v>
      </c>
      <c r="G2057" s="33">
        <v>990.0</v>
      </c>
      <c r="H2057" s="35">
        <v>46150.0</v>
      </c>
      <c r="I2057" s="2" t="s">
        <v>14</v>
      </c>
      <c r="J2057" s="12" t="s">
        <v>955</v>
      </c>
    </row>
    <row r="2058" ht="22.5" hidden="1" customHeight="1">
      <c r="A2058" s="2" t="s">
        <v>1584</v>
      </c>
      <c r="B2058" s="2" t="s">
        <v>1470</v>
      </c>
      <c r="C2058" s="2" t="s">
        <v>1471</v>
      </c>
      <c r="D2058" s="8" t="s">
        <v>46</v>
      </c>
      <c r="E2058" s="9" t="s">
        <v>338</v>
      </c>
      <c r="F2058" s="33">
        <v>1.0</v>
      </c>
      <c r="G2058" s="33">
        <v>990.0</v>
      </c>
      <c r="H2058" s="35">
        <v>46150.0</v>
      </c>
      <c r="I2058" s="2" t="s">
        <v>473</v>
      </c>
      <c r="J2058" s="12" t="s">
        <v>1585</v>
      </c>
    </row>
    <row r="2059" ht="22.5" hidden="1" customHeight="1">
      <c r="A2059" s="2" t="s">
        <v>309</v>
      </c>
      <c r="B2059" s="2" t="s">
        <v>1470</v>
      </c>
      <c r="C2059" s="2" t="s">
        <v>1471</v>
      </c>
      <c r="D2059" s="8" t="s">
        <v>46</v>
      </c>
      <c r="E2059" s="9" t="s">
        <v>340</v>
      </c>
      <c r="F2059" s="33">
        <v>1.0</v>
      </c>
      <c r="G2059" s="33">
        <v>990.0</v>
      </c>
      <c r="H2059" s="35">
        <v>46150.0</v>
      </c>
      <c r="I2059" s="2" t="s">
        <v>14</v>
      </c>
      <c r="J2059" s="2"/>
    </row>
    <row r="2060" ht="22.5" hidden="1" customHeight="1">
      <c r="A2060" s="2" t="s">
        <v>1345</v>
      </c>
      <c r="B2060" s="2" t="s">
        <v>1470</v>
      </c>
      <c r="C2060" s="2" t="s">
        <v>1471</v>
      </c>
      <c r="D2060" s="8" t="s">
        <v>46</v>
      </c>
      <c r="E2060" s="9" t="s">
        <v>198</v>
      </c>
      <c r="F2060" s="33">
        <v>1.0</v>
      </c>
      <c r="G2060" s="33">
        <v>990.0</v>
      </c>
      <c r="H2060" s="35">
        <v>46150.0</v>
      </c>
      <c r="I2060" s="2" t="s">
        <v>14</v>
      </c>
      <c r="J2060" s="2"/>
    </row>
    <row r="2061" ht="22.5" hidden="1" customHeight="1">
      <c r="A2061" s="2" t="s">
        <v>310</v>
      </c>
      <c r="B2061" s="2" t="s">
        <v>1470</v>
      </c>
      <c r="C2061" s="2" t="s">
        <v>1471</v>
      </c>
      <c r="D2061" s="8" t="s">
        <v>46</v>
      </c>
      <c r="E2061" s="9" t="s">
        <v>198</v>
      </c>
      <c r="F2061" s="33">
        <v>1.0</v>
      </c>
      <c r="G2061" s="33">
        <v>990.0</v>
      </c>
      <c r="H2061" s="35">
        <v>46150.0</v>
      </c>
      <c r="I2061" s="2" t="s">
        <v>14</v>
      </c>
      <c r="J2061" s="12" t="s">
        <v>1586</v>
      </c>
    </row>
    <row r="2062" ht="22.5" hidden="1" customHeight="1">
      <c r="A2062" s="2" t="s">
        <v>369</v>
      </c>
      <c r="B2062" s="2" t="s">
        <v>1470</v>
      </c>
      <c r="C2062" s="2" t="s">
        <v>1471</v>
      </c>
      <c r="D2062" s="8" t="s">
        <v>46</v>
      </c>
      <c r="E2062" s="9" t="s">
        <v>338</v>
      </c>
      <c r="F2062" s="33">
        <v>1.0</v>
      </c>
      <c r="G2062" s="33">
        <v>990.0</v>
      </c>
      <c r="H2062" s="35">
        <v>46150.0</v>
      </c>
      <c r="I2062" s="2" t="s">
        <v>14</v>
      </c>
      <c r="J2062" s="12" t="s">
        <v>1030</v>
      </c>
    </row>
    <row r="2063" ht="22.5" hidden="1" customHeight="1">
      <c r="A2063" s="2" t="s">
        <v>1587</v>
      </c>
      <c r="B2063" s="2" t="s">
        <v>1470</v>
      </c>
      <c r="C2063" s="2" t="s">
        <v>1471</v>
      </c>
      <c r="D2063" s="8" t="s">
        <v>46</v>
      </c>
      <c r="E2063" s="9" t="s">
        <v>198</v>
      </c>
      <c r="F2063" s="33">
        <v>1.0</v>
      </c>
      <c r="G2063" s="33">
        <v>990.0</v>
      </c>
      <c r="H2063" s="35">
        <v>46150.0</v>
      </c>
      <c r="I2063" s="2" t="s">
        <v>24</v>
      </c>
      <c r="J2063" s="12" t="s">
        <v>1588</v>
      </c>
    </row>
    <row r="2064" ht="22.5" hidden="1" customHeight="1">
      <c r="A2064" s="2" t="s">
        <v>1459</v>
      </c>
      <c r="B2064" s="2" t="s">
        <v>1470</v>
      </c>
      <c r="C2064" s="2" t="s">
        <v>1471</v>
      </c>
      <c r="D2064" s="8" t="s">
        <v>46</v>
      </c>
      <c r="E2064" s="9" t="s">
        <v>338</v>
      </c>
      <c r="F2064" s="33">
        <v>1.0</v>
      </c>
      <c r="G2064" s="33">
        <v>990.0</v>
      </c>
      <c r="H2064" s="35">
        <v>46150.0</v>
      </c>
      <c r="I2064" s="2" t="s">
        <v>14</v>
      </c>
      <c r="J2064" s="12" t="s">
        <v>1460</v>
      </c>
    </row>
    <row r="2065" ht="22.5" hidden="1" customHeight="1">
      <c r="A2065" s="2" t="s">
        <v>1589</v>
      </c>
      <c r="B2065" s="2" t="s">
        <v>1470</v>
      </c>
      <c r="C2065" s="2" t="s">
        <v>1471</v>
      </c>
      <c r="D2065" s="8" t="s">
        <v>46</v>
      </c>
      <c r="E2065" s="9" t="s">
        <v>338</v>
      </c>
      <c r="F2065" s="33">
        <v>1.0</v>
      </c>
      <c r="G2065" s="33">
        <v>990.0</v>
      </c>
      <c r="H2065" s="35">
        <v>46150.0</v>
      </c>
      <c r="I2065" s="2" t="s">
        <v>24</v>
      </c>
      <c r="J2065" s="12" t="s">
        <v>1590</v>
      </c>
    </row>
    <row r="2066" ht="22.5" hidden="1" customHeight="1">
      <c r="A2066" s="2" t="s">
        <v>1521</v>
      </c>
      <c r="B2066" s="2" t="s">
        <v>762</v>
      </c>
      <c r="C2066" s="2" t="s">
        <v>763</v>
      </c>
      <c r="D2066" s="8" t="s">
        <v>46</v>
      </c>
      <c r="E2066" s="9" t="s">
        <v>1591</v>
      </c>
      <c r="F2066" s="33">
        <v>1.0</v>
      </c>
      <c r="G2066" s="33">
        <v>1.0</v>
      </c>
      <c r="H2066" s="35">
        <v>46151.0</v>
      </c>
      <c r="I2066" s="2" t="s">
        <v>1183</v>
      </c>
      <c r="J2066" s="2"/>
    </row>
    <row r="2067" ht="22.5" hidden="1" customHeight="1">
      <c r="A2067" s="2" t="s">
        <v>341</v>
      </c>
      <c r="B2067" s="2" t="s">
        <v>1254</v>
      </c>
      <c r="C2067" s="2" t="s">
        <v>1255</v>
      </c>
      <c r="D2067" s="8" t="s">
        <v>22</v>
      </c>
      <c r="E2067" s="9" t="s">
        <v>1260</v>
      </c>
      <c r="F2067" s="33">
        <v>1.0</v>
      </c>
      <c r="G2067" s="33">
        <v>1200.0</v>
      </c>
      <c r="H2067" s="35">
        <v>46151.0</v>
      </c>
      <c r="I2067" s="2" t="s">
        <v>14</v>
      </c>
      <c r="J2067" s="12" t="s">
        <v>1592</v>
      </c>
    </row>
    <row r="2068" ht="22.5" hidden="1" customHeight="1">
      <c r="A2068" s="2" t="s">
        <v>1593</v>
      </c>
      <c r="B2068" s="2" t="s">
        <v>1254</v>
      </c>
      <c r="C2068" s="2" t="s">
        <v>1594</v>
      </c>
      <c r="D2068" s="8" t="s">
        <v>75</v>
      </c>
      <c r="E2068" s="9" t="s">
        <v>1260</v>
      </c>
      <c r="F2068" s="33">
        <v>1.0</v>
      </c>
      <c r="G2068" s="33">
        <v>1200.0</v>
      </c>
      <c r="H2068" s="35">
        <v>46151.0</v>
      </c>
      <c r="I2068" s="2" t="s">
        <v>14</v>
      </c>
      <c r="J2068" s="12" t="s">
        <v>1595</v>
      </c>
    </row>
    <row r="2069" ht="22.5" hidden="1" customHeight="1">
      <c r="A2069" s="2" t="s">
        <v>1596</v>
      </c>
      <c r="B2069" s="2" t="s">
        <v>1254</v>
      </c>
      <c r="C2069" s="2" t="s">
        <v>1255</v>
      </c>
      <c r="D2069" s="8" t="s">
        <v>75</v>
      </c>
      <c r="E2069" s="9" t="s">
        <v>1256</v>
      </c>
      <c r="F2069" s="33">
        <v>1.0</v>
      </c>
      <c r="G2069" s="33">
        <v>1200.0</v>
      </c>
      <c r="H2069" s="35">
        <v>46152.0</v>
      </c>
      <c r="I2069" s="2" t="s">
        <v>14</v>
      </c>
      <c r="J2069" s="12" t="s">
        <v>1597</v>
      </c>
    </row>
    <row r="2070" ht="22.5" hidden="1" customHeight="1">
      <c r="A2070" s="2" t="s">
        <v>1596</v>
      </c>
      <c r="B2070" s="2" t="s">
        <v>1254</v>
      </c>
      <c r="C2070" s="2" t="s">
        <v>1255</v>
      </c>
      <c r="D2070" s="8" t="s">
        <v>75</v>
      </c>
      <c r="E2070" s="9" t="s">
        <v>1260</v>
      </c>
      <c r="F2070" s="33">
        <v>1.0</v>
      </c>
      <c r="G2070" s="33">
        <v>1200.0</v>
      </c>
      <c r="H2070" s="35">
        <v>46152.0</v>
      </c>
      <c r="I2070" s="2" t="s">
        <v>14</v>
      </c>
      <c r="J2070" s="12" t="s">
        <v>1597</v>
      </c>
    </row>
    <row r="2071" ht="22.5" hidden="1" customHeight="1">
      <c r="A2071" s="2" t="s">
        <v>401</v>
      </c>
      <c r="B2071" s="2" t="s">
        <v>1254</v>
      </c>
      <c r="C2071" s="2" t="s">
        <v>1255</v>
      </c>
      <c r="D2071" s="8" t="s">
        <v>22</v>
      </c>
      <c r="E2071" s="9" t="s">
        <v>1260</v>
      </c>
      <c r="F2071" s="33">
        <v>1.0</v>
      </c>
      <c r="G2071" s="33">
        <v>1200.0</v>
      </c>
      <c r="H2071" s="35">
        <v>46152.0</v>
      </c>
      <c r="I2071" s="2" t="s">
        <v>14</v>
      </c>
      <c r="J2071" s="12" t="s">
        <v>1598</v>
      </c>
    </row>
    <row r="2072" ht="22.5" hidden="1" customHeight="1">
      <c r="A2072" s="2" t="s">
        <v>401</v>
      </c>
      <c r="B2072" s="2" t="s">
        <v>1254</v>
      </c>
      <c r="C2072" s="2" t="s">
        <v>1255</v>
      </c>
      <c r="D2072" s="8" t="s">
        <v>22</v>
      </c>
      <c r="E2072" s="9" t="s">
        <v>1258</v>
      </c>
      <c r="F2072" s="33">
        <v>1.0</v>
      </c>
      <c r="G2072" s="33">
        <v>1200.0</v>
      </c>
      <c r="H2072" s="35">
        <v>46152.0</v>
      </c>
      <c r="I2072" s="2" t="s">
        <v>14</v>
      </c>
      <c r="J2072" s="12" t="s">
        <v>1598</v>
      </c>
    </row>
    <row r="2073" ht="22.5" hidden="1" customHeight="1">
      <c r="A2073" s="2" t="s">
        <v>1599</v>
      </c>
      <c r="B2073" s="2" t="s">
        <v>1254</v>
      </c>
      <c r="C2073" s="2" t="s">
        <v>1255</v>
      </c>
      <c r="D2073" s="8" t="s">
        <v>75</v>
      </c>
      <c r="E2073" s="9" t="s">
        <v>1256</v>
      </c>
      <c r="F2073" s="33">
        <v>1.0</v>
      </c>
      <c r="G2073" s="33">
        <v>1200.0</v>
      </c>
      <c r="H2073" s="35">
        <v>46152.0</v>
      </c>
      <c r="I2073" s="2" t="s">
        <v>14</v>
      </c>
      <c r="J2073" s="12" t="s">
        <v>1600</v>
      </c>
    </row>
    <row r="2074" ht="22.5" hidden="1" customHeight="1">
      <c r="A2074" s="2" t="s">
        <v>1599</v>
      </c>
      <c r="B2074" s="2" t="s">
        <v>1254</v>
      </c>
      <c r="C2074" s="2" t="s">
        <v>1255</v>
      </c>
      <c r="D2074" s="8" t="s">
        <v>75</v>
      </c>
      <c r="E2074" s="9" t="s">
        <v>1258</v>
      </c>
      <c r="F2074" s="33">
        <v>1.0</v>
      </c>
      <c r="G2074" s="33">
        <v>1200.0</v>
      </c>
      <c r="H2074" s="35">
        <v>46152.0</v>
      </c>
      <c r="I2074" s="2" t="s">
        <v>14</v>
      </c>
      <c r="J2074" s="12" t="s">
        <v>1600</v>
      </c>
    </row>
    <row r="2075" ht="22.5" hidden="1" customHeight="1">
      <c r="A2075" s="2" t="s">
        <v>1138</v>
      </c>
      <c r="B2075" s="2" t="s">
        <v>1254</v>
      </c>
      <c r="C2075" s="2" t="s">
        <v>1255</v>
      </c>
      <c r="D2075" s="8" t="s">
        <v>22</v>
      </c>
      <c r="E2075" s="9" t="s">
        <v>1256</v>
      </c>
      <c r="F2075" s="33">
        <v>1.0</v>
      </c>
      <c r="G2075" s="33">
        <v>1200.0</v>
      </c>
      <c r="H2075" s="35">
        <v>46152.0</v>
      </c>
      <c r="I2075" s="2" t="s">
        <v>14</v>
      </c>
      <c r="J2075" s="12" t="s">
        <v>1139</v>
      </c>
    </row>
    <row r="2076" ht="22.5" hidden="1" customHeight="1">
      <c r="A2076" s="2" t="s">
        <v>348</v>
      </c>
      <c r="B2076" s="2" t="s">
        <v>1601</v>
      </c>
      <c r="C2076" s="2" t="s">
        <v>1602</v>
      </c>
      <c r="D2076" s="8">
        <v>35.0</v>
      </c>
      <c r="E2076" s="9" t="s">
        <v>13</v>
      </c>
      <c r="F2076" s="33">
        <v>1.0</v>
      </c>
      <c r="G2076" s="33">
        <v>1790.0</v>
      </c>
      <c r="H2076" s="35">
        <v>46152.0</v>
      </c>
      <c r="I2076" s="2" t="s">
        <v>14</v>
      </c>
      <c r="J2076" s="12" t="s">
        <v>1354</v>
      </c>
    </row>
    <row r="2077" ht="22.5" hidden="1" customHeight="1">
      <c r="A2077" s="2" t="s">
        <v>1603</v>
      </c>
      <c r="B2077" s="2" t="s">
        <v>1601</v>
      </c>
      <c r="C2077" s="2" t="s">
        <v>1602</v>
      </c>
      <c r="D2077" s="8">
        <v>37.0</v>
      </c>
      <c r="E2077" s="9" t="s">
        <v>18</v>
      </c>
      <c r="F2077" s="33">
        <v>1.0</v>
      </c>
      <c r="G2077" s="33">
        <v>1790.0</v>
      </c>
      <c r="H2077" s="35">
        <v>46152.0</v>
      </c>
      <c r="I2077" s="2" t="s">
        <v>14</v>
      </c>
      <c r="J2077" s="12" t="s">
        <v>1604</v>
      </c>
    </row>
    <row r="2078" ht="22.5" hidden="1" customHeight="1">
      <c r="A2078" s="2" t="s">
        <v>1065</v>
      </c>
      <c r="B2078" s="2" t="s">
        <v>1601</v>
      </c>
      <c r="C2078" s="2" t="s">
        <v>1602</v>
      </c>
      <c r="D2078" s="8">
        <v>37.0</v>
      </c>
      <c r="E2078" s="9" t="s">
        <v>13</v>
      </c>
      <c r="F2078" s="33">
        <v>1.0</v>
      </c>
      <c r="G2078" s="33">
        <v>1790.0</v>
      </c>
      <c r="H2078" s="35">
        <v>46152.0</v>
      </c>
      <c r="I2078" s="2" t="s">
        <v>14</v>
      </c>
      <c r="J2078" s="12" t="s">
        <v>1066</v>
      </c>
    </row>
    <row r="2079" ht="22.5" hidden="1" customHeight="1">
      <c r="A2079" s="2" t="s">
        <v>1605</v>
      </c>
      <c r="B2079" s="2" t="s">
        <v>1601</v>
      </c>
      <c r="C2079" s="2" t="s">
        <v>1602</v>
      </c>
      <c r="D2079" s="8">
        <v>35.0</v>
      </c>
      <c r="E2079" s="9" t="s">
        <v>18</v>
      </c>
      <c r="F2079" s="33">
        <v>1.0</v>
      </c>
      <c r="G2079" s="33">
        <v>1790.0</v>
      </c>
      <c r="H2079" s="35">
        <v>46152.0</v>
      </c>
      <c r="I2079" s="2" t="s">
        <v>14</v>
      </c>
      <c r="J2079" s="12" t="s">
        <v>1606</v>
      </c>
    </row>
    <row r="2080" ht="22.5" hidden="1" customHeight="1">
      <c r="A2080" s="2" t="s">
        <v>1477</v>
      </c>
      <c r="B2080" s="2" t="s">
        <v>1601</v>
      </c>
      <c r="C2080" s="2" t="s">
        <v>1602</v>
      </c>
      <c r="D2080" s="8">
        <v>36.0</v>
      </c>
      <c r="E2080" s="9" t="s">
        <v>13</v>
      </c>
      <c r="F2080" s="33">
        <v>1.0</v>
      </c>
      <c r="G2080" s="33">
        <v>1790.0</v>
      </c>
      <c r="H2080" s="35">
        <v>46152.0</v>
      </c>
      <c r="I2080" s="2" t="s">
        <v>14</v>
      </c>
      <c r="J2080" s="12" t="s">
        <v>1478</v>
      </c>
    </row>
    <row r="2081" ht="22.5" hidden="1" customHeight="1">
      <c r="A2081" s="2" t="s">
        <v>1607</v>
      </c>
      <c r="B2081" s="2" t="s">
        <v>1601</v>
      </c>
      <c r="C2081" s="2" t="s">
        <v>1602</v>
      </c>
      <c r="D2081" s="8">
        <v>36.0</v>
      </c>
      <c r="E2081" s="9" t="s">
        <v>23</v>
      </c>
      <c r="F2081" s="33">
        <v>1.0</v>
      </c>
      <c r="G2081" s="33">
        <v>1790.0</v>
      </c>
      <c r="H2081" s="35">
        <v>46152.0</v>
      </c>
      <c r="I2081" s="2" t="s">
        <v>14</v>
      </c>
      <c r="J2081" s="12" t="s">
        <v>1608</v>
      </c>
    </row>
    <row r="2082" ht="22.5" hidden="1" customHeight="1">
      <c r="A2082" s="2" t="s">
        <v>736</v>
      </c>
      <c r="B2082" s="2" t="s">
        <v>1609</v>
      </c>
      <c r="C2082" s="2">
        <v>8684.0</v>
      </c>
      <c r="D2082" s="8" t="s">
        <v>12</v>
      </c>
      <c r="E2082" s="9" t="s">
        <v>13</v>
      </c>
      <c r="F2082" s="33">
        <v>1.0</v>
      </c>
      <c r="G2082" s="33">
        <v>1950.0</v>
      </c>
      <c r="H2082" s="35">
        <v>46152.0</v>
      </c>
      <c r="I2082" s="2" t="s">
        <v>14</v>
      </c>
      <c r="J2082" s="12" t="s">
        <v>737</v>
      </c>
    </row>
    <row r="2083" ht="22.5" hidden="1" customHeight="1">
      <c r="A2083" s="2" t="s">
        <v>1610</v>
      </c>
      <c r="B2083" s="2" t="s">
        <v>1609</v>
      </c>
      <c r="C2083" s="2">
        <v>8684.0</v>
      </c>
      <c r="D2083" s="8" t="s">
        <v>22</v>
      </c>
      <c r="E2083" s="9" t="s">
        <v>13</v>
      </c>
      <c r="F2083" s="33">
        <v>1.0</v>
      </c>
      <c r="G2083" s="33">
        <v>1950.0</v>
      </c>
      <c r="H2083" s="35">
        <v>46152.0</v>
      </c>
      <c r="I2083" s="2" t="s">
        <v>14</v>
      </c>
      <c r="J2083" s="12" t="s">
        <v>1611</v>
      </c>
    </row>
    <row r="2084" ht="22.5" hidden="1" customHeight="1">
      <c r="A2084" s="2" t="s">
        <v>403</v>
      </c>
      <c r="B2084" s="2" t="s">
        <v>1612</v>
      </c>
      <c r="C2084" s="2">
        <v>8657.0</v>
      </c>
      <c r="D2084" s="8" t="s">
        <v>22</v>
      </c>
      <c r="E2084" s="9" t="s">
        <v>18</v>
      </c>
      <c r="F2084" s="33">
        <v>1.0</v>
      </c>
      <c r="G2084" s="33">
        <v>2100.0</v>
      </c>
      <c r="H2084" s="35">
        <v>46152.0</v>
      </c>
      <c r="I2084" s="2" t="s">
        <v>1183</v>
      </c>
      <c r="J2084" s="12" t="s">
        <v>1613</v>
      </c>
    </row>
    <row r="2085" ht="22.5" hidden="1" customHeight="1">
      <c r="A2085" s="2" t="s">
        <v>1116</v>
      </c>
      <c r="B2085" s="2" t="s">
        <v>1612</v>
      </c>
      <c r="C2085" s="2">
        <v>8657.0</v>
      </c>
      <c r="D2085" s="8" t="s">
        <v>12</v>
      </c>
      <c r="E2085" s="9" t="s">
        <v>18</v>
      </c>
      <c r="F2085" s="33">
        <v>1.0</v>
      </c>
      <c r="G2085" s="33">
        <v>2100.0</v>
      </c>
      <c r="H2085" s="35">
        <v>46152.0</v>
      </c>
      <c r="I2085" s="2" t="s">
        <v>1183</v>
      </c>
      <c r="J2085" s="12" t="s">
        <v>1117</v>
      </c>
    </row>
    <row r="2086" ht="22.5" hidden="1" customHeight="1">
      <c r="A2086" s="2" t="s">
        <v>68</v>
      </c>
      <c r="B2086" s="2" t="s">
        <v>912</v>
      </c>
      <c r="C2086" s="2" t="s">
        <v>913</v>
      </c>
      <c r="D2086" s="8" t="s">
        <v>22</v>
      </c>
      <c r="E2086" s="9" t="s">
        <v>23</v>
      </c>
      <c r="F2086" s="33">
        <v>1.0</v>
      </c>
      <c r="G2086" s="33">
        <v>1650.0</v>
      </c>
      <c r="H2086" s="35">
        <v>46153.0</v>
      </c>
      <c r="I2086" s="2" t="s">
        <v>1183</v>
      </c>
      <c r="J2086" s="12" t="s">
        <v>1614</v>
      </c>
    </row>
    <row r="2087" ht="22.5" hidden="1" customHeight="1">
      <c r="A2087" s="2" t="s">
        <v>1615</v>
      </c>
      <c r="B2087" s="2" t="s">
        <v>365</v>
      </c>
      <c r="C2087" s="2">
        <v>9094.0</v>
      </c>
      <c r="D2087" s="8" t="s">
        <v>22</v>
      </c>
      <c r="E2087" s="9" t="s">
        <v>58</v>
      </c>
      <c r="F2087" s="33">
        <v>1.0</v>
      </c>
      <c r="G2087" s="33">
        <v>2400.0</v>
      </c>
      <c r="H2087" s="35">
        <v>46153.0</v>
      </c>
      <c r="I2087" s="2" t="s">
        <v>24</v>
      </c>
      <c r="J2087" s="12" t="s">
        <v>1616</v>
      </c>
    </row>
    <row r="2088" ht="22.5" hidden="1" customHeight="1">
      <c r="A2088" s="2" t="s">
        <v>1615</v>
      </c>
      <c r="B2088" s="2" t="s">
        <v>365</v>
      </c>
      <c r="C2088" s="2">
        <v>9094.0</v>
      </c>
      <c r="D2088" s="8" t="s">
        <v>22</v>
      </c>
      <c r="E2088" s="9" t="s">
        <v>16</v>
      </c>
      <c r="F2088" s="33">
        <v>1.0</v>
      </c>
      <c r="G2088" s="33">
        <v>2400.0</v>
      </c>
      <c r="H2088" s="35">
        <v>46153.0</v>
      </c>
      <c r="I2088" s="2" t="s">
        <v>24</v>
      </c>
      <c r="J2088" s="12" t="s">
        <v>1616</v>
      </c>
    </row>
    <row r="2089" ht="22.5" hidden="1" customHeight="1">
      <c r="A2089" s="2" t="s">
        <v>1615</v>
      </c>
      <c r="B2089" s="2" t="s">
        <v>961</v>
      </c>
      <c r="C2089" s="2">
        <v>6612.0</v>
      </c>
      <c r="D2089" s="8" t="s">
        <v>46</v>
      </c>
      <c r="E2089" s="9">
        <v>2.0</v>
      </c>
      <c r="F2089" s="33">
        <v>1.0</v>
      </c>
      <c r="G2089" s="33">
        <v>850.0</v>
      </c>
      <c r="H2089" s="35">
        <v>46153.0</v>
      </c>
      <c r="I2089" s="2" t="s">
        <v>24</v>
      </c>
      <c r="J2089" s="12" t="s">
        <v>1616</v>
      </c>
    </row>
    <row r="2090" ht="22.5" hidden="1" customHeight="1">
      <c r="A2090" s="2" t="s">
        <v>1615</v>
      </c>
      <c r="B2090" s="2" t="s">
        <v>961</v>
      </c>
      <c r="C2090" s="2">
        <v>6612.0</v>
      </c>
      <c r="D2090" s="8" t="s">
        <v>46</v>
      </c>
      <c r="E2090" s="9">
        <v>4.0</v>
      </c>
      <c r="F2090" s="33">
        <v>1.0</v>
      </c>
      <c r="G2090" s="33">
        <v>850.0</v>
      </c>
      <c r="H2090" s="35">
        <v>46153.0</v>
      </c>
      <c r="I2090" s="2" t="s">
        <v>24</v>
      </c>
      <c r="J2090" s="12" t="s">
        <v>1616</v>
      </c>
    </row>
    <row r="2091" ht="22.5" hidden="1" customHeight="1">
      <c r="A2091" s="2" t="s">
        <v>1615</v>
      </c>
      <c r="B2091" s="2" t="s">
        <v>961</v>
      </c>
      <c r="C2091" s="2">
        <v>6612.0</v>
      </c>
      <c r="D2091" s="8" t="s">
        <v>46</v>
      </c>
      <c r="E2091" s="9">
        <v>5.0</v>
      </c>
      <c r="F2091" s="33">
        <v>1.0</v>
      </c>
      <c r="G2091" s="33">
        <v>850.0</v>
      </c>
      <c r="H2091" s="35">
        <v>46153.0</v>
      </c>
      <c r="I2091" s="2" t="s">
        <v>24</v>
      </c>
      <c r="J2091" s="12" t="s">
        <v>1616</v>
      </c>
    </row>
    <row r="2092" ht="22.5" hidden="1" customHeight="1">
      <c r="A2092" s="2" t="s">
        <v>1615</v>
      </c>
      <c r="B2092" s="2" t="s">
        <v>961</v>
      </c>
      <c r="C2092" s="2">
        <v>6612.0</v>
      </c>
      <c r="D2092" s="8" t="s">
        <v>46</v>
      </c>
      <c r="E2092" s="9">
        <v>9.0</v>
      </c>
      <c r="F2092" s="33">
        <v>1.0</v>
      </c>
      <c r="G2092" s="33">
        <v>850.0</v>
      </c>
      <c r="H2092" s="35">
        <v>46153.0</v>
      </c>
      <c r="I2092" s="2" t="s">
        <v>24</v>
      </c>
      <c r="J2092" s="12" t="s">
        <v>1616</v>
      </c>
    </row>
    <row r="2093" ht="22.5" hidden="1" customHeight="1">
      <c r="A2093" s="2" t="s">
        <v>1615</v>
      </c>
      <c r="B2093" s="2" t="s">
        <v>1055</v>
      </c>
      <c r="C2093" s="2">
        <v>9425.0</v>
      </c>
      <c r="D2093" s="8" t="s">
        <v>22</v>
      </c>
      <c r="E2093" s="9" t="s">
        <v>58</v>
      </c>
      <c r="F2093" s="33">
        <v>1.0</v>
      </c>
      <c r="G2093" s="33">
        <v>2700.0</v>
      </c>
      <c r="H2093" s="35">
        <v>46153.0</v>
      </c>
      <c r="I2093" s="2" t="s">
        <v>24</v>
      </c>
      <c r="J2093" s="12" t="s">
        <v>1616</v>
      </c>
    </row>
    <row r="2094" ht="22.5" hidden="1" customHeight="1">
      <c r="A2094" s="2" t="s">
        <v>69</v>
      </c>
      <c r="B2094" s="2" t="s">
        <v>1199</v>
      </c>
      <c r="C2094" s="2" t="s">
        <v>1200</v>
      </c>
      <c r="D2094" s="8" t="s">
        <v>75</v>
      </c>
      <c r="E2094" s="9" t="s">
        <v>47</v>
      </c>
      <c r="F2094" s="33">
        <v>1.0</v>
      </c>
      <c r="G2094" s="33">
        <v>725.0</v>
      </c>
      <c r="H2094" s="35">
        <v>46153.0</v>
      </c>
      <c r="I2094" s="2" t="s">
        <v>14</v>
      </c>
      <c r="J2094" s="12" t="s">
        <v>1617</v>
      </c>
    </row>
    <row r="2095" ht="22.5" hidden="1" customHeight="1">
      <c r="A2095" s="2" t="s">
        <v>69</v>
      </c>
      <c r="B2095" s="2" t="s">
        <v>1201</v>
      </c>
      <c r="C2095" s="2" t="s">
        <v>1202</v>
      </c>
      <c r="D2095" s="8" t="s">
        <v>75</v>
      </c>
      <c r="E2095" s="9" t="s">
        <v>47</v>
      </c>
      <c r="F2095" s="33">
        <v>1.0</v>
      </c>
      <c r="G2095" s="33">
        <v>725.0</v>
      </c>
      <c r="H2095" s="35">
        <v>46153.0</v>
      </c>
      <c r="I2095" s="2" t="s">
        <v>14</v>
      </c>
      <c r="J2095" s="12" t="s">
        <v>1617</v>
      </c>
    </row>
    <row r="2096" ht="22.5" hidden="1" customHeight="1">
      <c r="A2096" s="2" t="s">
        <v>1618</v>
      </c>
      <c r="B2096" s="2" t="s">
        <v>1619</v>
      </c>
      <c r="C2096" s="2" t="s">
        <v>1620</v>
      </c>
      <c r="D2096" s="8" t="s">
        <v>12</v>
      </c>
      <c r="E2096" s="9" t="s">
        <v>23</v>
      </c>
      <c r="F2096" s="33">
        <v>1.0</v>
      </c>
      <c r="G2096" s="33">
        <v>1659.0</v>
      </c>
      <c r="H2096" s="35">
        <v>46153.0</v>
      </c>
      <c r="I2096" s="2" t="s">
        <v>14</v>
      </c>
      <c r="J2096" s="12" t="s">
        <v>1621</v>
      </c>
    </row>
    <row r="2097" ht="22.5" hidden="1" customHeight="1">
      <c r="A2097" s="2" t="s">
        <v>1386</v>
      </c>
      <c r="B2097" s="2" t="s">
        <v>1622</v>
      </c>
      <c r="C2097" s="2" t="s">
        <v>1623</v>
      </c>
      <c r="D2097" s="8" t="s">
        <v>22</v>
      </c>
      <c r="E2097" s="9" t="s">
        <v>18</v>
      </c>
      <c r="F2097" s="33">
        <v>1.0</v>
      </c>
      <c r="G2097" s="33">
        <v>1200.0</v>
      </c>
      <c r="H2097" s="35">
        <v>46153.0</v>
      </c>
      <c r="I2097" s="2" t="s">
        <v>473</v>
      </c>
      <c r="J2097" s="12" t="s">
        <v>1387</v>
      </c>
    </row>
    <row r="2098" ht="22.5" hidden="1" customHeight="1">
      <c r="A2098" s="2" t="s">
        <v>1386</v>
      </c>
      <c r="B2098" s="2" t="s">
        <v>1622</v>
      </c>
      <c r="C2098" s="2" t="s">
        <v>1623</v>
      </c>
      <c r="D2098" s="8" t="s">
        <v>22</v>
      </c>
      <c r="E2098" s="9" t="s">
        <v>58</v>
      </c>
      <c r="F2098" s="33">
        <v>1.0</v>
      </c>
      <c r="G2098" s="33">
        <v>1200.0</v>
      </c>
      <c r="H2098" s="35">
        <v>46153.0</v>
      </c>
      <c r="I2098" s="2" t="s">
        <v>473</v>
      </c>
      <c r="J2098" s="12" t="s">
        <v>1387</v>
      </c>
    </row>
    <row r="2099" ht="22.5" hidden="1" customHeight="1">
      <c r="A2099" s="2" t="s">
        <v>1624</v>
      </c>
      <c r="B2099" s="2" t="s">
        <v>1619</v>
      </c>
      <c r="C2099" s="2" t="s">
        <v>1620</v>
      </c>
      <c r="D2099" s="8" t="s">
        <v>22</v>
      </c>
      <c r="E2099" s="9" t="s">
        <v>47</v>
      </c>
      <c r="F2099" s="33">
        <v>1.0</v>
      </c>
      <c r="G2099" s="33">
        <v>1650.0</v>
      </c>
      <c r="H2099" s="35">
        <v>46153.0</v>
      </c>
      <c r="I2099" s="2" t="s">
        <v>14</v>
      </c>
      <c r="J2099" s="12" t="s">
        <v>1625</v>
      </c>
    </row>
    <row r="2100" ht="22.5" hidden="1" customHeight="1">
      <c r="A2100" s="2" t="s">
        <v>1624</v>
      </c>
      <c r="B2100" s="2" t="s">
        <v>1626</v>
      </c>
      <c r="C2100" s="2" t="s">
        <v>1627</v>
      </c>
      <c r="D2100" s="8" t="s">
        <v>75</v>
      </c>
      <c r="E2100" s="9">
        <v>1.0</v>
      </c>
      <c r="F2100" s="33">
        <v>1.0</v>
      </c>
      <c r="G2100" s="33">
        <v>1100.0</v>
      </c>
      <c r="H2100" s="35">
        <v>46153.0</v>
      </c>
      <c r="I2100" s="2" t="s">
        <v>14</v>
      </c>
      <c r="J2100" s="12" t="s">
        <v>1625</v>
      </c>
    </row>
    <row r="2101" ht="22.5" hidden="1" customHeight="1">
      <c r="A2101" s="2" t="s">
        <v>1624</v>
      </c>
      <c r="B2101" s="2" t="s">
        <v>1626</v>
      </c>
      <c r="C2101" s="2" t="s">
        <v>1627</v>
      </c>
      <c r="D2101" s="8" t="s">
        <v>75</v>
      </c>
      <c r="E2101" s="9">
        <v>6.0</v>
      </c>
      <c r="F2101" s="33">
        <v>1.0</v>
      </c>
      <c r="G2101" s="33">
        <v>1100.0</v>
      </c>
      <c r="H2101" s="35">
        <v>46153.0</v>
      </c>
      <c r="I2101" s="2" t="s">
        <v>14</v>
      </c>
      <c r="J2101" s="12" t="s">
        <v>1625</v>
      </c>
    </row>
    <row r="2102" ht="22.5" hidden="1" customHeight="1">
      <c r="A2102" s="2" t="s">
        <v>1628</v>
      </c>
      <c r="B2102" s="2" t="s">
        <v>1212</v>
      </c>
      <c r="C2102" s="2">
        <v>92212.0</v>
      </c>
      <c r="D2102" s="8" t="s">
        <v>46</v>
      </c>
      <c r="E2102" s="9" t="s">
        <v>23</v>
      </c>
      <c r="F2102" s="33">
        <v>1.0</v>
      </c>
      <c r="G2102" s="33">
        <v>1700.0</v>
      </c>
      <c r="H2102" s="35">
        <v>46153.0</v>
      </c>
      <c r="I2102" s="2" t="s">
        <v>14</v>
      </c>
      <c r="J2102" s="12" t="s">
        <v>1629</v>
      </c>
    </row>
    <row r="2103" ht="22.5" hidden="1" customHeight="1">
      <c r="A2103" s="2" t="s">
        <v>244</v>
      </c>
      <c r="B2103" s="2" t="s">
        <v>1619</v>
      </c>
      <c r="C2103" s="2" t="s">
        <v>1620</v>
      </c>
      <c r="D2103" s="8" t="s">
        <v>22</v>
      </c>
      <c r="E2103" s="9" t="s">
        <v>47</v>
      </c>
      <c r="F2103" s="33">
        <v>1.0</v>
      </c>
      <c r="G2103" s="33">
        <v>1650.0</v>
      </c>
      <c r="H2103" s="35">
        <v>46153.0</v>
      </c>
      <c r="I2103" s="2" t="s">
        <v>14</v>
      </c>
      <c r="J2103" s="12" t="s">
        <v>1262</v>
      </c>
    </row>
    <row r="2104" ht="22.5" hidden="1" customHeight="1">
      <c r="A2104" s="2" t="s">
        <v>1630</v>
      </c>
      <c r="B2104" s="2" t="s">
        <v>1626</v>
      </c>
      <c r="C2104" s="2" t="s">
        <v>1627</v>
      </c>
      <c r="D2104" s="8" t="s">
        <v>1037</v>
      </c>
      <c r="E2104" s="9">
        <v>3.0</v>
      </c>
      <c r="F2104" s="33">
        <v>1.0</v>
      </c>
      <c r="G2104" s="33">
        <v>1100.0</v>
      </c>
      <c r="H2104" s="35">
        <v>46153.0</v>
      </c>
      <c r="I2104" s="2" t="s">
        <v>14</v>
      </c>
      <c r="J2104" s="12" t="s">
        <v>1631</v>
      </c>
    </row>
    <row r="2105" ht="22.5" hidden="1" customHeight="1">
      <c r="A2105" s="2" t="s">
        <v>1630</v>
      </c>
      <c r="B2105" s="2" t="s">
        <v>1626</v>
      </c>
      <c r="C2105" s="2" t="s">
        <v>1627</v>
      </c>
      <c r="D2105" s="8" t="s">
        <v>1037</v>
      </c>
      <c r="E2105" s="9">
        <v>2.0</v>
      </c>
      <c r="F2105" s="33">
        <v>1.0</v>
      </c>
      <c r="G2105" s="33">
        <v>1100.0</v>
      </c>
      <c r="H2105" s="35">
        <v>46153.0</v>
      </c>
      <c r="I2105" s="2" t="s">
        <v>14</v>
      </c>
      <c r="J2105" s="12" t="s">
        <v>1631</v>
      </c>
    </row>
    <row r="2106" ht="22.5" hidden="1" customHeight="1">
      <c r="A2106" s="2" t="s">
        <v>1630</v>
      </c>
      <c r="B2106" s="2" t="s">
        <v>1619</v>
      </c>
      <c r="C2106" s="2" t="s">
        <v>1620</v>
      </c>
      <c r="D2106" s="8" t="s">
        <v>1037</v>
      </c>
      <c r="E2106" s="9" t="s">
        <v>23</v>
      </c>
      <c r="F2106" s="33">
        <v>1.0</v>
      </c>
      <c r="G2106" s="33">
        <v>1650.0</v>
      </c>
      <c r="H2106" s="35">
        <v>46153.0</v>
      </c>
      <c r="I2106" s="2" t="s">
        <v>14</v>
      </c>
      <c r="J2106" s="12" t="s">
        <v>1631</v>
      </c>
    </row>
    <row r="2107" ht="22.5" hidden="1" customHeight="1">
      <c r="A2107" s="2" t="s">
        <v>1632</v>
      </c>
      <c r="B2107" s="2" t="s">
        <v>1626</v>
      </c>
      <c r="C2107" s="2" t="s">
        <v>1627</v>
      </c>
      <c r="D2107" s="8" t="s">
        <v>75</v>
      </c>
      <c r="E2107" s="9">
        <v>3.0</v>
      </c>
      <c r="F2107" s="33">
        <v>1.0</v>
      </c>
      <c r="G2107" s="33">
        <v>1100.0</v>
      </c>
      <c r="H2107" s="35">
        <v>46153.0</v>
      </c>
      <c r="I2107" s="2" t="s">
        <v>14</v>
      </c>
      <c r="J2107" s="12" t="s">
        <v>1633</v>
      </c>
    </row>
    <row r="2108" ht="22.5" hidden="1" customHeight="1">
      <c r="A2108" s="2" t="s">
        <v>1632</v>
      </c>
      <c r="B2108" s="2" t="s">
        <v>1626</v>
      </c>
      <c r="C2108" s="2" t="s">
        <v>1627</v>
      </c>
      <c r="D2108" s="8" t="s">
        <v>75</v>
      </c>
      <c r="E2108" s="9">
        <v>4.0</v>
      </c>
      <c r="F2108" s="33">
        <v>1.0</v>
      </c>
      <c r="G2108" s="33">
        <v>1100.0</v>
      </c>
      <c r="H2108" s="35">
        <v>46153.0</v>
      </c>
      <c r="I2108" s="2" t="s">
        <v>14</v>
      </c>
      <c r="J2108" s="12" t="s">
        <v>1633</v>
      </c>
    </row>
    <row r="2109" ht="22.5" hidden="1" customHeight="1">
      <c r="A2109" s="2" t="s">
        <v>1632</v>
      </c>
      <c r="B2109" s="2" t="s">
        <v>762</v>
      </c>
      <c r="C2109" s="2" t="s">
        <v>763</v>
      </c>
      <c r="D2109" s="8" t="s">
        <v>46</v>
      </c>
      <c r="E2109" s="9" t="s">
        <v>1634</v>
      </c>
      <c r="F2109" s="33">
        <v>1.0</v>
      </c>
      <c r="G2109" s="33">
        <v>1990.0</v>
      </c>
      <c r="H2109" s="35">
        <v>46153.0</v>
      </c>
      <c r="I2109" s="2" t="s">
        <v>14</v>
      </c>
      <c r="J2109" s="12" t="s">
        <v>1633</v>
      </c>
    </row>
    <row r="2110" ht="22.5" hidden="1" customHeight="1">
      <c r="A2110" s="2" t="s">
        <v>619</v>
      </c>
      <c r="B2110" s="2" t="s">
        <v>1212</v>
      </c>
      <c r="C2110" s="2">
        <v>92212.0</v>
      </c>
      <c r="D2110" s="8" t="s">
        <v>46</v>
      </c>
      <c r="E2110" s="9" t="s">
        <v>23</v>
      </c>
      <c r="F2110" s="33">
        <v>1.0</v>
      </c>
      <c r="G2110" s="33">
        <v>1700.0</v>
      </c>
      <c r="H2110" s="35">
        <v>46153.0</v>
      </c>
      <c r="I2110" s="2" t="s">
        <v>14</v>
      </c>
      <c r="J2110" s="12" t="s">
        <v>1635</v>
      </c>
    </row>
    <row r="2111" ht="22.5" hidden="1" customHeight="1">
      <c r="A2111" s="2" t="s">
        <v>177</v>
      </c>
      <c r="B2111" s="2" t="s">
        <v>1636</v>
      </c>
      <c r="C2111" s="2" t="s">
        <v>1637</v>
      </c>
      <c r="D2111" s="8" t="s">
        <v>46</v>
      </c>
      <c r="E2111" s="9" t="s">
        <v>26</v>
      </c>
      <c r="F2111" s="33">
        <v>1.0</v>
      </c>
      <c r="G2111" s="33">
        <v>1700.0</v>
      </c>
      <c r="H2111" s="35">
        <v>46153.0</v>
      </c>
      <c r="I2111" s="2" t="s">
        <v>14</v>
      </c>
      <c r="J2111" s="12" t="s">
        <v>1433</v>
      </c>
    </row>
    <row r="2112" ht="22.5" hidden="1" customHeight="1">
      <c r="A2112" s="2" t="s">
        <v>830</v>
      </c>
      <c r="B2112" s="2" t="s">
        <v>961</v>
      </c>
      <c r="C2112" s="2">
        <v>6612.0</v>
      </c>
      <c r="D2112" s="8" t="s">
        <v>46</v>
      </c>
      <c r="E2112" s="9">
        <v>2.0</v>
      </c>
      <c r="F2112" s="33">
        <v>1.0</v>
      </c>
      <c r="G2112" s="33">
        <v>850.0</v>
      </c>
      <c r="H2112" s="35">
        <v>46153.0</v>
      </c>
      <c r="I2112" s="2" t="s">
        <v>14</v>
      </c>
      <c r="J2112" s="12" t="s">
        <v>1638</v>
      </c>
    </row>
    <row r="2113" ht="22.5" hidden="1" customHeight="1">
      <c r="A2113" s="2" t="s">
        <v>830</v>
      </c>
      <c r="B2113" s="2" t="s">
        <v>961</v>
      </c>
      <c r="C2113" s="2">
        <v>6612.0</v>
      </c>
      <c r="D2113" s="8" t="s">
        <v>46</v>
      </c>
      <c r="E2113" s="9">
        <v>5.0</v>
      </c>
      <c r="F2113" s="33">
        <v>1.0</v>
      </c>
      <c r="G2113" s="33">
        <v>850.0</v>
      </c>
      <c r="H2113" s="35">
        <v>46153.0</v>
      </c>
      <c r="I2113" s="2" t="s">
        <v>14</v>
      </c>
      <c r="J2113" s="12" t="s">
        <v>1638</v>
      </c>
    </row>
    <row r="2114" ht="22.5" hidden="1" customHeight="1">
      <c r="A2114" s="2" t="s">
        <v>830</v>
      </c>
      <c r="B2114" s="2" t="s">
        <v>961</v>
      </c>
      <c r="C2114" s="2">
        <v>6612.0</v>
      </c>
      <c r="D2114" s="8" t="s">
        <v>46</v>
      </c>
      <c r="E2114" s="9">
        <v>3.0</v>
      </c>
      <c r="F2114" s="33">
        <v>2.0</v>
      </c>
      <c r="G2114" s="33">
        <v>850.0</v>
      </c>
      <c r="H2114" s="35">
        <v>46153.0</v>
      </c>
      <c r="I2114" s="2" t="s">
        <v>14</v>
      </c>
      <c r="J2114" s="12" t="s">
        <v>1638</v>
      </c>
    </row>
    <row r="2115" ht="22.5" hidden="1" customHeight="1">
      <c r="A2115" s="2" t="s">
        <v>1639</v>
      </c>
      <c r="B2115" s="2" t="s">
        <v>1212</v>
      </c>
      <c r="C2115" s="2">
        <v>92212.0</v>
      </c>
      <c r="D2115" s="8" t="s">
        <v>22</v>
      </c>
      <c r="E2115" s="9" t="s">
        <v>18</v>
      </c>
      <c r="F2115" s="33">
        <v>1.0</v>
      </c>
      <c r="G2115" s="33">
        <v>1700.0</v>
      </c>
      <c r="H2115" s="35">
        <v>46153.0</v>
      </c>
      <c r="I2115" s="2" t="s">
        <v>473</v>
      </c>
      <c r="J2115" s="12" t="s">
        <v>1640</v>
      </c>
    </row>
    <row r="2116" ht="22.5" hidden="1" customHeight="1">
      <c r="A2116" s="2" t="s">
        <v>1639</v>
      </c>
      <c r="B2116" s="2" t="s">
        <v>1199</v>
      </c>
      <c r="C2116" s="2" t="s">
        <v>1200</v>
      </c>
      <c r="D2116" s="8" t="s">
        <v>75</v>
      </c>
      <c r="E2116" s="9" t="s">
        <v>47</v>
      </c>
      <c r="F2116" s="33">
        <v>1.0</v>
      </c>
      <c r="G2116" s="33">
        <v>725.0</v>
      </c>
      <c r="H2116" s="35">
        <v>46153.0</v>
      </c>
      <c r="I2116" s="2" t="s">
        <v>473</v>
      </c>
      <c r="J2116" s="12" t="s">
        <v>1640</v>
      </c>
    </row>
    <row r="2117" ht="22.5" hidden="1" customHeight="1">
      <c r="A2117" s="2" t="s">
        <v>1639</v>
      </c>
      <c r="B2117" s="2" t="s">
        <v>1203</v>
      </c>
      <c r="C2117" s="2" t="s">
        <v>1204</v>
      </c>
      <c r="D2117" s="8" t="s">
        <v>75</v>
      </c>
      <c r="E2117" s="9" t="s">
        <v>18</v>
      </c>
      <c r="F2117" s="33">
        <v>1.0</v>
      </c>
      <c r="G2117" s="33">
        <v>725.0</v>
      </c>
      <c r="H2117" s="35">
        <v>46153.0</v>
      </c>
      <c r="I2117" s="2" t="s">
        <v>473</v>
      </c>
      <c r="J2117" s="12" t="s">
        <v>1640</v>
      </c>
    </row>
    <row r="2118" ht="22.5" hidden="1" customHeight="1">
      <c r="A2118" s="2" t="s">
        <v>1641</v>
      </c>
      <c r="B2118" s="2" t="s">
        <v>1619</v>
      </c>
      <c r="C2118" s="2" t="s">
        <v>1620</v>
      </c>
      <c r="D2118" s="8" t="s">
        <v>75</v>
      </c>
      <c r="E2118" s="9" t="s">
        <v>198</v>
      </c>
      <c r="F2118" s="33">
        <v>1.0</v>
      </c>
      <c r="G2118" s="33">
        <v>1650.0</v>
      </c>
      <c r="H2118" s="35">
        <v>46153.0</v>
      </c>
      <c r="I2118" s="2" t="s">
        <v>14</v>
      </c>
      <c r="J2118" s="12" t="s">
        <v>1642</v>
      </c>
    </row>
    <row r="2119" ht="22.5" hidden="1" customHeight="1">
      <c r="A2119" s="2" t="s">
        <v>68</v>
      </c>
      <c r="B2119" s="2" t="s">
        <v>912</v>
      </c>
      <c r="C2119" s="2" t="s">
        <v>913</v>
      </c>
      <c r="D2119" s="8" t="s">
        <v>22</v>
      </c>
      <c r="E2119" s="9" t="s">
        <v>16</v>
      </c>
      <c r="F2119" s="33">
        <v>1.0</v>
      </c>
      <c r="G2119" s="33">
        <v>1650.0</v>
      </c>
      <c r="H2119" s="35">
        <v>46153.0</v>
      </c>
      <c r="I2119" s="2" t="s">
        <v>1183</v>
      </c>
      <c r="J2119" s="12" t="s">
        <v>1614</v>
      </c>
    </row>
    <row r="2120" ht="22.5" hidden="1" customHeight="1">
      <c r="A2120" s="2" t="s">
        <v>1643</v>
      </c>
      <c r="B2120" s="2" t="s">
        <v>1619</v>
      </c>
      <c r="C2120" s="2" t="s">
        <v>1620</v>
      </c>
      <c r="D2120" s="8" t="s">
        <v>22</v>
      </c>
      <c r="E2120" s="9" t="s">
        <v>16</v>
      </c>
      <c r="F2120" s="33">
        <v>1.0</v>
      </c>
      <c r="G2120" s="33">
        <v>1650.0</v>
      </c>
      <c r="H2120" s="35">
        <v>46153.0</v>
      </c>
      <c r="I2120" s="2" t="s">
        <v>473</v>
      </c>
      <c r="J2120" s="12" t="s">
        <v>1644</v>
      </c>
    </row>
    <row r="2121" ht="22.5" hidden="1" customHeight="1">
      <c r="A2121" s="2" t="s">
        <v>1643</v>
      </c>
      <c r="B2121" s="2" t="s">
        <v>1470</v>
      </c>
      <c r="C2121" s="2" t="s">
        <v>1471</v>
      </c>
      <c r="D2121" s="8" t="s">
        <v>46</v>
      </c>
      <c r="E2121" s="9" t="s">
        <v>340</v>
      </c>
      <c r="F2121" s="33">
        <v>1.0</v>
      </c>
      <c r="G2121" s="33">
        <v>990.0</v>
      </c>
      <c r="H2121" s="35">
        <v>46153.0</v>
      </c>
      <c r="I2121" s="2" t="s">
        <v>1645</v>
      </c>
      <c r="J2121" s="12" t="s">
        <v>1644</v>
      </c>
    </row>
    <row r="2122" ht="22.5" hidden="1" customHeight="1">
      <c r="A2122" s="2" t="s">
        <v>189</v>
      </c>
      <c r="B2122" s="2" t="s">
        <v>1232</v>
      </c>
      <c r="C2122" s="2" t="s">
        <v>1233</v>
      </c>
      <c r="D2122" s="8" t="s">
        <v>46</v>
      </c>
      <c r="E2122" s="9" t="s">
        <v>13</v>
      </c>
      <c r="F2122" s="33">
        <v>1.0</v>
      </c>
      <c r="G2122" s="33">
        <v>1550.0</v>
      </c>
      <c r="H2122" s="35">
        <v>46155.0</v>
      </c>
      <c r="I2122" s="2" t="s">
        <v>14</v>
      </c>
      <c r="J2122" s="12" t="s">
        <v>1646</v>
      </c>
    </row>
    <row r="2123" ht="22.5" hidden="1" customHeight="1">
      <c r="A2123" s="2" t="s">
        <v>1309</v>
      </c>
      <c r="B2123" s="2" t="s">
        <v>1232</v>
      </c>
      <c r="C2123" s="2" t="s">
        <v>1233</v>
      </c>
      <c r="D2123" s="8" t="s">
        <v>46</v>
      </c>
      <c r="E2123" s="9" t="s">
        <v>13</v>
      </c>
      <c r="F2123" s="33">
        <v>1.0</v>
      </c>
      <c r="G2123" s="33">
        <v>1550.0</v>
      </c>
      <c r="H2123" s="35">
        <v>46155.0</v>
      </c>
      <c r="I2123" s="2" t="s">
        <v>14</v>
      </c>
      <c r="J2123" s="12" t="s">
        <v>1310</v>
      </c>
    </row>
    <row r="2124" ht="22.5" hidden="1" customHeight="1">
      <c r="A2124" s="2" t="s">
        <v>1647</v>
      </c>
      <c r="B2124" s="2" t="s">
        <v>1254</v>
      </c>
      <c r="C2124" s="2" t="s">
        <v>1255</v>
      </c>
      <c r="D2124" s="8" t="s">
        <v>75</v>
      </c>
      <c r="E2124" s="9" t="s">
        <v>1256</v>
      </c>
      <c r="F2124" s="33">
        <v>1.0</v>
      </c>
      <c r="G2124" s="33">
        <v>1200.0</v>
      </c>
      <c r="H2124" s="35">
        <v>46155.0</v>
      </c>
      <c r="I2124" s="2" t="s">
        <v>14</v>
      </c>
      <c r="J2124" s="12" t="s">
        <v>1648</v>
      </c>
    </row>
    <row r="2125" ht="22.5" hidden="1" customHeight="1">
      <c r="A2125" s="2" t="s">
        <v>1647</v>
      </c>
      <c r="B2125" s="2" t="s">
        <v>1254</v>
      </c>
      <c r="C2125" s="2" t="s">
        <v>1255</v>
      </c>
      <c r="D2125" s="8" t="s">
        <v>75</v>
      </c>
      <c r="E2125" s="9" t="s">
        <v>1258</v>
      </c>
      <c r="F2125" s="33">
        <v>1.0</v>
      </c>
      <c r="G2125" s="33">
        <v>1200.0</v>
      </c>
      <c r="H2125" s="35">
        <v>46155.0</v>
      </c>
      <c r="I2125" s="2" t="s">
        <v>14</v>
      </c>
      <c r="J2125" s="12" t="s">
        <v>1648</v>
      </c>
    </row>
    <row r="2126" ht="22.5" hidden="1" customHeight="1">
      <c r="A2126" s="2" t="s">
        <v>1649</v>
      </c>
      <c r="B2126" s="2" t="s">
        <v>1254</v>
      </c>
      <c r="C2126" s="2" t="s">
        <v>1255</v>
      </c>
      <c r="D2126" s="8" t="s">
        <v>22</v>
      </c>
      <c r="E2126" s="9" t="s">
        <v>13</v>
      </c>
      <c r="F2126" s="33">
        <v>1.0</v>
      </c>
      <c r="G2126" s="33">
        <v>1200.0</v>
      </c>
      <c r="H2126" s="35">
        <v>46155.0</v>
      </c>
      <c r="I2126" s="2" t="s">
        <v>24</v>
      </c>
      <c r="J2126" s="12" t="s">
        <v>1650</v>
      </c>
    </row>
    <row r="2127" ht="22.5" hidden="1" customHeight="1">
      <c r="A2127" s="2" t="s">
        <v>1649</v>
      </c>
      <c r="B2127" s="2" t="s">
        <v>1254</v>
      </c>
      <c r="C2127" s="2" t="s">
        <v>1255</v>
      </c>
      <c r="D2127" s="8" t="s">
        <v>22</v>
      </c>
      <c r="E2127" s="9" t="s">
        <v>1260</v>
      </c>
      <c r="F2127" s="33">
        <v>1.0</v>
      </c>
      <c r="G2127" s="33">
        <v>1200.0</v>
      </c>
      <c r="H2127" s="35">
        <v>46155.0</v>
      </c>
      <c r="I2127" s="2" t="s">
        <v>14</v>
      </c>
      <c r="J2127" s="12" t="s">
        <v>1650</v>
      </c>
    </row>
    <row r="2128" ht="22.5" hidden="1" customHeight="1">
      <c r="A2128" s="2" t="s">
        <v>1649</v>
      </c>
      <c r="B2128" s="2" t="s">
        <v>1254</v>
      </c>
      <c r="C2128" s="2" t="s">
        <v>1255</v>
      </c>
      <c r="D2128" s="8" t="s">
        <v>22</v>
      </c>
      <c r="E2128" s="9" t="s">
        <v>1258</v>
      </c>
      <c r="F2128" s="33">
        <v>1.0</v>
      </c>
      <c r="G2128" s="33">
        <v>1200.0</v>
      </c>
      <c r="H2128" s="35">
        <v>46155.0</v>
      </c>
      <c r="I2128" s="2" t="s">
        <v>14</v>
      </c>
      <c r="J2128" s="12" t="s">
        <v>1650</v>
      </c>
    </row>
    <row r="2129" ht="22.5" hidden="1" customHeight="1">
      <c r="A2129" s="2" t="s">
        <v>1651</v>
      </c>
      <c r="B2129" s="2" t="s">
        <v>961</v>
      </c>
      <c r="C2129" s="2">
        <v>6612.0</v>
      </c>
      <c r="D2129" s="8" t="s">
        <v>46</v>
      </c>
      <c r="E2129" s="9">
        <v>1.0</v>
      </c>
      <c r="F2129" s="33">
        <v>1.0</v>
      </c>
      <c r="G2129" s="33">
        <v>850.0</v>
      </c>
      <c r="H2129" s="35">
        <v>46155.0</v>
      </c>
      <c r="I2129" s="2" t="s">
        <v>473</v>
      </c>
      <c r="J2129" s="12" t="s">
        <v>1652</v>
      </c>
    </row>
    <row r="2130" ht="22.5" hidden="1" customHeight="1">
      <c r="A2130" s="2" t="s">
        <v>1651</v>
      </c>
      <c r="B2130" s="2" t="s">
        <v>961</v>
      </c>
      <c r="C2130" s="2">
        <v>6612.0</v>
      </c>
      <c r="D2130" s="8" t="s">
        <v>46</v>
      </c>
      <c r="E2130" s="9">
        <v>2.0</v>
      </c>
      <c r="F2130" s="33">
        <v>1.0</v>
      </c>
      <c r="G2130" s="33">
        <v>850.0</v>
      </c>
      <c r="H2130" s="35">
        <v>46155.0</v>
      </c>
      <c r="I2130" s="2" t="s">
        <v>473</v>
      </c>
      <c r="J2130" s="12" t="s">
        <v>1652</v>
      </c>
    </row>
    <row r="2131" ht="22.5" hidden="1" customHeight="1">
      <c r="A2131" s="2" t="s">
        <v>1651</v>
      </c>
      <c r="B2131" s="2" t="s">
        <v>961</v>
      </c>
      <c r="C2131" s="2">
        <v>6612.0</v>
      </c>
      <c r="D2131" s="8" t="s">
        <v>46</v>
      </c>
      <c r="E2131" s="9">
        <v>4.0</v>
      </c>
      <c r="F2131" s="33">
        <v>1.0</v>
      </c>
      <c r="G2131" s="33">
        <v>850.0</v>
      </c>
      <c r="H2131" s="35">
        <v>46155.0</v>
      </c>
      <c r="I2131" s="2" t="s">
        <v>473</v>
      </c>
      <c r="J2131" s="12" t="s">
        <v>1652</v>
      </c>
    </row>
    <row r="2132" ht="22.5" hidden="1" customHeight="1">
      <c r="A2132" s="2" t="s">
        <v>1651</v>
      </c>
      <c r="B2132" s="2" t="s">
        <v>1653</v>
      </c>
      <c r="C2132" s="2">
        <v>1653.0</v>
      </c>
      <c r="D2132" s="8" t="s">
        <v>12</v>
      </c>
      <c r="E2132" s="9" t="s">
        <v>13</v>
      </c>
      <c r="F2132" s="33">
        <v>1.0</v>
      </c>
      <c r="G2132" s="33">
        <v>2500.0</v>
      </c>
      <c r="H2132" s="35">
        <v>46155.0</v>
      </c>
      <c r="I2132" s="2" t="s">
        <v>473</v>
      </c>
      <c r="J2132" s="12" t="s">
        <v>1652</v>
      </c>
    </row>
    <row r="2133" ht="22.5" hidden="1" customHeight="1">
      <c r="A2133" s="2" t="s">
        <v>1253</v>
      </c>
      <c r="B2133" s="2" t="s">
        <v>1653</v>
      </c>
      <c r="C2133" s="2">
        <v>1653.0</v>
      </c>
      <c r="D2133" s="8" t="s">
        <v>22</v>
      </c>
      <c r="E2133" s="9" t="s">
        <v>13</v>
      </c>
      <c r="F2133" s="33">
        <v>1.0</v>
      </c>
      <c r="G2133" s="33">
        <v>2500.0</v>
      </c>
      <c r="H2133" s="35">
        <v>46155.0</v>
      </c>
      <c r="I2133" s="2" t="s">
        <v>14</v>
      </c>
      <c r="J2133" s="12" t="s">
        <v>1654</v>
      </c>
    </row>
    <row r="2134" ht="22.5" hidden="1" customHeight="1">
      <c r="A2134" s="2" t="s">
        <v>297</v>
      </c>
      <c r="B2134" s="2" t="s">
        <v>1653</v>
      </c>
      <c r="C2134" s="2">
        <v>1653.0</v>
      </c>
      <c r="D2134" s="8" t="s">
        <v>12</v>
      </c>
      <c r="E2134" s="9" t="s">
        <v>13</v>
      </c>
      <c r="F2134" s="33">
        <v>1.0</v>
      </c>
      <c r="G2134" s="33">
        <v>2500.0</v>
      </c>
      <c r="H2134" s="35">
        <v>46155.0</v>
      </c>
      <c r="I2134" s="2" t="s">
        <v>473</v>
      </c>
      <c r="J2134" s="12" t="s">
        <v>1655</v>
      </c>
    </row>
    <row r="2135" ht="22.5" hidden="1" customHeight="1">
      <c r="A2135" s="2" t="s">
        <v>830</v>
      </c>
      <c r="B2135" s="2" t="s">
        <v>961</v>
      </c>
      <c r="C2135" s="2">
        <v>6612.0</v>
      </c>
      <c r="D2135" s="8" t="s">
        <v>46</v>
      </c>
      <c r="E2135" s="9">
        <v>2.0</v>
      </c>
      <c r="F2135" s="33">
        <v>1.0</v>
      </c>
      <c r="G2135" s="33">
        <v>850.0</v>
      </c>
      <c r="H2135" s="35">
        <v>46155.0</v>
      </c>
      <c r="I2135" s="2" t="s">
        <v>14</v>
      </c>
      <c r="J2135" s="12" t="s">
        <v>1638</v>
      </c>
    </row>
    <row r="2136" ht="22.5" hidden="1" customHeight="1">
      <c r="A2136" s="2" t="s">
        <v>830</v>
      </c>
      <c r="B2136" s="2" t="s">
        <v>961</v>
      </c>
      <c r="C2136" s="2">
        <v>6612.0</v>
      </c>
      <c r="D2136" s="8" t="s">
        <v>46</v>
      </c>
      <c r="E2136" s="9">
        <v>5.0</v>
      </c>
      <c r="F2136" s="33">
        <v>1.0</v>
      </c>
      <c r="G2136" s="33">
        <v>850.0</v>
      </c>
      <c r="H2136" s="35">
        <v>46155.0</v>
      </c>
      <c r="I2136" s="2" t="s">
        <v>14</v>
      </c>
      <c r="J2136" s="12" t="s">
        <v>1638</v>
      </c>
    </row>
    <row r="2137" ht="22.5" hidden="1" customHeight="1">
      <c r="A2137" s="2" t="s">
        <v>830</v>
      </c>
      <c r="B2137" s="2" t="s">
        <v>961</v>
      </c>
      <c r="C2137" s="2">
        <v>6612.0</v>
      </c>
      <c r="D2137" s="8" t="s">
        <v>46</v>
      </c>
      <c r="E2137" s="9">
        <v>8.0</v>
      </c>
      <c r="F2137" s="33">
        <v>1.0</v>
      </c>
      <c r="G2137" s="33">
        <v>850.0</v>
      </c>
      <c r="H2137" s="35">
        <v>46155.0</v>
      </c>
      <c r="I2137" s="2" t="s">
        <v>14</v>
      </c>
      <c r="J2137" s="12" t="s">
        <v>1638</v>
      </c>
    </row>
    <row r="2138" ht="22.5" hidden="1" customHeight="1">
      <c r="A2138" s="2" t="s">
        <v>830</v>
      </c>
      <c r="B2138" s="2" t="s">
        <v>961</v>
      </c>
      <c r="C2138" s="2">
        <v>6612.0</v>
      </c>
      <c r="D2138" s="8" t="s">
        <v>46</v>
      </c>
      <c r="E2138" s="9">
        <v>9.0</v>
      </c>
      <c r="F2138" s="33">
        <v>1.0</v>
      </c>
      <c r="G2138" s="33">
        <v>850.0</v>
      </c>
      <c r="H2138" s="35">
        <v>46155.0</v>
      </c>
      <c r="I2138" s="2" t="s">
        <v>14</v>
      </c>
      <c r="J2138" s="12" t="s">
        <v>1638</v>
      </c>
    </row>
    <row r="2139" ht="22.5" hidden="1" customHeight="1">
      <c r="A2139" s="2" t="s">
        <v>1656</v>
      </c>
      <c r="B2139" s="2" t="s">
        <v>1619</v>
      </c>
      <c r="C2139" s="2" t="s">
        <v>1620</v>
      </c>
      <c r="D2139" s="8" t="s">
        <v>22</v>
      </c>
      <c r="E2139" s="9" t="s">
        <v>18</v>
      </c>
      <c r="F2139" s="33">
        <v>1.0</v>
      </c>
      <c r="G2139" s="33">
        <v>1650.0</v>
      </c>
      <c r="H2139" s="35">
        <v>46155.0</v>
      </c>
      <c r="I2139" s="2" t="s">
        <v>14</v>
      </c>
      <c r="J2139" s="12" t="s">
        <v>1657</v>
      </c>
    </row>
    <row r="2140" ht="22.5" hidden="1" customHeight="1">
      <c r="A2140" s="2" t="s">
        <v>1656</v>
      </c>
      <c r="B2140" s="2" t="s">
        <v>1619</v>
      </c>
      <c r="C2140" s="2" t="s">
        <v>1620</v>
      </c>
      <c r="D2140" s="8" t="s">
        <v>22</v>
      </c>
      <c r="E2140" s="9" t="s">
        <v>914</v>
      </c>
      <c r="F2140" s="33">
        <v>1.0</v>
      </c>
      <c r="G2140" s="33">
        <v>1650.0</v>
      </c>
      <c r="H2140" s="35">
        <v>46155.0</v>
      </c>
      <c r="I2140" s="2" t="s">
        <v>14</v>
      </c>
      <c r="J2140" s="12" t="s">
        <v>1657</v>
      </c>
    </row>
    <row r="2141" ht="22.5" hidden="1" customHeight="1">
      <c r="A2141" s="2" t="s">
        <v>1656</v>
      </c>
      <c r="B2141" s="2" t="s">
        <v>1636</v>
      </c>
      <c r="C2141" s="2" t="s">
        <v>1637</v>
      </c>
      <c r="D2141" s="8" t="s">
        <v>46</v>
      </c>
      <c r="E2141" s="9" t="s">
        <v>26</v>
      </c>
      <c r="F2141" s="33">
        <v>1.0</v>
      </c>
      <c r="G2141" s="33">
        <v>1700.0</v>
      </c>
      <c r="H2141" s="35">
        <v>46155.0</v>
      </c>
      <c r="I2141" s="2" t="s">
        <v>14</v>
      </c>
      <c r="J2141" s="12" t="s">
        <v>1657</v>
      </c>
    </row>
    <row r="2142" ht="22.5" hidden="1" customHeight="1">
      <c r="A2142" s="2" t="s">
        <v>716</v>
      </c>
      <c r="B2142" s="2" t="s">
        <v>1619</v>
      </c>
      <c r="C2142" s="2" t="s">
        <v>1620</v>
      </c>
      <c r="D2142" s="8" t="s">
        <v>22</v>
      </c>
      <c r="E2142" s="9" t="s">
        <v>16</v>
      </c>
      <c r="F2142" s="33">
        <v>1.0</v>
      </c>
      <c r="G2142" s="33">
        <v>1650.0</v>
      </c>
      <c r="H2142" s="35">
        <v>46155.0</v>
      </c>
      <c r="I2142" s="2" t="s">
        <v>14</v>
      </c>
      <c r="J2142" s="12" t="s">
        <v>1658</v>
      </c>
    </row>
    <row r="2143" ht="22.5" hidden="1" customHeight="1">
      <c r="A2143" s="2" t="s">
        <v>716</v>
      </c>
      <c r="B2143" s="2" t="s">
        <v>762</v>
      </c>
      <c r="C2143" s="2" t="s">
        <v>763</v>
      </c>
      <c r="D2143" s="8" t="s">
        <v>46</v>
      </c>
      <c r="E2143" s="9" t="s">
        <v>1659</v>
      </c>
      <c r="F2143" s="33">
        <v>1.0</v>
      </c>
      <c r="G2143" s="33">
        <v>1600.0</v>
      </c>
      <c r="H2143" s="35">
        <v>46155.0</v>
      </c>
      <c r="I2143" s="2" t="s">
        <v>14</v>
      </c>
      <c r="J2143" s="12" t="s">
        <v>1658</v>
      </c>
    </row>
    <row r="2144" ht="22.5" hidden="1" customHeight="1">
      <c r="A2144" s="2" t="s">
        <v>1050</v>
      </c>
      <c r="B2144" s="2" t="s">
        <v>958</v>
      </c>
      <c r="C2144" s="2" t="s">
        <v>959</v>
      </c>
      <c r="D2144" s="8" t="s">
        <v>22</v>
      </c>
      <c r="E2144" s="9" t="s">
        <v>18</v>
      </c>
      <c r="F2144" s="33">
        <v>2.0</v>
      </c>
      <c r="G2144" s="33">
        <v>1800.0</v>
      </c>
      <c r="H2144" s="35">
        <v>46155.0</v>
      </c>
      <c r="I2144" s="2" t="s">
        <v>14</v>
      </c>
      <c r="J2144" s="12" t="s">
        <v>1660</v>
      </c>
    </row>
    <row r="2145" ht="22.5" hidden="1" customHeight="1">
      <c r="A2145" s="2" t="s">
        <v>1661</v>
      </c>
      <c r="B2145" s="2" t="s">
        <v>1619</v>
      </c>
      <c r="C2145" s="2" t="s">
        <v>1620</v>
      </c>
      <c r="D2145" s="8" t="s">
        <v>12</v>
      </c>
      <c r="E2145" s="9" t="s">
        <v>23</v>
      </c>
      <c r="F2145" s="33">
        <v>1.0</v>
      </c>
      <c r="G2145" s="33">
        <v>1650.0</v>
      </c>
      <c r="H2145" s="35">
        <v>46155.0</v>
      </c>
      <c r="I2145" s="2" t="s">
        <v>14</v>
      </c>
      <c r="J2145" s="12" t="s">
        <v>1662</v>
      </c>
    </row>
    <row r="2146" ht="22.5" hidden="1" customHeight="1">
      <c r="A2146" s="2" t="s">
        <v>1663</v>
      </c>
      <c r="B2146" s="2" t="s">
        <v>1325</v>
      </c>
      <c r="C2146" s="2" t="s">
        <v>1435</v>
      </c>
      <c r="D2146" s="8">
        <v>37.0</v>
      </c>
      <c r="E2146" s="9" t="s">
        <v>47</v>
      </c>
      <c r="F2146" s="33">
        <v>1.0</v>
      </c>
      <c r="G2146" s="33">
        <v>6990.0</v>
      </c>
      <c r="H2146" s="35">
        <v>46155.0</v>
      </c>
      <c r="I2146" s="2" t="s">
        <v>1645</v>
      </c>
      <c r="J2146" s="12" t="s">
        <v>1664</v>
      </c>
    </row>
    <row r="2147" ht="22.5" hidden="1" customHeight="1">
      <c r="A2147" s="2" t="s">
        <v>1665</v>
      </c>
      <c r="B2147" s="2" t="s">
        <v>1601</v>
      </c>
      <c r="C2147" s="2" t="s">
        <v>1602</v>
      </c>
      <c r="D2147" s="8">
        <v>37.0</v>
      </c>
      <c r="E2147" s="9" t="s">
        <v>13</v>
      </c>
      <c r="F2147" s="33">
        <v>1.0</v>
      </c>
      <c r="G2147" s="33">
        <v>1790.0</v>
      </c>
      <c r="H2147" s="35">
        <v>46155.0</v>
      </c>
      <c r="I2147" s="2" t="s">
        <v>473</v>
      </c>
      <c r="J2147" s="12" t="s">
        <v>1666</v>
      </c>
    </row>
    <row r="2148" ht="22.5" hidden="1" customHeight="1">
      <c r="A2148" s="2" t="s">
        <v>123</v>
      </c>
      <c r="B2148" s="2" t="s">
        <v>1619</v>
      </c>
      <c r="C2148" s="2" t="s">
        <v>1620</v>
      </c>
      <c r="D2148" s="8" t="s">
        <v>12</v>
      </c>
      <c r="E2148" s="9" t="s">
        <v>914</v>
      </c>
      <c r="F2148" s="33">
        <v>1.0</v>
      </c>
      <c r="G2148" s="33">
        <v>1650.0</v>
      </c>
      <c r="H2148" s="35">
        <v>46155.0</v>
      </c>
      <c r="I2148" s="2" t="s">
        <v>473</v>
      </c>
      <c r="J2148" s="12" t="s">
        <v>1667</v>
      </c>
    </row>
    <row r="2149" ht="22.5" hidden="1" customHeight="1">
      <c r="A2149" s="2" t="s">
        <v>1668</v>
      </c>
      <c r="B2149" s="2" t="s">
        <v>1619</v>
      </c>
      <c r="C2149" s="2" t="s">
        <v>1620</v>
      </c>
      <c r="D2149" s="8" t="s">
        <v>22</v>
      </c>
      <c r="E2149" s="9" t="s">
        <v>16</v>
      </c>
      <c r="F2149" s="33">
        <v>1.0</v>
      </c>
      <c r="G2149" s="33">
        <v>1650.0</v>
      </c>
      <c r="H2149" s="35">
        <v>46155.0</v>
      </c>
      <c r="I2149" s="2" t="s">
        <v>473</v>
      </c>
      <c r="J2149" s="12" t="s">
        <v>1669</v>
      </c>
    </row>
    <row r="2150" ht="22.5" hidden="1" customHeight="1">
      <c r="A2150" s="2" t="s">
        <v>1668</v>
      </c>
      <c r="B2150" s="2" t="s">
        <v>1619</v>
      </c>
      <c r="C2150" s="2" t="s">
        <v>1620</v>
      </c>
      <c r="D2150" s="8" t="s">
        <v>22</v>
      </c>
      <c r="E2150" s="9" t="s">
        <v>914</v>
      </c>
      <c r="F2150" s="33">
        <v>1.0</v>
      </c>
      <c r="G2150" s="33">
        <v>1650.0</v>
      </c>
      <c r="H2150" s="35">
        <v>46155.0</v>
      </c>
      <c r="I2150" s="2" t="s">
        <v>473</v>
      </c>
      <c r="J2150" s="12" t="s">
        <v>1669</v>
      </c>
    </row>
    <row r="2151" ht="22.5" hidden="1" customHeight="1">
      <c r="A2151" s="2" t="s">
        <v>1670</v>
      </c>
      <c r="B2151" s="2" t="s">
        <v>1671</v>
      </c>
      <c r="C2151" s="2" t="s">
        <v>1672</v>
      </c>
      <c r="D2151" s="8" t="s">
        <v>46</v>
      </c>
      <c r="E2151" s="9" t="s">
        <v>47</v>
      </c>
      <c r="F2151" s="33">
        <v>1.0</v>
      </c>
      <c r="G2151" s="33">
        <v>1200.0</v>
      </c>
      <c r="H2151" s="35">
        <v>46155.0</v>
      </c>
      <c r="I2151" s="2" t="s">
        <v>14</v>
      </c>
      <c r="J2151" s="12" t="s">
        <v>1673</v>
      </c>
    </row>
    <row r="2152" ht="22.5" hidden="1" customHeight="1">
      <c r="A2152" s="2" t="s">
        <v>941</v>
      </c>
      <c r="B2152" s="2" t="s">
        <v>1212</v>
      </c>
      <c r="C2152" s="2">
        <v>92212.0</v>
      </c>
      <c r="D2152" s="8" t="s">
        <v>46</v>
      </c>
      <c r="E2152" s="9" t="s">
        <v>16</v>
      </c>
      <c r="F2152" s="33">
        <v>1.0</v>
      </c>
      <c r="G2152" s="33">
        <v>1700.0</v>
      </c>
      <c r="H2152" s="35">
        <v>46155.0</v>
      </c>
      <c r="I2152" s="2" t="s">
        <v>14</v>
      </c>
      <c r="J2152" s="12" t="s">
        <v>1674</v>
      </c>
    </row>
    <row r="2153" ht="22.5" hidden="1" customHeight="1">
      <c r="A2153" s="2" t="s">
        <v>104</v>
      </c>
      <c r="B2153" s="2" t="s">
        <v>1671</v>
      </c>
      <c r="C2153" s="2" t="s">
        <v>1672</v>
      </c>
      <c r="D2153" s="8" t="s">
        <v>46</v>
      </c>
      <c r="E2153" s="9" t="s">
        <v>47</v>
      </c>
      <c r="F2153" s="33">
        <v>1.0</v>
      </c>
      <c r="G2153" s="33">
        <v>1200.0</v>
      </c>
      <c r="H2153" s="35">
        <v>46155.0</v>
      </c>
      <c r="I2153" s="2" t="s">
        <v>473</v>
      </c>
      <c r="J2153" s="12" t="s">
        <v>1675</v>
      </c>
    </row>
    <row r="2154" ht="22.5" hidden="1" customHeight="1">
      <c r="A2154" s="2" t="s">
        <v>144</v>
      </c>
      <c r="B2154" s="2" t="s">
        <v>1676</v>
      </c>
      <c r="C2154" s="2">
        <v>9408.0</v>
      </c>
      <c r="D2154" s="8" t="s">
        <v>22</v>
      </c>
      <c r="E2154" s="9" t="s">
        <v>18</v>
      </c>
      <c r="F2154" s="33">
        <v>1.0</v>
      </c>
      <c r="G2154" s="33">
        <v>1650.0</v>
      </c>
      <c r="H2154" s="35">
        <v>46155.0</v>
      </c>
      <c r="I2154" s="2" t="s">
        <v>473</v>
      </c>
      <c r="J2154" s="12" t="s">
        <v>1677</v>
      </c>
    </row>
    <row r="2155" ht="22.5" hidden="1" customHeight="1">
      <c r="A2155" s="2" t="s">
        <v>144</v>
      </c>
      <c r="B2155" s="2" t="s">
        <v>1676</v>
      </c>
      <c r="C2155" s="2">
        <v>9408.0</v>
      </c>
      <c r="D2155" s="8" t="s">
        <v>22</v>
      </c>
      <c r="E2155" s="9" t="s">
        <v>23</v>
      </c>
      <c r="F2155" s="33">
        <v>1.0</v>
      </c>
      <c r="G2155" s="33">
        <v>1650.0</v>
      </c>
      <c r="H2155" s="35">
        <v>46155.0</v>
      </c>
      <c r="I2155" s="2" t="s">
        <v>473</v>
      </c>
      <c r="J2155" s="12" t="s">
        <v>1677</v>
      </c>
    </row>
    <row r="2156" ht="22.5" hidden="1" customHeight="1">
      <c r="A2156" s="2" t="s">
        <v>252</v>
      </c>
      <c r="B2156" s="2" t="s">
        <v>1601</v>
      </c>
      <c r="C2156" s="2" t="s">
        <v>1602</v>
      </c>
      <c r="D2156" s="8">
        <v>36.0</v>
      </c>
      <c r="E2156" s="9" t="s">
        <v>18</v>
      </c>
      <c r="F2156" s="33">
        <v>1.0</v>
      </c>
      <c r="G2156" s="33">
        <v>1790.0</v>
      </c>
      <c r="H2156" s="35">
        <v>46155.0</v>
      </c>
      <c r="I2156" s="2" t="s">
        <v>473</v>
      </c>
      <c r="J2156" s="12" t="s">
        <v>1678</v>
      </c>
    </row>
    <row r="2157" ht="22.5" hidden="1" customHeight="1">
      <c r="A2157" s="2" t="s">
        <v>1679</v>
      </c>
      <c r="B2157" s="2" t="s">
        <v>1622</v>
      </c>
      <c r="C2157" s="2" t="s">
        <v>1623</v>
      </c>
      <c r="D2157" s="8" t="s">
        <v>75</v>
      </c>
      <c r="E2157" s="9" t="s">
        <v>18</v>
      </c>
      <c r="F2157" s="33">
        <v>1.0</v>
      </c>
      <c r="G2157" s="33">
        <v>1200.0</v>
      </c>
      <c r="H2157" s="35">
        <v>46155.0</v>
      </c>
      <c r="I2157" s="2" t="s">
        <v>14</v>
      </c>
      <c r="J2157" s="12" t="s">
        <v>1680</v>
      </c>
    </row>
    <row r="2158" ht="22.5" hidden="1" customHeight="1">
      <c r="A2158" s="2" t="s">
        <v>1679</v>
      </c>
      <c r="B2158" s="2" t="s">
        <v>1622</v>
      </c>
      <c r="C2158" s="2" t="s">
        <v>1623</v>
      </c>
      <c r="D2158" s="8" t="s">
        <v>75</v>
      </c>
      <c r="E2158" s="9" t="s">
        <v>13</v>
      </c>
      <c r="F2158" s="33">
        <v>1.0</v>
      </c>
      <c r="G2158" s="33">
        <v>1200.0</v>
      </c>
      <c r="H2158" s="35">
        <v>46155.0</v>
      </c>
      <c r="I2158" s="2" t="s">
        <v>14</v>
      </c>
      <c r="J2158" s="12" t="s">
        <v>1680</v>
      </c>
    </row>
    <row r="2159" ht="22.5" hidden="1" customHeight="1">
      <c r="A2159" s="2" t="s">
        <v>1679</v>
      </c>
      <c r="B2159" s="2" t="s">
        <v>1622</v>
      </c>
      <c r="C2159" s="2" t="s">
        <v>1623</v>
      </c>
      <c r="D2159" s="8" t="s">
        <v>75</v>
      </c>
      <c r="E2159" s="9" t="s">
        <v>58</v>
      </c>
      <c r="F2159" s="33">
        <v>1.0</v>
      </c>
      <c r="G2159" s="33">
        <v>1200.0</v>
      </c>
      <c r="H2159" s="35">
        <v>46155.0</v>
      </c>
      <c r="I2159" s="2" t="s">
        <v>14</v>
      </c>
      <c r="J2159" s="12" t="s">
        <v>1680</v>
      </c>
    </row>
    <row r="2160" ht="22.5" hidden="1" customHeight="1">
      <c r="A2160" s="2" t="s">
        <v>1679</v>
      </c>
      <c r="B2160" s="2" t="s">
        <v>1622</v>
      </c>
      <c r="C2160" s="2" t="s">
        <v>1623</v>
      </c>
      <c r="D2160" s="8" t="s">
        <v>75</v>
      </c>
      <c r="E2160" s="9" t="s">
        <v>23</v>
      </c>
      <c r="F2160" s="33">
        <v>1.0</v>
      </c>
      <c r="G2160" s="33">
        <v>1200.0</v>
      </c>
      <c r="H2160" s="35">
        <v>46155.0</v>
      </c>
      <c r="I2160" s="2" t="s">
        <v>14</v>
      </c>
      <c r="J2160" s="12" t="s">
        <v>1680</v>
      </c>
    </row>
    <row r="2161" ht="22.5" hidden="1" customHeight="1">
      <c r="A2161" s="2" t="s">
        <v>148</v>
      </c>
      <c r="B2161" s="2" t="s">
        <v>1671</v>
      </c>
      <c r="C2161" s="2" t="s">
        <v>1672</v>
      </c>
      <c r="D2161" s="8" t="s">
        <v>46</v>
      </c>
      <c r="E2161" s="9" t="s">
        <v>47</v>
      </c>
      <c r="F2161" s="33">
        <v>1.0</v>
      </c>
      <c r="G2161" s="33">
        <v>1200.0</v>
      </c>
      <c r="H2161" s="35">
        <v>46155.0</v>
      </c>
      <c r="I2161" s="2" t="s">
        <v>473</v>
      </c>
      <c r="J2161" s="12" t="s">
        <v>1681</v>
      </c>
    </row>
    <row r="2162" ht="22.5" hidden="1" customHeight="1">
      <c r="A2162" s="2" t="s">
        <v>300</v>
      </c>
      <c r="B2162" s="2" t="s">
        <v>1622</v>
      </c>
      <c r="C2162" s="2" t="s">
        <v>1623</v>
      </c>
      <c r="D2162" s="8" t="s">
        <v>75</v>
      </c>
      <c r="E2162" s="9" t="s">
        <v>18</v>
      </c>
      <c r="F2162" s="33">
        <v>1.0</v>
      </c>
      <c r="G2162" s="33">
        <v>1200.0</v>
      </c>
      <c r="H2162" s="35">
        <v>46155.0</v>
      </c>
      <c r="I2162" s="2" t="s">
        <v>14</v>
      </c>
      <c r="J2162" s="12" t="s">
        <v>1414</v>
      </c>
    </row>
    <row r="2163" ht="22.5" hidden="1" customHeight="1">
      <c r="A2163" s="2" t="s">
        <v>300</v>
      </c>
      <c r="B2163" s="2" t="s">
        <v>1622</v>
      </c>
      <c r="C2163" s="2" t="s">
        <v>1623</v>
      </c>
      <c r="D2163" s="8" t="s">
        <v>75</v>
      </c>
      <c r="E2163" s="9" t="s">
        <v>13</v>
      </c>
      <c r="F2163" s="33">
        <v>1.0</v>
      </c>
      <c r="G2163" s="33">
        <v>1200.0</v>
      </c>
      <c r="H2163" s="35">
        <v>46155.0</v>
      </c>
      <c r="I2163" s="2" t="s">
        <v>14</v>
      </c>
      <c r="J2163" s="12" t="s">
        <v>1414</v>
      </c>
    </row>
    <row r="2164" ht="22.5" hidden="1" customHeight="1">
      <c r="A2164" s="2" t="s">
        <v>508</v>
      </c>
      <c r="B2164" s="2" t="s">
        <v>1671</v>
      </c>
      <c r="C2164" s="2" t="s">
        <v>1672</v>
      </c>
      <c r="D2164" s="8" t="s">
        <v>46</v>
      </c>
      <c r="E2164" s="9" t="s">
        <v>47</v>
      </c>
      <c r="F2164" s="33">
        <v>1.0</v>
      </c>
      <c r="G2164" s="33">
        <v>1200.0</v>
      </c>
      <c r="H2164" s="35">
        <v>46155.0</v>
      </c>
      <c r="I2164" s="2" t="s">
        <v>14</v>
      </c>
      <c r="J2164" s="12" t="s">
        <v>1682</v>
      </c>
    </row>
    <row r="2165" ht="22.5" hidden="1" customHeight="1">
      <c r="A2165" s="2" t="s">
        <v>190</v>
      </c>
      <c r="B2165" s="2" t="s">
        <v>1671</v>
      </c>
      <c r="C2165" s="2" t="s">
        <v>1672</v>
      </c>
      <c r="D2165" s="8" t="s">
        <v>46</v>
      </c>
      <c r="E2165" s="9" t="s">
        <v>47</v>
      </c>
      <c r="F2165" s="33">
        <v>1.0</v>
      </c>
      <c r="G2165" s="33">
        <v>1200.0</v>
      </c>
      <c r="H2165" s="35">
        <v>46155.0</v>
      </c>
      <c r="I2165" s="2" t="s">
        <v>14</v>
      </c>
      <c r="J2165" s="12" t="s">
        <v>1683</v>
      </c>
    </row>
    <row r="2166" ht="22.5" hidden="1" customHeight="1">
      <c r="A2166" s="2" t="s">
        <v>190</v>
      </c>
      <c r="B2166" s="2" t="s">
        <v>1254</v>
      </c>
      <c r="C2166" s="2" t="s">
        <v>1255</v>
      </c>
      <c r="D2166" s="8" t="s">
        <v>22</v>
      </c>
      <c r="E2166" s="9" t="s">
        <v>1256</v>
      </c>
      <c r="F2166" s="33">
        <v>1.0</v>
      </c>
      <c r="G2166" s="33">
        <v>1200.0</v>
      </c>
      <c r="H2166" s="35">
        <v>46155.0</v>
      </c>
      <c r="I2166" s="2" t="s">
        <v>14</v>
      </c>
      <c r="J2166" s="12" t="s">
        <v>1683</v>
      </c>
    </row>
    <row r="2167" ht="22.5" hidden="1" customHeight="1">
      <c r="A2167" s="2" t="s">
        <v>1684</v>
      </c>
      <c r="B2167" s="2" t="s">
        <v>1622</v>
      </c>
      <c r="C2167" s="2" t="s">
        <v>1623</v>
      </c>
      <c r="D2167" s="8" t="s">
        <v>75</v>
      </c>
      <c r="E2167" s="9" t="s">
        <v>58</v>
      </c>
      <c r="F2167" s="33">
        <v>1.0</v>
      </c>
      <c r="G2167" s="33">
        <v>1200.0</v>
      </c>
      <c r="H2167" s="35">
        <v>46155.0</v>
      </c>
      <c r="I2167" s="2" t="s">
        <v>14</v>
      </c>
      <c r="J2167" s="12" t="s">
        <v>1685</v>
      </c>
    </row>
    <row r="2168" ht="22.5" hidden="1" customHeight="1">
      <c r="A2168" s="2" t="s">
        <v>1684</v>
      </c>
      <c r="B2168" s="2" t="s">
        <v>1622</v>
      </c>
      <c r="C2168" s="2" t="s">
        <v>1623</v>
      </c>
      <c r="D2168" s="8" t="s">
        <v>75</v>
      </c>
      <c r="E2168" s="9" t="s">
        <v>23</v>
      </c>
      <c r="F2168" s="33">
        <v>1.0</v>
      </c>
      <c r="G2168" s="33">
        <v>1200.0</v>
      </c>
      <c r="H2168" s="35">
        <v>46155.0</v>
      </c>
      <c r="I2168" s="2" t="s">
        <v>14</v>
      </c>
      <c r="J2168" s="12" t="s">
        <v>1685</v>
      </c>
    </row>
    <row r="2169" ht="22.5" hidden="1" customHeight="1">
      <c r="A2169" s="2" t="s">
        <v>312</v>
      </c>
      <c r="B2169" s="2" t="s">
        <v>1619</v>
      </c>
      <c r="C2169" s="2" t="s">
        <v>1620</v>
      </c>
      <c r="D2169" s="8" t="s">
        <v>12</v>
      </c>
      <c r="E2169" s="9" t="s">
        <v>47</v>
      </c>
      <c r="F2169" s="33">
        <v>1.0</v>
      </c>
      <c r="G2169" s="33">
        <v>1650.0</v>
      </c>
      <c r="H2169" s="35">
        <v>46155.0</v>
      </c>
      <c r="I2169" s="2" t="s">
        <v>14</v>
      </c>
      <c r="J2169" s="12" t="s">
        <v>1686</v>
      </c>
    </row>
    <row r="2170" ht="22.5" hidden="1" customHeight="1">
      <c r="A2170" s="2" t="s">
        <v>312</v>
      </c>
      <c r="B2170" s="2" t="s">
        <v>1619</v>
      </c>
      <c r="C2170" s="2" t="s">
        <v>1620</v>
      </c>
      <c r="D2170" s="8" t="s">
        <v>75</v>
      </c>
      <c r="E2170" s="9" t="s">
        <v>18</v>
      </c>
      <c r="F2170" s="33">
        <v>1.0</v>
      </c>
      <c r="G2170" s="33">
        <v>1650.0</v>
      </c>
      <c r="H2170" s="35">
        <v>46155.0</v>
      </c>
      <c r="I2170" s="2" t="s">
        <v>14</v>
      </c>
      <c r="J2170" s="12" t="s">
        <v>1686</v>
      </c>
    </row>
    <row r="2171" ht="22.5" hidden="1" customHeight="1">
      <c r="A2171" s="2" t="s">
        <v>1191</v>
      </c>
      <c r="B2171" s="2" t="s">
        <v>1199</v>
      </c>
      <c r="C2171" s="2" t="s">
        <v>1200</v>
      </c>
      <c r="D2171" s="8" t="s">
        <v>22</v>
      </c>
      <c r="E2171" s="9" t="s">
        <v>47</v>
      </c>
      <c r="F2171" s="33">
        <v>1.0</v>
      </c>
      <c r="G2171" s="33">
        <v>725.0</v>
      </c>
      <c r="H2171" s="35">
        <v>46155.0</v>
      </c>
      <c r="I2171" s="2" t="s">
        <v>14</v>
      </c>
      <c r="J2171" s="12" t="s">
        <v>1192</v>
      </c>
    </row>
    <row r="2172" ht="22.5" hidden="1" customHeight="1">
      <c r="A2172" s="2" t="s">
        <v>1191</v>
      </c>
      <c r="B2172" s="2" t="s">
        <v>1201</v>
      </c>
      <c r="C2172" s="2" t="s">
        <v>1202</v>
      </c>
      <c r="D2172" s="8" t="s">
        <v>22</v>
      </c>
      <c r="E2172" s="9" t="s">
        <v>47</v>
      </c>
      <c r="F2172" s="33">
        <v>1.0</v>
      </c>
      <c r="G2172" s="33">
        <v>725.0</v>
      </c>
      <c r="H2172" s="35">
        <v>46155.0</v>
      </c>
      <c r="I2172" s="2" t="s">
        <v>14</v>
      </c>
      <c r="J2172" s="12" t="s">
        <v>1192</v>
      </c>
    </row>
    <row r="2173" ht="22.5" hidden="1" customHeight="1">
      <c r="A2173" s="2" t="s">
        <v>1191</v>
      </c>
      <c r="B2173" s="2" t="s">
        <v>762</v>
      </c>
      <c r="C2173" s="2" t="s">
        <v>763</v>
      </c>
      <c r="D2173" s="8" t="s">
        <v>22</v>
      </c>
      <c r="E2173" s="9" t="s">
        <v>1687</v>
      </c>
      <c r="F2173" s="33">
        <v>1.0</v>
      </c>
      <c r="G2173" s="33">
        <v>1.0</v>
      </c>
      <c r="H2173" s="35">
        <v>46155.0</v>
      </c>
      <c r="I2173" s="2" t="s">
        <v>14</v>
      </c>
      <c r="J2173" s="12" t="s">
        <v>1192</v>
      </c>
    </row>
    <row r="2174" ht="22.5" customHeight="1">
      <c r="A2174" s="2" t="s">
        <v>1151</v>
      </c>
      <c r="B2174" s="2" t="s">
        <v>1470</v>
      </c>
      <c r="C2174" s="2" t="s">
        <v>1471</v>
      </c>
      <c r="D2174" s="8" t="s">
        <v>46</v>
      </c>
      <c r="E2174" s="9" t="s">
        <v>26</v>
      </c>
      <c r="F2174" s="33">
        <v>1.0</v>
      </c>
      <c r="G2174" s="33">
        <v>990.0</v>
      </c>
      <c r="H2174" s="35">
        <v>46155.0</v>
      </c>
      <c r="I2174" s="2" t="s">
        <v>14</v>
      </c>
      <c r="J2174" s="12" t="s">
        <v>1153</v>
      </c>
    </row>
    <row r="2175" ht="22.5" customHeight="1">
      <c r="A2175" s="2" t="s">
        <v>1151</v>
      </c>
      <c r="B2175" s="2" t="s">
        <v>1184</v>
      </c>
      <c r="C2175" s="2" t="s">
        <v>1185</v>
      </c>
      <c r="D2175" s="8" t="s">
        <v>1688</v>
      </c>
      <c r="E2175" s="9" t="s">
        <v>23</v>
      </c>
      <c r="F2175" s="33">
        <v>1.0</v>
      </c>
      <c r="G2175" s="33">
        <v>845.0</v>
      </c>
      <c r="H2175" s="35">
        <v>46155.0</v>
      </c>
      <c r="I2175" s="2" t="s">
        <v>14</v>
      </c>
      <c r="J2175" s="12" t="s">
        <v>1153</v>
      </c>
    </row>
    <row r="2176" ht="22.5" customHeight="1">
      <c r="A2176" s="2" t="s">
        <v>1151</v>
      </c>
      <c r="B2176" s="2" t="s">
        <v>1184</v>
      </c>
      <c r="C2176" s="2" t="s">
        <v>1185</v>
      </c>
      <c r="D2176" s="8" t="s">
        <v>1688</v>
      </c>
      <c r="E2176" s="9" t="s">
        <v>18</v>
      </c>
      <c r="F2176" s="33">
        <v>1.0</v>
      </c>
      <c r="G2176" s="33">
        <v>845.0</v>
      </c>
      <c r="H2176" s="35">
        <v>46155.0</v>
      </c>
      <c r="I2176" s="2" t="s">
        <v>14</v>
      </c>
      <c r="J2176" s="12" t="s">
        <v>1153</v>
      </c>
    </row>
    <row r="2177" ht="22.5" hidden="1" customHeight="1">
      <c r="A2177" s="2" t="s">
        <v>1146</v>
      </c>
      <c r="B2177" s="2" t="s">
        <v>1619</v>
      </c>
      <c r="C2177" s="2" t="s">
        <v>1620</v>
      </c>
      <c r="D2177" s="8" t="s">
        <v>12</v>
      </c>
      <c r="E2177" s="9" t="s">
        <v>16</v>
      </c>
      <c r="F2177" s="33">
        <v>1.0</v>
      </c>
      <c r="G2177" s="33">
        <v>1650.0</v>
      </c>
      <c r="H2177" s="35">
        <v>46155.0</v>
      </c>
      <c r="I2177" s="2" t="s">
        <v>14</v>
      </c>
      <c r="J2177" s="12" t="s">
        <v>1689</v>
      </c>
    </row>
    <row r="2178" ht="22.5" hidden="1" customHeight="1">
      <c r="A2178" s="2" t="s">
        <v>1690</v>
      </c>
      <c r="B2178" s="2" t="s">
        <v>1636</v>
      </c>
      <c r="C2178" s="2" t="s">
        <v>1637</v>
      </c>
      <c r="D2178" s="8" t="s">
        <v>46</v>
      </c>
      <c r="E2178" s="9" t="s">
        <v>13</v>
      </c>
      <c r="F2178" s="33">
        <v>1.0</v>
      </c>
      <c r="G2178" s="33">
        <v>1700.0</v>
      </c>
      <c r="H2178" s="35">
        <v>46155.0</v>
      </c>
      <c r="I2178" s="2" t="s">
        <v>14</v>
      </c>
      <c r="J2178" s="12" t="s">
        <v>1691</v>
      </c>
    </row>
    <row r="2179" ht="22.5" hidden="1" customHeight="1">
      <c r="A2179" s="2" t="s">
        <v>1679</v>
      </c>
      <c r="B2179" s="2" t="s">
        <v>1619</v>
      </c>
      <c r="C2179" s="2" t="s">
        <v>1620</v>
      </c>
      <c r="D2179" s="8" t="s">
        <v>22</v>
      </c>
      <c r="E2179" s="9" t="s">
        <v>18</v>
      </c>
      <c r="F2179" s="33">
        <v>1.0</v>
      </c>
      <c r="G2179" s="33">
        <v>1650.0</v>
      </c>
      <c r="H2179" s="35">
        <v>46155.0</v>
      </c>
      <c r="I2179" s="2" t="s">
        <v>14</v>
      </c>
      <c r="J2179" s="12" t="s">
        <v>1680</v>
      </c>
    </row>
    <row r="2180" ht="22.5" hidden="1" customHeight="1">
      <c r="A2180" s="2" t="s">
        <v>1679</v>
      </c>
      <c r="B2180" s="2" t="s">
        <v>1619</v>
      </c>
      <c r="C2180" s="2" t="s">
        <v>1620</v>
      </c>
      <c r="D2180" s="8" t="s">
        <v>22</v>
      </c>
      <c r="E2180" s="9" t="s">
        <v>23</v>
      </c>
      <c r="F2180" s="33">
        <v>1.0</v>
      </c>
      <c r="G2180" s="33">
        <v>1650.0</v>
      </c>
      <c r="H2180" s="35">
        <v>46155.0</v>
      </c>
      <c r="I2180" s="2" t="s">
        <v>14</v>
      </c>
      <c r="J2180" s="12" t="s">
        <v>1680</v>
      </c>
    </row>
    <row r="2181" ht="22.5" hidden="1" customHeight="1">
      <c r="A2181" s="2" t="s">
        <v>1679</v>
      </c>
      <c r="B2181" s="2" t="s">
        <v>1619</v>
      </c>
      <c r="C2181" s="2" t="s">
        <v>1620</v>
      </c>
      <c r="D2181" s="8" t="s">
        <v>75</v>
      </c>
      <c r="E2181" s="9" t="s">
        <v>18</v>
      </c>
      <c r="F2181" s="33">
        <v>1.0</v>
      </c>
      <c r="G2181" s="33">
        <v>1650.0</v>
      </c>
      <c r="H2181" s="35">
        <v>46155.0</v>
      </c>
      <c r="I2181" s="2" t="s">
        <v>14</v>
      </c>
      <c r="J2181" s="12" t="s">
        <v>1680</v>
      </c>
    </row>
    <row r="2182" ht="22.5" hidden="1" customHeight="1">
      <c r="A2182" s="2" t="s">
        <v>1679</v>
      </c>
      <c r="B2182" s="2" t="s">
        <v>1619</v>
      </c>
      <c r="C2182" s="2" t="s">
        <v>1620</v>
      </c>
      <c r="D2182" s="8" t="s">
        <v>75</v>
      </c>
      <c r="E2182" s="9" t="s">
        <v>23</v>
      </c>
      <c r="F2182" s="33">
        <v>1.0</v>
      </c>
      <c r="G2182" s="33">
        <v>1650.0</v>
      </c>
      <c r="H2182" s="35">
        <v>46155.0</v>
      </c>
      <c r="I2182" s="2" t="s">
        <v>14</v>
      </c>
      <c r="J2182" s="12" t="s">
        <v>1680</v>
      </c>
    </row>
    <row r="2183" ht="22.5" hidden="1" customHeight="1">
      <c r="A2183" s="2" t="s">
        <v>351</v>
      </c>
      <c r="B2183" s="2" t="s">
        <v>1636</v>
      </c>
      <c r="C2183" s="2" t="s">
        <v>1637</v>
      </c>
      <c r="D2183" s="8" t="s">
        <v>46</v>
      </c>
      <c r="E2183" s="9" t="s">
        <v>18</v>
      </c>
      <c r="F2183" s="33">
        <v>1.0</v>
      </c>
      <c r="G2183" s="33">
        <v>1700.0</v>
      </c>
      <c r="H2183" s="35">
        <v>46155.0</v>
      </c>
      <c r="I2183" s="2" t="s">
        <v>473</v>
      </c>
      <c r="J2183" s="2"/>
    </row>
    <row r="2184" ht="22.5" hidden="1" customHeight="1">
      <c r="A2184" s="2" t="s">
        <v>351</v>
      </c>
      <c r="B2184" s="2" t="s">
        <v>1692</v>
      </c>
      <c r="C2184" s="2" t="s">
        <v>1693</v>
      </c>
      <c r="D2184" s="8">
        <v>36.0</v>
      </c>
      <c r="E2184" s="9" t="s">
        <v>18</v>
      </c>
      <c r="F2184" s="33">
        <v>1.0</v>
      </c>
      <c r="G2184" s="33">
        <v>1900.0</v>
      </c>
      <c r="H2184" s="35">
        <v>46155.0</v>
      </c>
      <c r="I2184" s="2" t="s">
        <v>1183</v>
      </c>
      <c r="J2184" s="2"/>
    </row>
    <row r="2185" ht="22.5" hidden="1" customHeight="1">
      <c r="A2185" s="2" t="s">
        <v>1694</v>
      </c>
      <c r="B2185" s="2" t="s">
        <v>1212</v>
      </c>
      <c r="C2185" s="2">
        <v>92212.0</v>
      </c>
      <c r="D2185" s="8" t="s">
        <v>46</v>
      </c>
      <c r="E2185" s="9" t="s">
        <v>16</v>
      </c>
      <c r="F2185" s="33">
        <v>1.0</v>
      </c>
      <c r="G2185" s="33">
        <v>1700.0</v>
      </c>
      <c r="H2185" s="35">
        <v>46155.0</v>
      </c>
      <c r="I2185" s="2" t="s">
        <v>473</v>
      </c>
      <c r="J2185" s="12" t="s">
        <v>1695</v>
      </c>
    </row>
    <row r="2186" ht="22.5" hidden="1" customHeight="1">
      <c r="A2186" s="2" t="s">
        <v>1694</v>
      </c>
      <c r="B2186" s="2" t="s">
        <v>1212</v>
      </c>
      <c r="C2186" s="2">
        <v>92212.0</v>
      </c>
      <c r="D2186" s="8" t="s">
        <v>46</v>
      </c>
      <c r="E2186" s="9" t="s">
        <v>23</v>
      </c>
      <c r="F2186" s="33">
        <v>1.0</v>
      </c>
      <c r="G2186" s="33">
        <v>1700.0</v>
      </c>
      <c r="H2186" s="35">
        <v>46155.0</v>
      </c>
      <c r="I2186" s="2" t="s">
        <v>473</v>
      </c>
      <c r="J2186" s="12" t="s">
        <v>1695</v>
      </c>
    </row>
    <row r="2187" ht="22.5" hidden="1" customHeight="1">
      <c r="A2187" s="2" t="s">
        <v>1694</v>
      </c>
      <c r="B2187" s="2" t="s">
        <v>516</v>
      </c>
      <c r="C2187" s="2" t="s">
        <v>517</v>
      </c>
      <c r="D2187" s="8" t="s">
        <v>46</v>
      </c>
      <c r="E2187" s="9" t="s">
        <v>338</v>
      </c>
      <c r="F2187" s="33">
        <v>1.0</v>
      </c>
      <c r="G2187" s="33">
        <v>1390.0</v>
      </c>
      <c r="H2187" s="35">
        <v>46155.0</v>
      </c>
      <c r="I2187" s="2" t="s">
        <v>473</v>
      </c>
      <c r="J2187" s="12" t="s">
        <v>1695</v>
      </c>
    </row>
    <row r="2188" ht="22.5" hidden="1" customHeight="1">
      <c r="A2188" s="2" t="s">
        <v>1696</v>
      </c>
      <c r="B2188" s="2" t="s">
        <v>892</v>
      </c>
      <c r="C2188" s="2" t="s">
        <v>893</v>
      </c>
      <c r="D2188" s="8">
        <v>37.0</v>
      </c>
      <c r="E2188" s="9" t="s">
        <v>47</v>
      </c>
      <c r="F2188" s="33">
        <v>1.0</v>
      </c>
      <c r="G2188" s="33">
        <v>2200.0</v>
      </c>
      <c r="H2188" s="35">
        <v>46155.0</v>
      </c>
      <c r="I2188" s="2" t="s">
        <v>14</v>
      </c>
      <c r="J2188" s="12" t="s">
        <v>1697</v>
      </c>
    </row>
    <row r="2189" ht="22.5" hidden="1" customHeight="1">
      <c r="A2189" s="2" t="s">
        <v>1696</v>
      </c>
      <c r="B2189" s="2" t="s">
        <v>1184</v>
      </c>
      <c r="C2189" s="2" t="s">
        <v>1185</v>
      </c>
      <c r="D2189" s="8" t="s">
        <v>22</v>
      </c>
      <c r="E2189" s="9" t="s">
        <v>58</v>
      </c>
      <c r="F2189" s="33">
        <v>1.0</v>
      </c>
      <c r="G2189" s="33">
        <v>845.0</v>
      </c>
      <c r="H2189" s="35">
        <v>46155.0</v>
      </c>
      <c r="I2189" s="2" t="s">
        <v>14</v>
      </c>
      <c r="J2189" s="12" t="s">
        <v>1697</v>
      </c>
    </row>
    <row r="2190" ht="22.5" hidden="1" customHeight="1">
      <c r="A2190" s="2" t="s">
        <v>1696</v>
      </c>
      <c r="B2190" s="2" t="s">
        <v>1184</v>
      </c>
      <c r="C2190" s="2" t="s">
        <v>1185</v>
      </c>
      <c r="D2190" s="8" t="s">
        <v>22</v>
      </c>
      <c r="E2190" s="9" t="s">
        <v>23</v>
      </c>
      <c r="F2190" s="33">
        <v>1.0</v>
      </c>
      <c r="G2190" s="33">
        <v>845.0</v>
      </c>
      <c r="H2190" s="35">
        <v>46155.0</v>
      </c>
      <c r="I2190" s="2" t="s">
        <v>14</v>
      </c>
      <c r="J2190" s="12" t="s">
        <v>1697</v>
      </c>
    </row>
    <row r="2191" ht="22.5" hidden="1" customHeight="1">
      <c r="A2191" s="2" t="s">
        <v>295</v>
      </c>
      <c r="B2191" s="2" t="s">
        <v>762</v>
      </c>
      <c r="C2191" s="2" t="s">
        <v>763</v>
      </c>
      <c r="D2191" s="8" t="s">
        <v>46</v>
      </c>
      <c r="E2191" s="9" t="s">
        <v>295</v>
      </c>
      <c r="F2191" s="33">
        <v>1.0</v>
      </c>
      <c r="G2191" s="33">
        <v>1.0</v>
      </c>
      <c r="H2191" s="35">
        <v>46155.0</v>
      </c>
      <c r="I2191" s="2" t="s">
        <v>14</v>
      </c>
      <c r="J2191" s="12" t="s">
        <v>1031</v>
      </c>
    </row>
    <row r="2192" ht="22.5" hidden="1" customHeight="1">
      <c r="A2192" s="2" t="s">
        <v>1215</v>
      </c>
      <c r="B2192" s="2" t="s">
        <v>1612</v>
      </c>
      <c r="C2192" s="2">
        <v>8657.0</v>
      </c>
      <c r="D2192" s="8" t="s">
        <v>12</v>
      </c>
      <c r="E2192" s="9" t="s">
        <v>18</v>
      </c>
      <c r="F2192" s="33">
        <v>1.0</v>
      </c>
      <c r="G2192" s="33">
        <v>2100.0</v>
      </c>
      <c r="H2192" s="35">
        <v>46155.0</v>
      </c>
      <c r="I2192" s="2" t="s">
        <v>1183</v>
      </c>
      <c r="J2192" s="12" t="s">
        <v>1698</v>
      </c>
    </row>
    <row r="2193" ht="22.5" hidden="1" customHeight="1">
      <c r="A2193" s="2" t="s">
        <v>1215</v>
      </c>
      <c r="B2193" s="2" t="s">
        <v>1671</v>
      </c>
      <c r="C2193" s="2" t="s">
        <v>1672</v>
      </c>
      <c r="D2193" s="8" t="s">
        <v>46</v>
      </c>
      <c r="E2193" s="9" t="s">
        <v>47</v>
      </c>
      <c r="F2193" s="33">
        <v>1.0</v>
      </c>
      <c r="G2193" s="33">
        <v>1200.0</v>
      </c>
      <c r="H2193" s="35">
        <v>46155.0</v>
      </c>
      <c r="I2193" s="2" t="s">
        <v>473</v>
      </c>
      <c r="J2193" s="12" t="s">
        <v>1698</v>
      </c>
    </row>
    <row r="2194" ht="22.5" hidden="1" customHeight="1">
      <c r="A2194" s="2" t="s">
        <v>932</v>
      </c>
      <c r="B2194" s="2" t="s">
        <v>1523</v>
      </c>
      <c r="C2194" s="2" t="s">
        <v>1524</v>
      </c>
      <c r="D2194" s="8" t="s">
        <v>46</v>
      </c>
      <c r="E2194" s="9" t="s">
        <v>198</v>
      </c>
      <c r="F2194" s="33">
        <v>1.0</v>
      </c>
      <c r="G2194" s="33">
        <v>4200.0</v>
      </c>
      <c r="H2194" s="35">
        <v>46155.0</v>
      </c>
      <c r="I2194" s="2" t="s">
        <v>14</v>
      </c>
      <c r="J2194" s="12" t="s">
        <v>933</v>
      </c>
    </row>
    <row r="2195" ht="22.5" hidden="1" customHeight="1">
      <c r="A2195" s="2" t="s">
        <v>932</v>
      </c>
      <c r="B2195" s="2" t="s">
        <v>1232</v>
      </c>
      <c r="C2195" s="2" t="s">
        <v>1233</v>
      </c>
      <c r="D2195" s="8" t="s">
        <v>46</v>
      </c>
      <c r="E2195" s="9" t="s">
        <v>13</v>
      </c>
      <c r="F2195" s="33">
        <v>1.0</v>
      </c>
      <c r="G2195" s="33">
        <v>1550.0</v>
      </c>
      <c r="H2195" s="35">
        <v>46155.0</v>
      </c>
      <c r="I2195" s="2" t="s">
        <v>14</v>
      </c>
      <c r="J2195" s="12" t="s">
        <v>933</v>
      </c>
    </row>
    <row r="2196" ht="22.5" hidden="1" customHeight="1">
      <c r="A2196" s="2" t="s">
        <v>1699</v>
      </c>
      <c r="B2196" s="2" t="s">
        <v>1254</v>
      </c>
      <c r="C2196" s="2" t="s">
        <v>1255</v>
      </c>
      <c r="D2196" s="8" t="s">
        <v>22</v>
      </c>
      <c r="E2196" s="9" t="s">
        <v>1256</v>
      </c>
      <c r="F2196" s="33">
        <v>1.0</v>
      </c>
      <c r="G2196" s="33">
        <v>1200.0</v>
      </c>
      <c r="H2196" s="35">
        <v>46155.0</v>
      </c>
      <c r="I2196" s="2" t="s">
        <v>473</v>
      </c>
      <c r="J2196" s="12" t="s">
        <v>1700</v>
      </c>
    </row>
    <row r="2197" ht="22.5" hidden="1" customHeight="1">
      <c r="A2197" s="2" t="s">
        <v>1699</v>
      </c>
      <c r="B2197" s="2" t="s">
        <v>1254</v>
      </c>
      <c r="C2197" s="2" t="s">
        <v>1255</v>
      </c>
      <c r="D2197" s="8" t="s">
        <v>22</v>
      </c>
      <c r="E2197" s="9" t="s">
        <v>1260</v>
      </c>
      <c r="F2197" s="33">
        <v>1.0</v>
      </c>
      <c r="G2197" s="33">
        <v>1200.0</v>
      </c>
      <c r="H2197" s="35">
        <v>46155.0</v>
      </c>
      <c r="I2197" s="2" t="s">
        <v>1183</v>
      </c>
      <c r="J2197" s="12" t="s">
        <v>1700</v>
      </c>
    </row>
    <row r="2198" ht="22.5" hidden="1" customHeight="1">
      <c r="A2198" s="2" t="s">
        <v>1699</v>
      </c>
      <c r="B2198" s="2" t="s">
        <v>516</v>
      </c>
      <c r="C2198" s="2" t="s">
        <v>517</v>
      </c>
      <c r="D2198" s="8" t="s">
        <v>46</v>
      </c>
      <c r="E2198" s="9" t="s">
        <v>338</v>
      </c>
      <c r="F2198" s="33">
        <v>1.0</v>
      </c>
      <c r="G2198" s="33">
        <v>1390.0</v>
      </c>
      <c r="H2198" s="35">
        <v>46155.0</v>
      </c>
      <c r="I2198" s="2" t="s">
        <v>473</v>
      </c>
      <c r="J2198" s="12" t="s">
        <v>1700</v>
      </c>
    </row>
    <row r="2199" ht="22.5" hidden="1" customHeight="1">
      <c r="A2199" s="2" t="s">
        <v>1699</v>
      </c>
      <c r="B2199" s="2" t="s">
        <v>440</v>
      </c>
      <c r="C2199" s="2" t="s">
        <v>441</v>
      </c>
      <c r="D2199" s="8" t="s">
        <v>46</v>
      </c>
      <c r="E2199" s="9" t="s">
        <v>26</v>
      </c>
      <c r="F2199" s="33">
        <v>1.0</v>
      </c>
      <c r="G2199" s="33">
        <v>1200.0</v>
      </c>
      <c r="H2199" s="35">
        <v>46155.0</v>
      </c>
      <c r="I2199" s="2" t="s">
        <v>473</v>
      </c>
      <c r="J2199" s="12" t="s">
        <v>1700</v>
      </c>
    </row>
    <row r="2200" ht="22.5" hidden="1" customHeight="1">
      <c r="A2200" s="2" t="s">
        <v>32</v>
      </c>
      <c r="B2200" s="2" t="s">
        <v>516</v>
      </c>
      <c r="C2200" s="2" t="s">
        <v>517</v>
      </c>
      <c r="D2200" s="8" t="s">
        <v>46</v>
      </c>
      <c r="E2200" s="9" t="s">
        <v>338</v>
      </c>
      <c r="F2200" s="33">
        <v>2.0</v>
      </c>
      <c r="G2200" s="33">
        <v>1390.0</v>
      </c>
      <c r="H2200" s="35">
        <v>46155.0</v>
      </c>
      <c r="I2200" s="2" t="s">
        <v>14</v>
      </c>
      <c r="J2200" s="2"/>
    </row>
    <row r="2201" ht="22.5" hidden="1" customHeight="1">
      <c r="A2201" s="2" t="s">
        <v>1701</v>
      </c>
      <c r="B2201" s="2" t="s">
        <v>1612</v>
      </c>
      <c r="C2201" s="2">
        <v>8657.0</v>
      </c>
      <c r="D2201" s="8" t="s">
        <v>22</v>
      </c>
      <c r="E2201" s="9" t="s">
        <v>18</v>
      </c>
      <c r="F2201" s="33">
        <v>1.0</v>
      </c>
      <c r="G2201" s="33">
        <v>2100.0</v>
      </c>
      <c r="H2201" s="35">
        <v>46155.0</v>
      </c>
      <c r="I2201" s="2" t="s">
        <v>1183</v>
      </c>
      <c r="J2201" s="12" t="s">
        <v>1702</v>
      </c>
    </row>
    <row r="2202" ht="22.5" hidden="1" customHeight="1">
      <c r="A2202" s="2" t="s">
        <v>1703</v>
      </c>
      <c r="B2202" s="2" t="s">
        <v>1254</v>
      </c>
      <c r="C2202" s="2" t="s">
        <v>1255</v>
      </c>
      <c r="D2202" s="8" t="s">
        <v>989</v>
      </c>
      <c r="E2202" s="9" t="s">
        <v>1258</v>
      </c>
      <c r="F2202" s="33">
        <v>1.0</v>
      </c>
      <c r="G2202" s="33">
        <v>1200.0</v>
      </c>
      <c r="H2202" s="35">
        <v>46155.0</v>
      </c>
      <c r="I2202" s="2" t="s">
        <v>14</v>
      </c>
      <c r="J2202" s="12" t="s">
        <v>1704</v>
      </c>
    </row>
    <row r="2203" ht="22.5" hidden="1" customHeight="1">
      <c r="A2203" s="2" t="s">
        <v>1703</v>
      </c>
      <c r="B2203" s="2" t="s">
        <v>1254</v>
      </c>
      <c r="C2203" s="2" t="s">
        <v>1255</v>
      </c>
      <c r="D2203" s="8" t="s">
        <v>22</v>
      </c>
      <c r="E2203" s="9" t="s">
        <v>1256</v>
      </c>
      <c r="F2203" s="33">
        <v>1.0</v>
      </c>
      <c r="G2203" s="33">
        <v>1200.0</v>
      </c>
      <c r="H2203" s="35">
        <v>46155.0</v>
      </c>
      <c r="I2203" s="2" t="s">
        <v>14</v>
      </c>
      <c r="J2203" s="12" t="s">
        <v>1704</v>
      </c>
    </row>
    <row r="2204" ht="22.5" hidden="1" customHeight="1">
      <c r="A2204" s="2" t="s">
        <v>170</v>
      </c>
      <c r="B2204" s="2" t="s">
        <v>762</v>
      </c>
      <c r="C2204" s="2" t="s">
        <v>763</v>
      </c>
      <c r="D2204" s="8" t="s">
        <v>46</v>
      </c>
      <c r="E2204" s="9" t="s">
        <v>1705</v>
      </c>
      <c r="F2204" s="33">
        <v>1.0</v>
      </c>
      <c r="G2204" s="33">
        <v>1.0</v>
      </c>
      <c r="H2204" s="35">
        <v>46155.0</v>
      </c>
      <c r="I2204" s="2" t="s">
        <v>14</v>
      </c>
      <c r="J2204" s="2"/>
    </row>
    <row r="2205" ht="22.5" hidden="1" customHeight="1">
      <c r="A2205" s="2" t="s">
        <v>170</v>
      </c>
      <c r="B2205" s="2" t="s">
        <v>1232</v>
      </c>
      <c r="C2205" s="2" t="s">
        <v>1233</v>
      </c>
      <c r="D2205" s="8" t="s">
        <v>46</v>
      </c>
      <c r="E2205" s="9" t="s">
        <v>13</v>
      </c>
      <c r="F2205" s="33">
        <v>1.0</v>
      </c>
      <c r="G2205" s="33">
        <v>1550.0</v>
      </c>
      <c r="H2205" s="35">
        <v>46155.0</v>
      </c>
      <c r="I2205" s="2" t="s">
        <v>14</v>
      </c>
      <c r="J2205" s="2"/>
    </row>
    <row r="2206" ht="22.5" hidden="1" customHeight="1">
      <c r="A2206" s="2" t="s">
        <v>971</v>
      </c>
      <c r="B2206" s="2" t="s">
        <v>1184</v>
      </c>
      <c r="C2206" s="2" t="s">
        <v>1185</v>
      </c>
      <c r="D2206" s="8" t="s">
        <v>22</v>
      </c>
      <c r="E2206" s="9" t="s">
        <v>18</v>
      </c>
      <c r="F2206" s="33">
        <v>1.0</v>
      </c>
      <c r="G2206" s="33">
        <v>845.0</v>
      </c>
      <c r="H2206" s="35">
        <v>46155.0</v>
      </c>
      <c r="I2206" s="2" t="s">
        <v>473</v>
      </c>
      <c r="J2206" s="12" t="s">
        <v>1706</v>
      </c>
    </row>
    <row r="2207" ht="22.5" hidden="1" customHeight="1">
      <c r="A2207" s="2" t="s">
        <v>971</v>
      </c>
      <c r="B2207" s="2" t="s">
        <v>1184</v>
      </c>
      <c r="C2207" s="2" t="s">
        <v>1185</v>
      </c>
      <c r="D2207" s="8" t="s">
        <v>22</v>
      </c>
      <c r="E2207" s="9" t="s">
        <v>23</v>
      </c>
      <c r="F2207" s="33">
        <v>1.0</v>
      </c>
      <c r="G2207" s="33">
        <v>845.0</v>
      </c>
      <c r="H2207" s="35">
        <v>46155.0</v>
      </c>
      <c r="I2207" s="2" t="s">
        <v>473</v>
      </c>
      <c r="J2207" s="12" t="s">
        <v>1706</v>
      </c>
    </row>
    <row r="2208" ht="22.5" hidden="1" customHeight="1">
      <c r="A2208" s="2" t="s">
        <v>1707</v>
      </c>
      <c r="B2208" s="2" t="s">
        <v>1212</v>
      </c>
      <c r="C2208" s="2">
        <v>92212.0</v>
      </c>
      <c r="D2208" s="8" t="s">
        <v>46</v>
      </c>
      <c r="E2208" s="9" t="s">
        <v>16</v>
      </c>
      <c r="F2208" s="33">
        <v>1.0</v>
      </c>
      <c r="G2208" s="33">
        <v>1700.0</v>
      </c>
      <c r="H2208" s="35">
        <v>46155.0</v>
      </c>
      <c r="I2208" s="2" t="s">
        <v>473</v>
      </c>
      <c r="J2208" s="12" t="s">
        <v>1708</v>
      </c>
    </row>
    <row r="2209" ht="22.5" hidden="1" customHeight="1">
      <c r="A2209" s="2" t="s">
        <v>351</v>
      </c>
      <c r="B2209" s="2" t="s">
        <v>762</v>
      </c>
      <c r="C2209" s="2" t="s">
        <v>763</v>
      </c>
      <c r="D2209" s="8" t="s">
        <v>46</v>
      </c>
      <c r="E2209" s="9" t="s">
        <v>1709</v>
      </c>
      <c r="F2209" s="33">
        <v>1.0</v>
      </c>
      <c r="G2209" s="33">
        <v>1850.0</v>
      </c>
      <c r="H2209" s="35">
        <v>46156.0</v>
      </c>
      <c r="I2209" s="2" t="s">
        <v>473</v>
      </c>
      <c r="J2209" s="2"/>
    </row>
    <row r="2210" ht="22.5" hidden="1" customHeight="1">
      <c r="A2210" s="2" t="s">
        <v>71</v>
      </c>
      <c r="B2210" s="2" t="s">
        <v>762</v>
      </c>
      <c r="C2210" s="2" t="s">
        <v>763</v>
      </c>
      <c r="D2210" s="8" t="s">
        <v>46</v>
      </c>
      <c r="E2210" s="9" t="s">
        <v>1710</v>
      </c>
      <c r="F2210" s="33">
        <v>1.0</v>
      </c>
      <c r="G2210" s="33">
        <v>1750.0</v>
      </c>
      <c r="H2210" s="35">
        <v>46156.0</v>
      </c>
      <c r="I2210" s="2" t="s">
        <v>14</v>
      </c>
      <c r="J2210" s="12" t="s">
        <v>955</v>
      </c>
    </row>
    <row r="2211" ht="22.5" hidden="1" customHeight="1">
      <c r="A2211" s="2" t="s">
        <v>1045</v>
      </c>
      <c r="B2211" s="2" t="s">
        <v>1676</v>
      </c>
      <c r="C2211" s="2">
        <v>9408.0</v>
      </c>
      <c r="D2211" s="8" t="s">
        <v>22</v>
      </c>
      <c r="E2211" s="9" t="s">
        <v>23</v>
      </c>
      <c r="F2211" s="33">
        <v>1.0</v>
      </c>
      <c r="G2211" s="33">
        <v>1650.0</v>
      </c>
      <c r="H2211" s="35">
        <v>46156.0</v>
      </c>
      <c r="I2211" s="2" t="s">
        <v>14</v>
      </c>
      <c r="J2211" s="12" t="s">
        <v>1711</v>
      </c>
    </row>
    <row r="2212" ht="22.5" hidden="1" customHeight="1">
      <c r="A2212" s="2" t="s">
        <v>122</v>
      </c>
      <c r="B2212" s="2" t="s">
        <v>1626</v>
      </c>
      <c r="C2212" s="2" t="s">
        <v>1627</v>
      </c>
      <c r="D2212" s="8" t="s">
        <v>75</v>
      </c>
      <c r="E2212" s="9">
        <v>1.0</v>
      </c>
      <c r="F2212" s="33">
        <v>1.0</v>
      </c>
      <c r="G2212" s="33">
        <v>1100.0</v>
      </c>
      <c r="H2212" s="35">
        <v>46156.0</v>
      </c>
      <c r="I2212" s="2" t="s">
        <v>14</v>
      </c>
      <c r="J2212" s="12" t="s">
        <v>1248</v>
      </c>
    </row>
    <row r="2213" ht="22.5" hidden="1" customHeight="1">
      <c r="A2213" s="2" t="s">
        <v>122</v>
      </c>
      <c r="B2213" s="2" t="s">
        <v>1626</v>
      </c>
      <c r="C2213" s="2" t="s">
        <v>1627</v>
      </c>
      <c r="D2213" s="8" t="s">
        <v>75</v>
      </c>
      <c r="E2213" s="9">
        <v>3.0</v>
      </c>
      <c r="F2213" s="33">
        <v>1.0</v>
      </c>
      <c r="G2213" s="33">
        <v>1100.0</v>
      </c>
      <c r="H2213" s="35">
        <v>46156.0</v>
      </c>
      <c r="I2213" s="2" t="s">
        <v>14</v>
      </c>
      <c r="J2213" s="12" t="s">
        <v>1248</v>
      </c>
    </row>
    <row r="2214" ht="22.5" hidden="1" customHeight="1">
      <c r="A2214" s="2" t="s">
        <v>202</v>
      </c>
      <c r="B2214" s="2" t="s">
        <v>1671</v>
      </c>
      <c r="C2214" s="2" t="s">
        <v>1672</v>
      </c>
      <c r="D2214" s="8" t="s">
        <v>46</v>
      </c>
      <c r="E2214" s="9" t="s">
        <v>47</v>
      </c>
      <c r="F2214" s="33">
        <v>1.0</v>
      </c>
      <c r="G2214" s="33">
        <v>1200.0</v>
      </c>
      <c r="H2214" s="35">
        <v>46156.0</v>
      </c>
      <c r="I2214" s="2" t="s">
        <v>14</v>
      </c>
      <c r="J2214" s="12" t="s">
        <v>1712</v>
      </c>
    </row>
    <row r="2215" ht="22.5" hidden="1" customHeight="1">
      <c r="A2215" s="2" t="s">
        <v>1175</v>
      </c>
      <c r="B2215" s="2" t="s">
        <v>1671</v>
      </c>
      <c r="C2215" s="2" t="s">
        <v>1672</v>
      </c>
      <c r="D2215" s="8" t="s">
        <v>46</v>
      </c>
      <c r="E2215" s="9" t="s">
        <v>47</v>
      </c>
      <c r="F2215" s="33">
        <v>1.0</v>
      </c>
      <c r="G2215" s="33">
        <v>1200.0</v>
      </c>
      <c r="H2215" s="35">
        <v>46156.0</v>
      </c>
      <c r="I2215" s="2" t="s">
        <v>14</v>
      </c>
      <c r="J2215" s="12" t="s">
        <v>1177</v>
      </c>
    </row>
    <row r="2216" ht="22.5" hidden="1" customHeight="1">
      <c r="A2216" s="2" t="s">
        <v>71</v>
      </c>
      <c r="B2216" s="2" t="s">
        <v>1671</v>
      </c>
      <c r="C2216" s="2" t="s">
        <v>1672</v>
      </c>
      <c r="D2216" s="8" t="s">
        <v>46</v>
      </c>
      <c r="E2216" s="9" t="s">
        <v>47</v>
      </c>
      <c r="F2216" s="33">
        <v>1.0</v>
      </c>
      <c r="G2216" s="33">
        <v>1200.0</v>
      </c>
      <c r="H2216" s="35">
        <v>46156.0</v>
      </c>
      <c r="I2216" s="2" t="s">
        <v>14</v>
      </c>
      <c r="J2216" s="12" t="s">
        <v>955</v>
      </c>
    </row>
    <row r="2217" ht="22.5" hidden="1" customHeight="1">
      <c r="A2217" s="2" t="s">
        <v>1713</v>
      </c>
      <c r="B2217" s="2" t="s">
        <v>1671</v>
      </c>
      <c r="C2217" s="2" t="s">
        <v>1672</v>
      </c>
      <c r="D2217" s="8" t="s">
        <v>46</v>
      </c>
      <c r="E2217" s="9" t="s">
        <v>47</v>
      </c>
      <c r="F2217" s="33">
        <v>1.0</v>
      </c>
      <c r="G2217" s="33">
        <v>1200.0</v>
      </c>
      <c r="H2217" s="35">
        <v>46156.0</v>
      </c>
      <c r="I2217" s="2" t="s">
        <v>14</v>
      </c>
      <c r="J2217" s="12" t="s">
        <v>1714</v>
      </c>
    </row>
    <row r="2218" ht="22.5" hidden="1" customHeight="1">
      <c r="A2218" s="2" t="s">
        <v>1309</v>
      </c>
      <c r="B2218" s="2" t="s">
        <v>1671</v>
      </c>
      <c r="C2218" s="2" t="s">
        <v>1672</v>
      </c>
      <c r="D2218" s="8" t="s">
        <v>46</v>
      </c>
      <c r="E2218" s="9" t="s">
        <v>47</v>
      </c>
      <c r="F2218" s="33">
        <v>1.0</v>
      </c>
      <c r="G2218" s="33">
        <v>1200.0</v>
      </c>
      <c r="H2218" s="35">
        <v>46156.0</v>
      </c>
      <c r="I2218" s="2" t="s">
        <v>14</v>
      </c>
      <c r="J2218" s="12" t="s">
        <v>1310</v>
      </c>
    </row>
    <row r="2219" ht="22.5" hidden="1" customHeight="1">
      <c r="A2219" s="2" t="s">
        <v>313</v>
      </c>
      <c r="B2219" s="2" t="s">
        <v>1671</v>
      </c>
      <c r="C2219" s="2" t="s">
        <v>1672</v>
      </c>
      <c r="D2219" s="8" t="s">
        <v>46</v>
      </c>
      <c r="E2219" s="9" t="s">
        <v>47</v>
      </c>
      <c r="F2219" s="33">
        <v>1.0</v>
      </c>
      <c r="G2219" s="33">
        <v>1200.0</v>
      </c>
      <c r="H2219" s="35">
        <v>46156.0</v>
      </c>
      <c r="I2219" s="2" t="s">
        <v>14</v>
      </c>
      <c r="J2219" s="12" t="s">
        <v>1216</v>
      </c>
    </row>
    <row r="2220" ht="22.5" hidden="1" customHeight="1">
      <c r="A2220" s="2" t="s">
        <v>32</v>
      </c>
      <c r="B2220" s="2" t="s">
        <v>1671</v>
      </c>
      <c r="C2220" s="2" t="s">
        <v>1672</v>
      </c>
      <c r="D2220" s="8" t="s">
        <v>46</v>
      </c>
      <c r="E2220" s="9" t="s">
        <v>47</v>
      </c>
      <c r="F2220" s="33">
        <v>1.0</v>
      </c>
      <c r="G2220" s="33">
        <v>1200.0</v>
      </c>
      <c r="H2220" s="35">
        <v>46156.0</v>
      </c>
      <c r="I2220" s="2" t="s">
        <v>14</v>
      </c>
      <c r="J2220" s="2"/>
    </row>
    <row r="2221" ht="22.5" hidden="1" customHeight="1">
      <c r="A2221" s="2" t="s">
        <v>1715</v>
      </c>
      <c r="B2221" s="2" t="s">
        <v>1671</v>
      </c>
      <c r="C2221" s="2" t="s">
        <v>1672</v>
      </c>
      <c r="D2221" s="8" t="s">
        <v>46</v>
      </c>
      <c r="E2221" s="9" t="s">
        <v>47</v>
      </c>
      <c r="F2221" s="33">
        <v>1.0</v>
      </c>
      <c r="G2221" s="33">
        <v>1200.0</v>
      </c>
      <c r="H2221" s="35">
        <v>46156.0</v>
      </c>
      <c r="I2221" s="2" t="s">
        <v>1183</v>
      </c>
      <c r="J2221" s="12" t="s">
        <v>1716</v>
      </c>
    </row>
    <row r="2222" ht="22.5" hidden="1" customHeight="1">
      <c r="A2222" s="2" t="s">
        <v>895</v>
      </c>
      <c r="B2222" s="2" t="s">
        <v>1671</v>
      </c>
      <c r="C2222" s="2" t="s">
        <v>1672</v>
      </c>
      <c r="D2222" s="8" t="s">
        <v>46</v>
      </c>
      <c r="E2222" s="9" t="s">
        <v>47</v>
      </c>
      <c r="F2222" s="33">
        <v>1.0</v>
      </c>
      <c r="G2222" s="33">
        <v>1200.0</v>
      </c>
      <c r="H2222" s="35">
        <v>46156.0</v>
      </c>
      <c r="I2222" s="2" t="s">
        <v>14</v>
      </c>
      <c r="J2222" s="12" t="s">
        <v>1717</v>
      </c>
    </row>
    <row r="2223" ht="22.5" hidden="1" customHeight="1">
      <c r="A2223" s="2" t="s">
        <v>247</v>
      </c>
      <c r="B2223" s="2" t="s">
        <v>1671</v>
      </c>
      <c r="C2223" s="2" t="s">
        <v>1672</v>
      </c>
      <c r="D2223" s="8" t="s">
        <v>46</v>
      </c>
      <c r="E2223" s="9" t="s">
        <v>47</v>
      </c>
      <c r="F2223" s="33">
        <v>1.0</v>
      </c>
      <c r="G2223" s="33">
        <v>1200.0</v>
      </c>
      <c r="H2223" s="35">
        <v>46156.0</v>
      </c>
      <c r="I2223" s="2" t="s">
        <v>14</v>
      </c>
      <c r="J2223" s="12" t="s">
        <v>416</v>
      </c>
    </row>
    <row r="2224" ht="22.5" hidden="1" customHeight="1">
      <c r="A2224" s="2" t="s">
        <v>127</v>
      </c>
      <c r="B2224" s="2" t="s">
        <v>1671</v>
      </c>
      <c r="C2224" s="2" t="s">
        <v>1672</v>
      </c>
      <c r="D2224" s="8" t="s">
        <v>46</v>
      </c>
      <c r="E2224" s="9" t="s">
        <v>47</v>
      </c>
      <c r="F2224" s="33">
        <v>1.0</v>
      </c>
      <c r="G2224" s="33">
        <v>1200.0</v>
      </c>
      <c r="H2224" s="35">
        <v>46156.0</v>
      </c>
      <c r="I2224" s="2" t="s">
        <v>14</v>
      </c>
      <c r="J2224" s="12" t="s">
        <v>1012</v>
      </c>
    </row>
    <row r="2225" ht="22.5" hidden="1" customHeight="1">
      <c r="A2225" s="2" t="s">
        <v>1718</v>
      </c>
      <c r="B2225" s="2" t="s">
        <v>1671</v>
      </c>
      <c r="C2225" s="2" t="s">
        <v>1672</v>
      </c>
      <c r="D2225" s="8" t="s">
        <v>46</v>
      </c>
      <c r="E2225" s="9" t="s">
        <v>47</v>
      </c>
      <c r="F2225" s="33">
        <v>1.0</v>
      </c>
      <c r="G2225" s="33">
        <v>1200.0</v>
      </c>
      <c r="H2225" s="35">
        <v>46156.0</v>
      </c>
      <c r="I2225" s="2" t="s">
        <v>14</v>
      </c>
      <c r="J2225" s="12" t="s">
        <v>1719</v>
      </c>
    </row>
    <row r="2226" ht="22.5" hidden="1" customHeight="1">
      <c r="A2226" s="2" t="s">
        <v>1388</v>
      </c>
      <c r="B2226" s="2" t="s">
        <v>1671</v>
      </c>
      <c r="C2226" s="2" t="s">
        <v>1672</v>
      </c>
      <c r="D2226" s="8" t="s">
        <v>46</v>
      </c>
      <c r="E2226" s="9" t="s">
        <v>47</v>
      </c>
      <c r="F2226" s="33">
        <v>1.0</v>
      </c>
      <c r="G2226" s="33">
        <v>1200.0</v>
      </c>
      <c r="H2226" s="35">
        <v>46156.0</v>
      </c>
      <c r="I2226" s="2" t="s">
        <v>14</v>
      </c>
      <c r="J2226" s="12" t="s">
        <v>1389</v>
      </c>
    </row>
    <row r="2227" ht="22.5" hidden="1" customHeight="1">
      <c r="A2227" s="2" t="s">
        <v>1720</v>
      </c>
      <c r="B2227" s="2" t="s">
        <v>1676</v>
      </c>
      <c r="C2227" s="2">
        <v>9408.0</v>
      </c>
      <c r="D2227" s="8" t="s">
        <v>12</v>
      </c>
      <c r="E2227" s="9" t="s">
        <v>23</v>
      </c>
      <c r="F2227" s="33">
        <v>1.0</v>
      </c>
      <c r="G2227" s="33">
        <v>1650.0</v>
      </c>
      <c r="H2227" s="35">
        <v>46156.0</v>
      </c>
      <c r="I2227" s="2" t="s">
        <v>14</v>
      </c>
      <c r="J2227" s="12" t="s">
        <v>1721</v>
      </c>
    </row>
    <row r="2228" ht="22.5" hidden="1" customHeight="1">
      <c r="A2228" s="2" t="s">
        <v>1022</v>
      </c>
      <c r="B2228" s="2" t="s">
        <v>1676</v>
      </c>
      <c r="C2228" s="2">
        <v>9408.0</v>
      </c>
      <c r="D2228" s="8" t="s">
        <v>22</v>
      </c>
      <c r="E2228" s="9" t="s">
        <v>23</v>
      </c>
      <c r="F2228" s="33">
        <v>1.0</v>
      </c>
      <c r="G2228" s="33">
        <v>1650.0</v>
      </c>
      <c r="H2228" s="35">
        <v>46156.0</v>
      </c>
      <c r="I2228" s="2" t="s">
        <v>473</v>
      </c>
      <c r="J2228" s="12" t="s">
        <v>1023</v>
      </c>
    </row>
    <row r="2229" ht="22.5" hidden="1" customHeight="1">
      <c r="A2229" s="2" t="s">
        <v>80</v>
      </c>
      <c r="B2229" s="2" t="s">
        <v>1676</v>
      </c>
      <c r="C2229" s="2">
        <v>9408.0</v>
      </c>
      <c r="D2229" s="8" t="s">
        <v>22</v>
      </c>
      <c r="E2229" s="9" t="s">
        <v>18</v>
      </c>
      <c r="F2229" s="33">
        <v>1.0</v>
      </c>
      <c r="G2229" s="33">
        <v>1650.0</v>
      </c>
      <c r="H2229" s="35">
        <v>46156.0</v>
      </c>
      <c r="I2229" s="2" t="s">
        <v>473</v>
      </c>
      <c r="J2229" s="12" t="s">
        <v>1237</v>
      </c>
    </row>
    <row r="2230" ht="22.5" hidden="1" customHeight="1">
      <c r="A2230" s="2" t="s">
        <v>451</v>
      </c>
      <c r="B2230" s="2" t="s">
        <v>1676</v>
      </c>
      <c r="C2230" s="2">
        <v>9408.0</v>
      </c>
      <c r="D2230" s="8" t="s">
        <v>12</v>
      </c>
      <c r="E2230" s="9" t="s">
        <v>23</v>
      </c>
      <c r="F2230" s="33">
        <v>1.0</v>
      </c>
      <c r="G2230" s="33">
        <v>1650.0</v>
      </c>
      <c r="H2230" s="35">
        <v>46156.0</v>
      </c>
      <c r="I2230" s="2" t="s">
        <v>473</v>
      </c>
      <c r="J2230" s="12" t="s">
        <v>1722</v>
      </c>
    </row>
    <row r="2231" ht="22.5" hidden="1" customHeight="1">
      <c r="A2231" s="2" t="s">
        <v>1118</v>
      </c>
      <c r="B2231" s="2" t="s">
        <v>1723</v>
      </c>
      <c r="C2231" s="2">
        <v>9064.0</v>
      </c>
      <c r="D2231" s="8" t="s">
        <v>12</v>
      </c>
      <c r="E2231" s="9" t="s">
        <v>18</v>
      </c>
      <c r="F2231" s="33">
        <v>1.0</v>
      </c>
      <c r="G2231" s="33">
        <v>1590.0</v>
      </c>
      <c r="H2231" s="35">
        <v>46156.0</v>
      </c>
      <c r="I2231" s="2" t="s">
        <v>473</v>
      </c>
      <c r="J2231" s="12" t="s">
        <v>1119</v>
      </c>
    </row>
    <row r="2232" ht="22.5" hidden="1" customHeight="1">
      <c r="A2232" s="2" t="s">
        <v>1724</v>
      </c>
      <c r="B2232" s="2" t="s">
        <v>1723</v>
      </c>
      <c r="C2232" s="2">
        <v>9064.0</v>
      </c>
      <c r="D2232" s="8" t="s">
        <v>22</v>
      </c>
      <c r="E2232" s="9" t="s">
        <v>18</v>
      </c>
      <c r="F2232" s="33">
        <v>1.0</v>
      </c>
      <c r="G2232" s="33">
        <v>1590.0</v>
      </c>
      <c r="H2232" s="35">
        <v>46156.0</v>
      </c>
      <c r="I2232" s="2" t="s">
        <v>473</v>
      </c>
      <c r="J2232" s="12" t="s">
        <v>1725</v>
      </c>
    </row>
    <row r="2233" ht="22.5" hidden="1" customHeight="1">
      <c r="A2233" s="2" t="s">
        <v>1090</v>
      </c>
      <c r="B2233" s="2" t="s">
        <v>1723</v>
      </c>
      <c r="C2233" s="2">
        <v>9064.0</v>
      </c>
      <c r="D2233" s="8" t="s">
        <v>22</v>
      </c>
      <c r="E2233" s="9" t="s">
        <v>47</v>
      </c>
      <c r="F2233" s="33">
        <v>1.0</v>
      </c>
      <c r="G2233" s="33">
        <v>1590.0</v>
      </c>
      <c r="H2233" s="35">
        <v>46156.0</v>
      </c>
      <c r="I2233" s="2" t="s">
        <v>1183</v>
      </c>
      <c r="J2233" s="12" t="s">
        <v>1726</v>
      </c>
    </row>
    <row r="2234" ht="22.5" hidden="1" customHeight="1">
      <c r="A2234" s="2" t="s">
        <v>1296</v>
      </c>
      <c r="B2234" s="2" t="s">
        <v>1723</v>
      </c>
      <c r="C2234" s="2">
        <v>9064.0</v>
      </c>
      <c r="D2234" s="8" t="s">
        <v>12</v>
      </c>
      <c r="E2234" s="9" t="s">
        <v>18</v>
      </c>
      <c r="F2234" s="33">
        <v>1.0</v>
      </c>
      <c r="G2234" s="33">
        <v>1590.0</v>
      </c>
      <c r="H2234" s="35">
        <v>46156.0</v>
      </c>
      <c r="I2234" s="2" t="s">
        <v>14</v>
      </c>
      <c r="J2234" s="12" t="s">
        <v>1727</v>
      </c>
    </row>
    <row r="2235" ht="22.5" hidden="1" customHeight="1">
      <c r="A2235" s="2" t="s">
        <v>1728</v>
      </c>
      <c r="B2235" s="2" t="s">
        <v>1723</v>
      </c>
      <c r="C2235" s="2">
        <v>9064.0</v>
      </c>
      <c r="D2235" s="8" t="s">
        <v>12</v>
      </c>
      <c r="E2235" s="9" t="s">
        <v>18</v>
      </c>
      <c r="F2235" s="33">
        <v>1.0</v>
      </c>
      <c r="G2235" s="33">
        <v>1590.0</v>
      </c>
      <c r="H2235" s="35">
        <v>46156.0</v>
      </c>
      <c r="I2235" s="2" t="s">
        <v>473</v>
      </c>
      <c r="J2235" s="12" t="s">
        <v>1729</v>
      </c>
    </row>
    <row r="2236" ht="22.5" hidden="1" customHeight="1">
      <c r="A2236" s="2" t="s">
        <v>25</v>
      </c>
      <c r="B2236" s="2" t="s">
        <v>1723</v>
      </c>
      <c r="C2236" s="2">
        <v>9064.0</v>
      </c>
      <c r="D2236" s="8" t="s">
        <v>12</v>
      </c>
      <c r="E2236" s="9" t="s">
        <v>18</v>
      </c>
      <c r="F2236" s="33">
        <v>1.0</v>
      </c>
      <c r="G2236" s="33">
        <v>1590.0</v>
      </c>
      <c r="H2236" s="35">
        <v>46156.0</v>
      </c>
      <c r="I2236" s="2" t="s">
        <v>14</v>
      </c>
      <c r="J2236" s="12" t="s">
        <v>1228</v>
      </c>
    </row>
    <row r="2237" ht="22.5" hidden="1" customHeight="1">
      <c r="A2237" s="2" t="s">
        <v>1730</v>
      </c>
      <c r="B2237" s="2" t="s">
        <v>1622</v>
      </c>
      <c r="C2237" s="2" t="s">
        <v>1623</v>
      </c>
      <c r="D2237" s="8" t="s">
        <v>22</v>
      </c>
      <c r="E2237" s="9" t="s">
        <v>18</v>
      </c>
      <c r="F2237" s="33">
        <v>1.0</v>
      </c>
      <c r="G2237" s="33">
        <v>1200.0</v>
      </c>
      <c r="H2237" s="35">
        <v>46156.0</v>
      </c>
      <c r="I2237" s="2" t="s">
        <v>473</v>
      </c>
      <c r="J2237" s="12" t="s">
        <v>1731</v>
      </c>
    </row>
    <row r="2238" ht="22.5" hidden="1" customHeight="1">
      <c r="A2238" s="2" t="s">
        <v>1730</v>
      </c>
      <c r="B2238" s="2" t="s">
        <v>1622</v>
      </c>
      <c r="C2238" s="2" t="s">
        <v>1623</v>
      </c>
      <c r="D2238" s="8" t="s">
        <v>22</v>
      </c>
      <c r="E2238" s="9" t="s">
        <v>13</v>
      </c>
      <c r="F2238" s="33">
        <v>1.0</v>
      </c>
      <c r="G2238" s="33">
        <v>1200.0</v>
      </c>
      <c r="H2238" s="35">
        <v>46156.0</v>
      </c>
      <c r="I2238" s="2" t="s">
        <v>473</v>
      </c>
      <c r="J2238" s="12" t="s">
        <v>1731</v>
      </c>
    </row>
    <row r="2239" ht="22.5" hidden="1" customHeight="1">
      <c r="A2239" s="2" t="s">
        <v>202</v>
      </c>
      <c r="B2239" s="2" t="s">
        <v>1622</v>
      </c>
      <c r="C2239" s="2" t="s">
        <v>1623</v>
      </c>
      <c r="D2239" s="8" t="s">
        <v>22</v>
      </c>
      <c r="E2239" s="9" t="s">
        <v>18</v>
      </c>
      <c r="F2239" s="33">
        <v>1.0</v>
      </c>
      <c r="G2239" s="33">
        <v>1200.0</v>
      </c>
      <c r="H2239" s="35">
        <v>46156.0</v>
      </c>
      <c r="I2239" s="2" t="s">
        <v>14</v>
      </c>
      <c r="J2239" s="12" t="s">
        <v>1712</v>
      </c>
    </row>
    <row r="2240" ht="22.5" hidden="1" customHeight="1">
      <c r="A2240" s="2" t="s">
        <v>202</v>
      </c>
      <c r="B2240" s="2" t="s">
        <v>1622</v>
      </c>
      <c r="C2240" s="2" t="s">
        <v>1623</v>
      </c>
      <c r="D2240" s="8" t="s">
        <v>22</v>
      </c>
      <c r="E2240" s="9" t="s">
        <v>13</v>
      </c>
      <c r="F2240" s="33">
        <v>1.0</v>
      </c>
      <c r="G2240" s="33">
        <v>1200.0</v>
      </c>
      <c r="H2240" s="35">
        <v>46156.0</v>
      </c>
      <c r="I2240" s="2" t="s">
        <v>14</v>
      </c>
      <c r="J2240" s="12" t="s">
        <v>1712</v>
      </c>
    </row>
    <row r="2241" ht="22.5" hidden="1" customHeight="1">
      <c r="A2241" s="2" t="s">
        <v>202</v>
      </c>
      <c r="B2241" s="2" t="s">
        <v>1622</v>
      </c>
      <c r="C2241" s="2" t="s">
        <v>1623</v>
      </c>
      <c r="D2241" s="8" t="s">
        <v>75</v>
      </c>
      <c r="E2241" s="9" t="s">
        <v>18</v>
      </c>
      <c r="F2241" s="33">
        <v>1.0</v>
      </c>
      <c r="G2241" s="33">
        <v>1200.0</v>
      </c>
      <c r="H2241" s="35">
        <v>46156.0</v>
      </c>
      <c r="I2241" s="2" t="s">
        <v>14</v>
      </c>
      <c r="J2241" s="12" t="s">
        <v>1712</v>
      </c>
    </row>
    <row r="2242" ht="22.5" hidden="1" customHeight="1">
      <c r="A2242" s="2" t="s">
        <v>202</v>
      </c>
      <c r="B2242" s="2" t="s">
        <v>1622</v>
      </c>
      <c r="C2242" s="2" t="s">
        <v>1623</v>
      </c>
      <c r="D2242" s="8" t="s">
        <v>75</v>
      </c>
      <c r="E2242" s="9" t="s">
        <v>13</v>
      </c>
      <c r="F2242" s="33">
        <v>1.0</v>
      </c>
      <c r="G2242" s="33">
        <v>1200.0</v>
      </c>
      <c r="H2242" s="35">
        <v>46156.0</v>
      </c>
      <c r="I2242" s="2" t="s">
        <v>14</v>
      </c>
      <c r="J2242" s="12" t="s">
        <v>1712</v>
      </c>
    </row>
    <row r="2243" ht="22.5" hidden="1" customHeight="1">
      <c r="A2243" s="2" t="s">
        <v>1732</v>
      </c>
      <c r="B2243" s="2" t="s">
        <v>1622</v>
      </c>
      <c r="C2243" s="2" t="s">
        <v>1623</v>
      </c>
      <c r="D2243" s="8" t="s">
        <v>22</v>
      </c>
      <c r="E2243" s="9" t="s">
        <v>18</v>
      </c>
      <c r="F2243" s="33">
        <v>1.0</v>
      </c>
      <c r="G2243" s="33">
        <v>1200.0</v>
      </c>
      <c r="H2243" s="35">
        <v>46156.0</v>
      </c>
      <c r="I2243" s="2" t="s">
        <v>14</v>
      </c>
      <c r="J2243" s="12" t="s">
        <v>1733</v>
      </c>
    </row>
    <row r="2244" ht="22.5" hidden="1" customHeight="1">
      <c r="A2244" s="2" t="s">
        <v>1732</v>
      </c>
      <c r="B2244" s="2" t="s">
        <v>1622</v>
      </c>
      <c r="C2244" s="2" t="s">
        <v>1623</v>
      </c>
      <c r="D2244" s="8" t="s">
        <v>22</v>
      </c>
      <c r="E2244" s="9" t="s">
        <v>13</v>
      </c>
      <c r="F2244" s="33">
        <v>1.0</v>
      </c>
      <c r="G2244" s="33">
        <v>1200.0</v>
      </c>
      <c r="H2244" s="35">
        <v>46156.0</v>
      </c>
      <c r="I2244" s="2" t="s">
        <v>14</v>
      </c>
      <c r="J2244" s="12" t="s">
        <v>1733</v>
      </c>
    </row>
    <row r="2245" ht="22.5" hidden="1" customHeight="1">
      <c r="A2245" s="2" t="s">
        <v>1732</v>
      </c>
      <c r="B2245" s="2" t="s">
        <v>1619</v>
      </c>
      <c r="C2245" s="2" t="s">
        <v>1620</v>
      </c>
      <c r="D2245" s="8" t="s">
        <v>12</v>
      </c>
      <c r="E2245" s="9" t="s">
        <v>23</v>
      </c>
      <c r="F2245" s="33">
        <v>1.0</v>
      </c>
      <c r="G2245" s="33">
        <v>1650.0</v>
      </c>
      <c r="H2245" s="35">
        <v>46156.0</v>
      </c>
      <c r="I2245" s="2" t="s">
        <v>14</v>
      </c>
      <c r="J2245" s="12" t="s">
        <v>1733</v>
      </c>
    </row>
    <row r="2246" ht="22.5" hidden="1" customHeight="1">
      <c r="A2246" s="2" t="s">
        <v>839</v>
      </c>
      <c r="B2246" s="2" t="s">
        <v>1622</v>
      </c>
      <c r="C2246" s="2" t="s">
        <v>1623</v>
      </c>
      <c r="D2246" s="8" t="s">
        <v>989</v>
      </c>
      <c r="E2246" s="9" t="s">
        <v>18</v>
      </c>
      <c r="F2246" s="33">
        <v>1.0</v>
      </c>
      <c r="G2246" s="33">
        <v>1200.0</v>
      </c>
      <c r="H2246" s="35">
        <v>46156.0</v>
      </c>
      <c r="I2246" s="2" t="s">
        <v>14</v>
      </c>
      <c r="J2246" s="12" t="s">
        <v>1734</v>
      </c>
    </row>
    <row r="2247" ht="22.5" hidden="1" customHeight="1">
      <c r="A2247" s="2" t="s">
        <v>839</v>
      </c>
      <c r="B2247" s="2" t="s">
        <v>1622</v>
      </c>
      <c r="C2247" s="2" t="s">
        <v>1623</v>
      </c>
      <c r="D2247" s="8" t="s">
        <v>989</v>
      </c>
      <c r="E2247" s="9" t="s">
        <v>13</v>
      </c>
      <c r="F2247" s="33">
        <v>1.0</v>
      </c>
      <c r="G2247" s="33">
        <v>1200.0</v>
      </c>
      <c r="H2247" s="35">
        <v>46156.0</v>
      </c>
      <c r="I2247" s="2" t="s">
        <v>14</v>
      </c>
      <c r="J2247" s="12" t="s">
        <v>1734</v>
      </c>
    </row>
    <row r="2248" ht="22.5" hidden="1" customHeight="1">
      <c r="A2248" s="2" t="s">
        <v>1735</v>
      </c>
      <c r="B2248" s="2" t="s">
        <v>1622</v>
      </c>
      <c r="C2248" s="2" t="s">
        <v>1623</v>
      </c>
      <c r="D2248" s="8" t="s">
        <v>75</v>
      </c>
      <c r="E2248" s="9" t="s">
        <v>13</v>
      </c>
      <c r="F2248" s="33">
        <v>1.0</v>
      </c>
      <c r="G2248" s="33">
        <v>1200.0</v>
      </c>
      <c r="H2248" s="35">
        <v>46156.0</v>
      </c>
      <c r="I2248" s="2" t="s">
        <v>14</v>
      </c>
      <c r="J2248" s="12" t="s">
        <v>1736</v>
      </c>
    </row>
    <row r="2249" ht="22.5" hidden="1" customHeight="1">
      <c r="A2249" s="2" t="s">
        <v>1735</v>
      </c>
      <c r="B2249" s="2" t="s">
        <v>1622</v>
      </c>
      <c r="C2249" s="2" t="s">
        <v>1623</v>
      </c>
      <c r="D2249" s="8" t="s">
        <v>75</v>
      </c>
      <c r="E2249" s="9" t="s">
        <v>23</v>
      </c>
      <c r="F2249" s="33">
        <v>1.0</v>
      </c>
      <c r="G2249" s="33">
        <v>1200.0</v>
      </c>
      <c r="H2249" s="35">
        <v>46156.0</v>
      </c>
      <c r="I2249" s="2" t="s">
        <v>14</v>
      </c>
      <c r="J2249" s="12" t="s">
        <v>1736</v>
      </c>
    </row>
    <row r="2250" ht="22.5" hidden="1" customHeight="1">
      <c r="A2250" s="2" t="s">
        <v>575</v>
      </c>
      <c r="B2250" s="2" t="s">
        <v>1622</v>
      </c>
      <c r="C2250" s="2" t="s">
        <v>1623</v>
      </c>
      <c r="D2250" s="8" t="s">
        <v>75</v>
      </c>
      <c r="E2250" s="9" t="s">
        <v>23</v>
      </c>
      <c r="F2250" s="33">
        <v>1.0</v>
      </c>
      <c r="G2250" s="33">
        <v>1200.0</v>
      </c>
      <c r="H2250" s="35">
        <v>46156.0</v>
      </c>
      <c r="I2250" s="2" t="s">
        <v>473</v>
      </c>
      <c r="J2250" s="12" t="s">
        <v>1060</v>
      </c>
    </row>
    <row r="2251" ht="22.5" hidden="1" customHeight="1">
      <c r="A2251" s="2" t="s">
        <v>575</v>
      </c>
      <c r="B2251" s="2" t="s">
        <v>1622</v>
      </c>
      <c r="C2251" s="2" t="s">
        <v>1623</v>
      </c>
      <c r="D2251" s="8" t="s">
        <v>75</v>
      </c>
      <c r="E2251" s="9" t="s">
        <v>58</v>
      </c>
      <c r="F2251" s="33">
        <v>1.0</v>
      </c>
      <c r="G2251" s="33">
        <v>1200.0</v>
      </c>
      <c r="H2251" s="35">
        <v>46156.0</v>
      </c>
      <c r="I2251" s="2" t="s">
        <v>14</v>
      </c>
      <c r="J2251" s="12" t="s">
        <v>1060</v>
      </c>
    </row>
    <row r="2252" ht="22.5" hidden="1" customHeight="1">
      <c r="A2252" s="2" t="s">
        <v>1250</v>
      </c>
      <c r="B2252" s="2" t="s">
        <v>1622</v>
      </c>
      <c r="C2252" s="2" t="s">
        <v>1623</v>
      </c>
      <c r="D2252" s="8" t="s">
        <v>22</v>
      </c>
      <c r="E2252" s="9" t="s">
        <v>13</v>
      </c>
      <c r="F2252" s="33">
        <v>1.0</v>
      </c>
      <c r="G2252" s="33">
        <v>1200.0</v>
      </c>
      <c r="H2252" s="35">
        <v>46156.0</v>
      </c>
      <c r="I2252" s="2" t="s">
        <v>14</v>
      </c>
      <c r="J2252" s="12" t="s">
        <v>1737</v>
      </c>
    </row>
    <row r="2253" ht="22.5" hidden="1" customHeight="1">
      <c r="A2253" s="2" t="s">
        <v>1250</v>
      </c>
      <c r="B2253" s="2" t="s">
        <v>1622</v>
      </c>
      <c r="C2253" s="2" t="s">
        <v>1623</v>
      </c>
      <c r="D2253" s="8" t="s">
        <v>22</v>
      </c>
      <c r="E2253" s="9" t="s">
        <v>58</v>
      </c>
      <c r="F2253" s="33">
        <v>1.0</v>
      </c>
      <c r="G2253" s="33">
        <v>1200.0</v>
      </c>
      <c r="H2253" s="35">
        <v>46156.0</v>
      </c>
      <c r="I2253" s="2" t="s">
        <v>14</v>
      </c>
      <c r="J2253" s="12" t="s">
        <v>1737</v>
      </c>
    </row>
    <row r="2254" ht="22.5" hidden="1" customHeight="1">
      <c r="A2254" s="2" t="s">
        <v>978</v>
      </c>
      <c r="B2254" s="2" t="s">
        <v>1622</v>
      </c>
      <c r="C2254" s="2" t="s">
        <v>1623</v>
      </c>
      <c r="D2254" s="8" t="s">
        <v>22</v>
      </c>
      <c r="E2254" s="9" t="s">
        <v>58</v>
      </c>
      <c r="F2254" s="33">
        <v>1.0</v>
      </c>
      <c r="G2254" s="33">
        <v>1200.0</v>
      </c>
      <c r="H2254" s="35">
        <v>46156.0</v>
      </c>
      <c r="I2254" s="2" t="s">
        <v>14</v>
      </c>
      <c r="J2254" s="12" t="s">
        <v>1738</v>
      </c>
    </row>
    <row r="2255" ht="22.5" hidden="1" customHeight="1">
      <c r="A2255" s="2" t="s">
        <v>978</v>
      </c>
      <c r="B2255" s="2" t="s">
        <v>1622</v>
      </c>
      <c r="C2255" s="2" t="s">
        <v>1623</v>
      </c>
      <c r="D2255" s="8" t="s">
        <v>22</v>
      </c>
      <c r="E2255" s="9" t="s">
        <v>13</v>
      </c>
      <c r="F2255" s="33">
        <v>1.0</v>
      </c>
      <c r="G2255" s="33">
        <v>1200.0</v>
      </c>
      <c r="H2255" s="35">
        <v>46156.0</v>
      </c>
      <c r="I2255" s="2" t="s">
        <v>14</v>
      </c>
      <c r="J2255" s="12" t="s">
        <v>1738</v>
      </c>
    </row>
    <row r="2256" ht="22.5" hidden="1" customHeight="1">
      <c r="A2256" s="2" t="s">
        <v>1431</v>
      </c>
      <c r="B2256" s="2" t="s">
        <v>1622</v>
      </c>
      <c r="C2256" s="2" t="s">
        <v>1623</v>
      </c>
      <c r="D2256" s="8" t="s">
        <v>22</v>
      </c>
      <c r="E2256" s="9" t="s">
        <v>13</v>
      </c>
      <c r="F2256" s="33">
        <v>1.0</v>
      </c>
      <c r="G2256" s="33">
        <v>1200.0</v>
      </c>
      <c r="H2256" s="35">
        <v>46156.0</v>
      </c>
      <c r="I2256" s="2" t="s">
        <v>14</v>
      </c>
      <c r="J2256" s="12" t="s">
        <v>1432</v>
      </c>
    </row>
    <row r="2257" ht="22.5" hidden="1" customHeight="1">
      <c r="A2257" s="2" t="s">
        <v>1431</v>
      </c>
      <c r="B2257" s="2" t="s">
        <v>1622</v>
      </c>
      <c r="C2257" s="2" t="s">
        <v>1623</v>
      </c>
      <c r="D2257" s="8" t="s">
        <v>22</v>
      </c>
      <c r="E2257" s="9" t="s">
        <v>23</v>
      </c>
      <c r="F2257" s="33">
        <v>1.0</v>
      </c>
      <c r="G2257" s="33">
        <v>1200.0</v>
      </c>
      <c r="H2257" s="35">
        <v>46156.0</v>
      </c>
      <c r="I2257" s="2" t="s">
        <v>14</v>
      </c>
      <c r="J2257" s="12" t="s">
        <v>1432</v>
      </c>
    </row>
    <row r="2258" ht="22.5" hidden="1" customHeight="1">
      <c r="A2258" s="2" t="s">
        <v>122</v>
      </c>
      <c r="B2258" s="2" t="s">
        <v>1622</v>
      </c>
      <c r="C2258" s="2" t="s">
        <v>1623</v>
      </c>
      <c r="D2258" s="8" t="s">
        <v>75</v>
      </c>
      <c r="E2258" s="9" t="s">
        <v>13</v>
      </c>
      <c r="F2258" s="33">
        <v>1.0</v>
      </c>
      <c r="G2258" s="33">
        <v>1200.0</v>
      </c>
      <c r="H2258" s="35">
        <v>46156.0</v>
      </c>
      <c r="I2258" s="2" t="s">
        <v>14</v>
      </c>
      <c r="J2258" s="12" t="s">
        <v>1248</v>
      </c>
    </row>
    <row r="2259" ht="22.5" hidden="1" customHeight="1">
      <c r="A2259" s="2" t="s">
        <v>122</v>
      </c>
      <c r="B2259" s="2" t="s">
        <v>1622</v>
      </c>
      <c r="C2259" s="2" t="s">
        <v>1623</v>
      </c>
      <c r="D2259" s="8" t="s">
        <v>75</v>
      </c>
      <c r="E2259" s="9" t="s">
        <v>23</v>
      </c>
      <c r="F2259" s="33">
        <v>1.0</v>
      </c>
      <c r="G2259" s="33">
        <v>1200.0</v>
      </c>
      <c r="H2259" s="35">
        <v>46156.0</v>
      </c>
      <c r="I2259" s="2" t="s">
        <v>14</v>
      </c>
      <c r="J2259" s="12" t="s">
        <v>1248</v>
      </c>
    </row>
    <row r="2260" ht="22.5" hidden="1" customHeight="1">
      <c r="A2260" s="2" t="s">
        <v>1187</v>
      </c>
      <c r="B2260" s="2" t="s">
        <v>1622</v>
      </c>
      <c r="C2260" s="2" t="s">
        <v>1623</v>
      </c>
      <c r="D2260" s="8" t="s">
        <v>989</v>
      </c>
      <c r="E2260" s="9" t="s">
        <v>18</v>
      </c>
      <c r="F2260" s="33">
        <v>1.0</v>
      </c>
      <c r="G2260" s="33">
        <v>1200.0</v>
      </c>
      <c r="H2260" s="35">
        <v>46156.0</v>
      </c>
      <c r="I2260" s="2" t="s">
        <v>14</v>
      </c>
      <c r="J2260" s="12" t="s">
        <v>1188</v>
      </c>
    </row>
    <row r="2261" ht="22.5" hidden="1" customHeight="1">
      <c r="A2261" s="2" t="s">
        <v>1187</v>
      </c>
      <c r="B2261" s="2" t="s">
        <v>1622</v>
      </c>
      <c r="C2261" s="2" t="s">
        <v>1623</v>
      </c>
      <c r="D2261" s="8" t="s">
        <v>989</v>
      </c>
      <c r="E2261" s="9" t="s">
        <v>13</v>
      </c>
      <c r="F2261" s="33">
        <v>1.0</v>
      </c>
      <c r="G2261" s="33">
        <v>1200.0</v>
      </c>
      <c r="H2261" s="35">
        <v>46156.0</v>
      </c>
      <c r="I2261" s="2" t="s">
        <v>14</v>
      </c>
      <c r="J2261" s="12" t="s">
        <v>1188</v>
      </c>
    </row>
    <row r="2262" ht="22.5" hidden="1" customHeight="1">
      <c r="A2262" s="2" t="s">
        <v>1730</v>
      </c>
      <c r="B2262" s="2" t="s">
        <v>1619</v>
      </c>
      <c r="C2262" s="2" t="s">
        <v>1620</v>
      </c>
      <c r="D2262" s="8" t="s">
        <v>22</v>
      </c>
      <c r="E2262" s="9" t="s">
        <v>47</v>
      </c>
      <c r="F2262" s="33">
        <v>1.0</v>
      </c>
      <c r="G2262" s="33">
        <v>1650.0</v>
      </c>
      <c r="H2262" s="35">
        <v>46156.0</v>
      </c>
      <c r="I2262" s="2" t="s">
        <v>473</v>
      </c>
      <c r="J2262" s="12" t="s">
        <v>1731</v>
      </c>
    </row>
    <row r="2263" ht="22.5" hidden="1" customHeight="1">
      <c r="A2263" s="2" t="s">
        <v>1730</v>
      </c>
      <c r="B2263" s="2" t="s">
        <v>1619</v>
      </c>
      <c r="C2263" s="2" t="s">
        <v>1620</v>
      </c>
      <c r="D2263" s="8" t="s">
        <v>22</v>
      </c>
      <c r="E2263" s="9" t="s">
        <v>18</v>
      </c>
      <c r="F2263" s="33">
        <v>1.0</v>
      </c>
      <c r="G2263" s="33">
        <v>1650.0</v>
      </c>
      <c r="H2263" s="35">
        <v>46156.0</v>
      </c>
      <c r="I2263" s="2" t="s">
        <v>473</v>
      </c>
      <c r="J2263" s="12" t="s">
        <v>1731</v>
      </c>
    </row>
    <row r="2264" ht="22.5" hidden="1" customHeight="1">
      <c r="A2264" s="2" t="s">
        <v>1739</v>
      </c>
      <c r="B2264" s="2" t="s">
        <v>1619</v>
      </c>
      <c r="C2264" s="2" t="s">
        <v>1620</v>
      </c>
      <c r="D2264" s="8" t="s">
        <v>22</v>
      </c>
      <c r="E2264" s="9" t="s">
        <v>47</v>
      </c>
      <c r="F2264" s="33">
        <v>1.0</v>
      </c>
      <c r="G2264" s="33">
        <v>1650.0</v>
      </c>
      <c r="H2264" s="35">
        <v>46156.0</v>
      </c>
      <c r="I2264" s="2" t="s">
        <v>14</v>
      </c>
      <c r="J2264" s="12" t="s">
        <v>1740</v>
      </c>
    </row>
    <row r="2265" ht="22.5" hidden="1" customHeight="1">
      <c r="A2265" s="2" t="s">
        <v>1739</v>
      </c>
      <c r="B2265" s="2" t="s">
        <v>1619</v>
      </c>
      <c r="C2265" s="2" t="s">
        <v>1620</v>
      </c>
      <c r="D2265" s="8" t="s">
        <v>75</v>
      </c>
      <c r="E2265" s="9" t="s">
        <v>18</v>
      </c>
      <c r="F2265" s="33">
        <v>1.0</v>
      </c>
      <c r="G2265" s="33">
        <v>1650.0</v>
      </c>
      <c r="H2265" s="35">
        <v>46156.0</v>
      </c>
      <c r="I2265" s="2" t="s">
        <v>14</v>
      </c>
      <c r="J2265" s="12" t="s">
        <v>1740</v>
      </c>
    </row>
    <row r="2266" ht="22.5" hidden="1" customHeight="1">
      <c r="A2266" s="2" t="s">
        <v>732</v>
      </c>
      <c r="B2266" s="2" t="s">
        <v>1619</v>
      </c>
      <c r="C2266" s="2" t="s">
        <v>1620</v>
      </c>
      <c r="D2266" s="8" t="s">
        <v>22</v>
      </c>
      <c r="E2266" s="9" t="s">
        <v>914</v>
      </c>
      <c r="F2266" s="33">
        <v>1.0</v>
      </c>
      <c r="G2266" s="33">
        <v>1650.0</v>
      </c>
      <c r="H2266" s="35">
        <v>46156.0</v>
      </c>
      <c r="I2266" s="2" t="s">
        <v>14</v>
      </c>
      <c r="J2266" s="12" t="s">
        <v>1741</v>
      </c>
    </row>
    <row r="2267" ht="22.5" hidden="1" customHeight="1">
      <c r="A2267" s="2" t="s">
        <v>17</v>
      </c>
      <c r="B2267" s="2" t="s">
        <v>1619</v>
      </c>
      <c r="C2267" s="2" t="s">
        <v>1620</v>
      </c>
      <c r="D2267" s="8" t="s">
        <v>12</v>
      </c>
      <c r="E2267" s="9" t="s">
        <v>16</v>
      </c>
      <c r="F2267" s="33">
        <v>1.0</v>
      </c>
      <c r="G2267" s="33">
        <v>1650.0</v>
      </c>
      <c r="H2267" s="35">
        <v>46156.0</v>
      </c>
      <c r="I2267" s="2" t="s">
        <v>473</v>
      </c>
      <c r="J2267" s="12" t="s">
        <v>1742</v>
      </c>
    </row>
    <row r="2268" ht="22.5" hidden="1" customHeight="1">
      <c r="A2268" s="2" t="s">
        <v>80</v>
      </c>
      <c r="B2268" s="2" t="s">
        <v>1619</v>
      </c>
      <c r="C2268" s="2" t="s">
        <v>1620</v>
      </c>
      <c r="D2268" s="8" t="s">
        <v>12</v>
      </c>
      <c r="E2268" s="9" t="s">
        <v>18</v>
      </c>
      <c r="F2268" s="33">
        <v>1.0</v>
      </c>
      <c r="G2268" s="33">
        <v>1650.0</v>
      </c>
      <c r="H2268" s="35">
        <v>46156.0</v>
      </c>
      <c r="I2268" s="2" t="s">
        <v>473</v>
      </c>
      <c r="J2268" s="12" t="s">
        <v>1237</v>
      </c>
    </row>
    <row r="2269" ht="22.5" hidden="1" customHeight="1">
      <c r="A2269" s="2" t="s">
        <v>202</v>
      </c>
      <c r="B2269" s="2" t="s">
        <v>1619</v>
      </c>
      <c r="C2269" s="2" t="s">
        <v>1620</v>
      </c>
      <c r="D2269" s="8" t="s">
        <v>12</v>
      </c>
      <c r="E2269" s="9" t="s">
        <v>914</v>
      </c>
      <c r="F2269" s="33">
        <v>1.0</v>
      </c>
      <c r="G2269" s="33">
        <v>1650.0</v>
      </c>
      <c r="H2269" s="35">
        <v>46156.0</v>
      </c>
      <c r="I2269" s="2" t="s">
        <v>14</v>
      </c>
      <c r="J2269" s="12" t="s">
        <v>1712</v>
      </c>
    </row>
    <row r="2270" ht="22.5" hidden="1" customHeight="1">
      <c r="A2270" s="2" t="s">
        <v>202</v>
      </c>
      <c r="B2270" s="2" t="s">
        <v>1619</v>
      </c>
      <c r="C2270" s="2" t="s">
        <v>1620</v>
      </c>
      <c r="D2270" s="8" t="s">
        <v>75</v>
      </c>
      <c r="E2270" s="9" t="s">
        <v>914</v>
      </c>
      <c r="F2270" s="33">
        <v>1.0</v>
      </c>
      <c r="G2270" s="33">
        <v>1650.0</v>
      </c>
      <c r="H2270" s="35">
        <v>46156.0</v>
      </c>
      <c r="I2270" s="2" t="s">
        <v>14</v>
      </c>
      <c r="J2270" s="12" t="s">
        <v>1712</v>
      </c>
    </row>
    <row r="2271" ht="22.5" hidden="1" customHeight="1">
      <c r="A2271" s="2" t="s">
        <v>202</v>
      </c>
      <c r="B2271" s="2" t="s">
        <v>1619</v>
      </c>
      <c r="C2271" s="2" t="s">
        <v>1620</v>
      </c>
      <c r="D2271" s="8" t="s">
        <v>12</v>
      </c>
      <c r="E2271" s="9" t="s">
        <v>47</v>
      </c>
      <c r="F2271" s="33">
        <v>1.0</v>
      </c>
      <c r="G2271" s="33">
        <v>1650.0</v>
      </c>
      <c r="H2271" s="35">
        <v>46156.0</v>
      </c>
      <c r="I2271" s="2" t="s">
        <v>14</v>
      </c>
      <c r="J2271" s="12" t="s">
        <v>1712</v>
      </c>
    </row>
    <row r="2272" ht="22.5" hidden="1" customHeight="1">
      <c r="A2272" s="2" t="s">
        <v>42</v>
      </c>
      <c r="B2272" s="2" t="s">
        <v>1619</v>
      </c>
      <c r="C2272" s="2" t="s">
        <v>1620</v>
      </c>
      <c r="D2272" s="8" t="s">
        <v>22</v>
      </c>
      <c r="E2272" s="9" t="s">
        <v>914</v>
      </c>
      <c r="F2272" s="33">
        <v>1.0</v>
      </c>
      <c r="G2272" s="33">
        <v>1650.0</v>
      </c>
      <c r="H2272" s="35">
        <v>46156.0</v>
      </c>
      <c r="I2272" s="2" t="s">
        <v>14</v>
      </c>
      <c r="J2272" s="12" t="s">
        <v>1743</v>
      </c>
    </row>
    <row r="2273" ht="22.5" hidden="1" customHeight="1">
      <c r="A2273" s="2" t="s">
        <v>35</v>
      </c>
      <c r="B2273" s="2" t="s">
        <v>1619</v>
      </c>
      <c r="C2273" s="2" t="s">
        <v>1620</v>
      </c>
      <c r="D2273" s="8" t="s">
        <v>12</v>
      </c>
      <c r="E2273" s="9" t="s">
        <v>18</v>
      </c>
      <c r="F2273" s="33">
        <v>1.0</v>
      </c>
      <c r="G2273" s="33">
        <v>1650.0</v>
      </c>
      <c r="H2273" s="35">
        <v>46156.0</v>
      </c>
      <c r="I2273" s="2" t="s">
        <v>14</v>
      </c>
      <c r="J2273" s="12" t="s">
        <v>1744</v>
      </c>
    </row>
    <row r="2274" ht="22.5" hidden="1" customHeight="1">
      <c r="A2274" s="2" t="s">
        <v>400</v>
      </c>
      <c r="B2274" s="2" t="s">
        <v>1619</v>
      </c>
      <c r="C2274" s="2" t="s">
        <v>1620</v>
      </c>
      <c r="D2274" s="8" t="s">
        <v>12</v>
      </c>
      <c r="E2274" s="9" t="s">
        <v>47</v>
      </c>
      <c r="F2274" s="33">
        <v>1.0</v>
      </c>
      <c r="G2274" s="33">
        <v>1650.0</v>
      </c>
      <c r="H2274" s="35">
        <v>46156.0</v>
      </c>
      <c r="I2274" s="2" t="s">
        <v>473</v>
      </c>
      <c r="J2274" s="12" t="s">
        <v>1577</v>
      </c>
    </row>
    <row r="2275" ht="22.5" hidden="1" customHeight="1">
      <c r="A2275" s="2" t="s">
        <v>329</v>
      </c>
      <c r="B2275" s="2" t="s">
        <v>1619</v>
      </c>
      <c r="C2275" s="2" t="s">
        <v>1620</v>
      </c>
      <c r="D2275" s="8" t="s">
        <v>12</v>
      </c>
      <c r="E2275" s="9" t="s">
        <v>47</v>
      </c>
      <c r="F2275" s="33">
        <v>1.0</v>
      </c>
      <c r="G2275" s="33">
        <v>1650.0</v>
      </c>
      <c r="H2275" s="35">
        <v>46156.0</v>
      </c>
      <c r="I2275" s="2" t="s">
        <v>14</v>
      </c>
      <c r="J2275" s="12" t="s">
        <v>1745</v>
      </c>
    </row>
    <row r="2276" ht="22.5" hidden="1" customHeight="1">
      <c r="A2276" s="2" t="s">
        <v>1065</v>
      </c>
      <c r="B2276" s="2" t="s">
        <v>1619</v>
      </c>
      <c r="C2276" s="2" t="s">
        <v>1620</v>
      </c>
      <c r="D2276" s="8" t="s">
        <v>12</v>
      </c>
      <c r="E2276" s="9" t="s">
        <v>16</v>
      </c>
      <c r="F2276" s="33">
        <v>1.0</v>
      </c>
      <c r="G2276" s="33">
        <v>1650.0</v>
      </c>
      <c r="H2276" s="35">
        <v>46156.0</v>
      </c>
      <c r="I2276" s="2" t="s">
        <v>14</v>
      </c>
      <c r="J2276" s="12" t="s">
        <v>1066</v>
      </c>
    </row>
    <row r="2277" ht="22.5" hidden="1" customHeight="1">
      <c r="A2277" s="2" t="s">
        <v>1065</v>
      </c>
      <c r="B2277" s="2" t="s">
        <v>1619</v>
      </c>
      <c r="C2277" s="2" t="s">
        <v>1620</v>
      </c>
      <c r="D2277" s="8" t="s">
        <v>989</v>
      </c>
      <c r="E2277" s="9" t="s">
        <v>23</v>
      </c>
      <c r="F2277" s="33">
        <v>1.0</v>
      </c>
      <c r="G2277" s="33">
        <v>1650.0</v>
      </c>
      <c r="H2277" s="35">
        <v>46156.0</v>
      </c>
      <c r="I2277" s="2" t="s">
        <v>14</v>
      </c>
      <c r="J2277" s="12" t="s">
        <v>1066</v>
      </c>
    </row>
    <row r="2278" ht="22.5" hidden="1" customHeight="1">
      <c r="A2278" s="2" t="s">
        <v>720</v>
      </c>
      <c r="B2278" s="2" t="s">
        <v>1619</v>
      </c>
      <c r="C2278" s="2" t="s">
        <v>1620</v>
      </c>
      <c r="D2278" s="8" t="s">
        <v>12</v>
      </c>
      <c r="E2278" s="9" t="s">
        <v>47</v>
      </c>
      <c r="F2278" s="33">
        <v>1.0</v>
      </c>
      <c r="G2278" s="33">
        <v>1650.0</v>
      </c>
      <c r="H2278" s="35">
        <v>46156.0</v>
      </c>
      <c r="I2278" s="2" t="s">
        <v>473</v>
      </c>
      <c r="J2278" s="12" t="s">
        <v>1746</v>
      </c>
    </row>
    <row r="2279" ht="22.5" hidden="1" customHeight="1">
      <c r="A2279" s="2" t="s">
        <v>1747</v>
      </c>
      <c r="B2279" s="2" t="s">
        <v>1619</v>
      </c>
      <c r="C2279" s="2" t="s">
        <v>1620</v>
      </c>
      <c r="D2279" s="8" t="s">
        <v>22</v>
      </c>
      <c r="E2279" s="9" t="s">
        <v>47</v>
      </c>
      <c r="F2279" s="33">
        <v>1.0</v>
      </c>
      <c r="G2279" s="33">
        <v>1650.0</v>
      </c>
      <c r="H2279" s="35">
        <v>46156.0</v>
      </c>
      <c r="I2279" s="2" t="s">
        <v>14</v>
      </c>
      <c r="J2279" s="2"/>
    </row>
    <row r="2280" ht="22.5" hidden="1" customHeight="1">
      <c r="A2280" s="2" t="s">
        <v>1748</v>
      </c>
      <c r="B2280" s="2" t="s">
        <v>1619</v>
      </c>
      <c r="C2280" s="2" t="s">
        <v>1620</v>
      </c>
      <c r="D2280" s="8" t="s">
        <v>22</v>
      </c>
      <c r="E2280" s="9" t="s">
        <v>914</v>
      </c>
      <c r="F2280" s="33">
        <v>1.0</v>
      </c>
      <c r="G2280" s="33">
        <v>1650.0</v>
      </c>
      <c r="H2280" s="35">
        <v>46156.0</v>
      </c>
      <c r="I2280" s="2" t="s">
        <v>14</v>
      </c>
      <c r="J2280" s="12" t="s">
        <v>1749</v>
      </c>
    </row>
    <row r="2281" ht="22.5" hidden="1" customHeight="1">
      <c r="A2281" s="2" t="s">
        <v>1071</v>
      </c>
      <c r="B2281" s="2" t="s">
        <v>1619</v>
      </c>
      <c r="C2281" s="2" t="s">
        <v>1620</v>
      </c>
      <c r="D2281" s="8" t="s">
        <v>75</v>
      </c>
      <c r="E2281" s="9" t="s">
        <v>47</v>
      </c>
      <c r="F2281" s="33">
        <v>1.0</v>
      </c>
      <c r="G2281" s="33">
        <v>1650.0</v>
      </c>
      <c r="H2281" s="35">
        <v>46156.0</v>
      </c>
      <c r="I2281" s="2" t="s">
        <v>473</v>
      </c>
      <c r="J2281" s="12" t="s">
        <v>1750</v>
      </c>
    </row>
    <row r="2282" ht="22.5" hidden="1" customHeight="1">
      <c r="A2282" s="2" t="s">
        <v>159</v>
      </c>
      <c r="B2282" s="2" t="s">
        <v>1636</v>
      </c>
      <c r="C2282" s="2" t="s">
        <v>1637</v>
      </c>
      <c r="D2282" s="8" t="s">
        <v>46</v>
      </c>
      <c r="E2282" s="9" t="s">
        <v>13</v>
      </c>
      <c r="F2282" s="33">
        <v>1.0</v>
      </c>
      <c r="G2282" s="33">
        <v>1700.0</v>
      </c>
      <c r="H2282" s="35">
        <v>46156.0</v>
      </c>
      <c r="I2282" s="2" t="s">
        <v>473</v>
      </c>
      <c r="J2282" s="12" t="s">
        <v>1751</v>
      </c>
    </row>
    <row r="2283" ht="22.5" hidden="1" customHeight="1">
      <c r="A2283" s="2" t="s">
        <v>202</v>
      </c>
      <c r="B2283" s="2" t="s">
        <v>1636</v>
      </c>
      <c r="C2283" s="2" t="s">
        <v>1637</v>
      </c>
      <c r="D2283" s="8" t="s">
        <v>46</v>
      </c>
      <c r="E2283" s="9" t="s">
        <v>914</v>
      </c>
      <c r="F2283" s="33">
        <v>1.0</v>
      </c>
      <c r="G2283" s="33">
        <v>1700.0</v>
      </c>
      <c r="H2283" s="35">
        <v>46156.0</v>
      </c>
      <c r="I2283" s="2" t="s">
        <v>14</v>
      </c>
      <c r="J2283" s="12" t="s">
        <v>1712</v>
      </c>
    </row>
    <row r="2284" ht="22.5" hidden="1" customHeight="1">
      <c r="A2284" s="2" t="s">
        <v>71</v>
      </c>
      <c r="B2284" s="2" t="s">
        <v>1636</v>
      </c>
      <c r="C2284" s="2" t="s">
        <v>1637</v>
      </c>
      <c r="D2284" s="8" t="s">
        <v>46</v>
      </c>
      <c r="E2284" s="9" t="s">
        <v>26</v>
      </c>
      <c r="F2284" s="33">
        <v>1.0</v>
      </c>
      <c r="G2284" s="33">
        <v>1700.0</v>
      </c>
      <c r="H2284" s="35">
        <v>46156.0</v>
      </c>
      <c r="I2284" s="2" t="s">
        <v>473</v>
      </c>
      <c r="J2284" s="12" t="s">
        <v>955</v>
      </c>
    </row>
    <row r="2285" ht="22.5" hidden="1" customHeight="1">
      <c r="A2285" s="2" t="s">
        <v>1752</v>
      </c>
      <c r="B2285" s="2" t="s">
        <v>1636</v>
      </c>
      <c r="C2285" s="2" t="s">
        <v>1637</v>
      </c>
      <c r="D2285" s="8" t="s">
        <v>46</v>
      </c>
      <c r="E2285" s="9" t="s">
        <v>13</v>
      </c>
      <c r="F2285" s="33">
        <v>1.0</v>
      </c>
      <c r="G2285" s="33">
        <v>1700.0</v>
      </c>
      <c r="H2285" s="35">
        <v>46156.0</v>
      </c>
      <c r="I2285" s="2" t="s">
        <v>14</v>
      </c>
      <c r="J2285" s="12" t="s">
        <v>1753</v>
      </c>
    </row>
    <row r="2286" ht="22.5" hidden="1" customHeight="1">
      <c r="A2286" s="2" t="s">
        <v>1175</v>
      </c>
      <c r="B2286" s="2" t="s">
        <v>1723</v>
      </c>
      <c r="C2286" s="2">
        <v>9064.0</v>
      </c>
      <c r="D2286" s="8" t="s">
        <v>22</v>
      </c>
      <c r="E2286" s="9" t="s">
        <v>18</v>
      </c>
      <c r="F2286" s="33">
        <v>1.0</v>
      </c>
      <c r="G2286" s="33">
        <v>1590.0</v>
      </c>
      <c r="H2286" s="35">
        <v>46156.0</v>
      </c>
      <c r="I2286" s="2" t="s">
        <v>14</v>
      </c>
      <c r="J2286" s="12" t="s">
        <v>1177</v>
      </c>
    </row>
    <row r="2287" ht="22.5" hidden="1" customHeight="1">
      <c r="A2287" s="2" t="s">
        <v>1649</v>
      </c>
      <c r="B2287" s="2" t="s">
        <v>1254</v>
      </c>
      <c r="C2287" s="2" t="s">
        <v>1255</v>
      </c>
      <c r="D2287" s="8" t="s">
        <v>22</v>
      </c>
      <c r="E2287" s="9" t="s">
        <v>1256</v>
      </c>
      <c r="F2287" s="33">
        <v>1.0</v>
      </c>
      <c r="G2287" s="33">
        <v>1200.0</v>
      </c>
      <c r="H2287" s="35">
        <v>46156.0</v>
      </c>
      <c r="I2287" s="2" t="s">
        <v>14</v>
      </c>
      <c r="J2287" s="12" t="s">
        <v>1650</v>
      </c>
    </row>
    <row r="2288" ht="22.5" hidden="1" customHeight="1">
      <c r="A2288" s="2" t="s">
        <v>1251</v>
      </c>
      <c r="B2288" s="2" t="s">
        <v>1619</v>
      </c>
      <c r="C2288" s="2" t="s">
        <v>1620</v>
      </c>
      <c r="D2288" s="8" t="s">
        <v>22</v>
      </c>
      <c r="E2288" s="9" t="s">
        <v>914</v>
      </c>
      <c r="F2288" s="33">
        <v>1.0</v>
      </c>
      <c r="G2288" s="33">
        <v>1650.0</v>
      </c>
      <c r="H2288" s="35">
        <v>46156.0</v>
      </c>
      <c r="I2288" s="2" t="s">
        <v>473</v>
      </c>
      <c r="J2288" s="12" t="s">
        <v>1754</v>
      </c>
    </row>
    <row r="2289" ht="22.5" hidden="1" customHeight="1">
      <c r="A2289" s="2" t="s">
        <v>1251</v>
      </c>
      <c r="B2289" s="2" t="s">
        <v>1212</v>
      </c>
      <c r="C2289" s="2">
        <v>92212.0</v>
      </c>
      <c r="D2289" s="8" t="s">
        <v>46</v>
      </c>
      <c r="E2289" s="9" t="s">
        <v>18</v>
      </c>
      <c r="F2289" s="33">
        <v>1.0</v>
      </c>
      <c r="G2289" s="33">
        <v>1700.0</v>
      </c>
      <c r="H2289" s="35">
        <v>46156.0</v>
      </c>
      <c r="I2289" s="2" t="s">
        <v>473</v>
      </c>
      <c r="J2289" s="12" t="s">
        <v>1754</v>
      </c>
    </row>
    <row r="2290" ht="22.5" hidden="1" customHeight="1">
      <c r="A2290" s="2" t="s">
        <v>1755</v>
      </c>
      <c r="B2290" s="2" t="s">
        <v>1619</v>
      </c>
      <c r="C2290" s="2" t="s">
        <v>1620</v>
      </c>
      <c r="D2290" s="8" t="s">
        <v>22</v>
      </c>
      <c r="E2290" s="9" t="s">
        <v>18</v>
      </c>
      <c r="F2290" s="33">
        <v>1.0</v>
      </c>
      <c r="G2290" s="33">
        <v>1650.0</v>
      </c>
      <c r="H2290" s="35">
        <v>46156.0</v>
      </c>
      <c r="I2290" s="2" t="s">
        <v>473</v>
      </c>
      <c r="J2290" s="12" t="s">
        <v>1756</v>
      </c>
    </row>
    <row r="2291" ht="22.5" hidden="1" customHeight="1">
      <c r="A2291" s="2" t="s">
        <v>96</v>
      </c>
      <c r="B2291" s="2" t="s">
        <v>892</v>
      </c>
      <c r="C2291" s="2" t="s">
        <v>893</v>
      </c>
      <c r="D2291" s="8">
        <v>35.0</v>
      </c>
      <c r="E2291" s="9" t="s">
        <v>47</v>
      </c>
      <c r="F2291" s="33">
        <v>1.0</v>
      </c>
      <c r="G2291" s="33">
        <v>2200.0</v>
      </c>
      <c r="H2291" s="35">
        <v>46156.0</v>
      </c>
      <c r="I2291" s="2" t="s">
        <v>14</v>
      </c>
      <c r="J2291" s="12" t="s">
        <v>1757</v>
      </c>
    </row>
    <row r="2292" ht="22.5" customHeight="1">
      <c r="A2292" s="2" t="s">
        <v>224</v>
      </c>
      <c r="B2292" s="2" t="s">
        <v>1676</v>
      </c>
      <c r="C2292" s="2">
        <v>9408.0</v>
      </c>
      <c r="D2292" s="8" t="s">
        <v>12</v>
      </c>
      <c r="E2292" s="9" t="s">
        <v>18</v>
      </c>
      <c r="F2292" s="33">
        <v>1.0</v>
      </c>
      <c r="G2292" s="33">
        <v>1650.0</v>
      </c>
      <c r="H2292" s="35">
        <v>46156.0</v>
      </c>
      <c r="I2292" s="2" t="s">
        <v>473</v>
      </c>
      <c r="J2292" s="12" t="s">
        <v>1189</v>
      </c>
    </row>
    <row r="2293" ht="22.5" customHeight="1">
      <c r="A2293" s="2" t="s">
        <v>224</v>
      </c>
      <c r="B2293" s="2" t="s">
        <v>1676</v>
      </c>
      <c r="C2293" s="2">
        <v>9408.0</v>
      </c>
      <c r="D2293" s="8" t="s">
        <v>12</v>
      </c>
      <c r="E2293" s="9" t="s">
        <v>23</v>
      </c>
      <c r="F2293" s="33">
        <v>1.0</v>
      </c>
      <c r="G2293" s="33">
        <v>1650.0</v>
      </c>
      <c r="H2293" s="35">
        <v>46156.0</v>
      </c>
      <c r="I2293" s="2" t="s">
        <v>473</v>
      </c>
      <c r="J2293" s="12" t="s">
        <v>1189</v>
      </c>
    </row>
    <row r="2294" ht="22.5" customHeight="1">
      <c r="A2294" s="2" t="s">
        <v>1758</v>
      </c>
      <c r="B2294" s="2" t="s">
        <v>1619</v>
      </c>
      <c r="C2294" s="2" t="s">
        <v>1620</v>
      </c>
      <c r="D2294" s="8" t="s">
        <v>22</v>
      </c>
      <c r="E2294" s="9" t="s">
        <v>198</v>
      </c>
      <c r="F2294" s="33">
        <v>1.0</v>
      </c>
      <c r="G2294" s="33">
        <v>1650.0</v>
      </c>
      <c r="H2294" s="35">
        <v>46157.0</v>
      </c>
      <c r="I2294" s="2" t="s">
        <v>473</v>
      </c>
      <c r="J2294" s="12" t="s">
        <v>1759</v>
      </c>
    </row>
    <row r="2295" ht="22.5" customHeight="1">
      <c r="A2295" s="2" t="s">
        <v>1758</v>
      </c>
      <c r="B2295" s="2" t="s">
        <v>1619</v>
      </c>
      <c r="C2295" s="2" t="s">
        <v>1620</v>
      </c>
      <c r="D2295" s="8" t="s">
        <v>75</v>
      </c>
      <c r="E2295" s="9" t="s">
        <v>23</v>
      </c>
      <c r="F2295" s="33">
        <v>1.0</v>
      </c>
      <c r="G2295" s="33">
        <v>1650.0</v>
      </c>
      <c r="H2295" s="35">
        <v>46157.0</v>
      </c>
      <c r="I2295" s="2" t="s">
        <v>473</v>
      </c>
      <c r="J2295" s="12" t="s">
        <v>1759</v>
      </c>
    </row>
    <row r="2296" ht="22.5" customHeight="1">
      <c r="A2296" s="2" t="s">
        <v>1760</v>
      </c>
      <c r="B2296" s="2" t="s">
        <v>958</v>
      </c>
      <c r="C2296" s="2" t="s">
        <v>1019</v>
      </c>
      <c r="D2296" s="8" t="s">
        <v>12</v>
      </c>
      <c r="E2296" s="9" t="s">
        <v>18</v>
      </c>
      <c r="F2296" s="33">
        <v>1.0</v>
      </c>
      <c r="G2296" s="33">
        <v>1800.0</v>
      </c>
      <c r="H2296" s="35">
        <v>46157.0</v>
      </c>
      <c r="I2296" s="2" t="s">
        <v>24</v>
      </c>
      <c r="J2296" s="12" t="s">
        <v>1761</v>
      </c>
    </row>
    <row r="2297" ht="22.5" customHeight="1">
      <c r="A2297" s="2" t="s">
        <v>1762</v>
      </c>
      <c r="B2297" s="2" t="s">
        <v>1184</v>
      </c>
      <c r="C2297" s="2" t="s">
        <v>1185</v>
      </c>
      <c r="D2297" s="8" t="s">
        <v>989</v>
      </c>
      <c r="E2297" s="9" t="s">
        <v>18</v>
      </c>
      <c r="F2297" s="33">
        <v>1.0</v>
      </c>
      <c r="G2297" s="33">
        <v>845.0</v>
      </c>
      <c r="H2297" s="35">
        <v>46157.0</v>
      </c>
      <c r="I2297" s="2" t="s">
        <v>1183</v>
      </c>
      <c r="J2297" s="12" t="s">
        <v>1761</v>
      </c>
    </row>
    <row r="2298" ht="22.5" customHeight="1">
      <c r="A2298" s="2" t="s">
        <v>1762</v>
      </c>
      <c r="B2298" s="2" t="s">
        <v>1184</v>
      </c>
      <c r="C2298" s="2" t="s">
        <v>1185</v>
      </c>
      <c r="D2298" s="8" t="s">
        <v>989</v>
      </c>
      <c r="E2298" s="9" t="s">
        <v>23</v>
      </c>
      <c r="F2298" s="33">
        <v>1.0</v>
      </c>
      <c r="G2298" s="33">
        <v>845.0</v>
      </c>
      <c r="H2298" s="35">
        <v>46157.0</v>
      </c>
      <c r="I2298" s="2" t="s">
        <v>1183</v>
      </c>
      <c r="J2298" s="12" t="s">
        <v>1761</v>
      </c>
    </row>
    <row r="2299" ht="22.5" customHeight="1">
      <c r="A2299" s="2" t="s">
        <v>1762</v>
      </c>
      <c r="B2299" s="2" t="s">
        <v>1622</v>
      </c>
      <c r="C2299" s="2" t="s">
        <v>1623</v>
      </c>
      <c r="D2299" s="8" t="s">
        <v>22</v>
      </c>
      <c r="E2299" s="9" t="s">
        <v>18</v>
      </c>
      <c r="F2299" s="33">
        <v>1.0</v>
      </c>
      <c r="G2299" s="33">
        <v>1200.0</v>
      </c>
      <c r="H2299" s="35">
        <v>46157.0</v>
      </c>
      <c r="I2299" s="2" t="s">
        <v>1183</v>
      </c>
      <c r="J2299" s="12" t="s">
        <v>1761</v>
      </c>
    </row>
    <row r="2300" ht="22.5" customHeight="1">
      <c r="A2300" s="2" t="s">
        <v>1762</v>
      </c>
      <c r="B2300" s="2" t="s">
        <v>1622</v>
      </c>
      <c r="C2300" s="2" t="s">
        <v>1623</v>
      </c>
      <c r="D2300" s="8" t="s">
        <v>22</v>
      </c>
      <c r="E2300" s="9" t="s">
        <v>23</v>
      </c>
      <c r="F2300" s="33">
        <v>1.0</v>
      </c>
      <c r="G2300" s="33">
        <v>1200.0</v>
      </c>
      <c r="H2300" s="35">
        <v>46157.0</v>
      </c>
      <c r="I2300" s="2" t="s">
        <v>1183</v>
      </c>
      <c r="J2300" s="12" t="s">
        <v>1761</v>
      </c>
    </row>
    <row r="2301" ht="22.5" customHeight="1">
      <c r="A2301" s="2" t="s">
        <v>1762</v>
      </c>
      <c r="B2301" s="2" t="s">
        <v>1212</v>
      </c>
      <c r="C2301" s="2">
        <v>92212.0</v>
      </c>
      <c r="D2301" s="8" t="s">
        <v>46</v>
      </c>
      <c r="E2301" s="9" t="s">
        <v>16</v>
      </c>
      <c r="F2301" s="33">
        <v>1.0</v>
      </c>
      <c r="G2301" s="33">
        <v>1700.0</v>
      </c>
      <c r="H2301" s="35">
        <v>46157.0</v>
      </c>
      <c r="I2301" s="2" t="s">
        <v>473</v>
      </c>
      <c r="J2301" s="12" t="s">
        <v>1761</v>
      </c>
    </row>
    <row r="2302" ht="22.5" customHeight="1">
      <c r="A2302" s="2" t="s">
        <v>1762</v>
      </c>
      <c r="B2302" s="2" t="s">
        <v>1199</v>
      </c>
      <c r="C2302" s="2" t="s">
        <v>1200</v>
      </c>
      <c r="D2302" s="8" t="s">
        <v>75</v>
      </c>
      <c r="E2302" s="9" t="s">
        <v>47</v>
      </c>
      <c r="F2302" s="33">
        <v>1.0</v>
      </c>
      <c r="G2302" s="33">
        <v>725.0</v>
      </c>
      <c r="H2302" s="35">
        <v>46157.0</v>
      </c>
      <c r="I2302" s="2" t="s">
        <v>473</v>
      </c>
      <c r="J2302" s="12" t="s">
        <v>1761</v>
      </c>
    </row>
    <row r="2303" ht="22.5" customHeight="1">
      <c r="A2303" s="2" t="s">
        <v>1762</v>
      </c>
      <c r="B2303" s="2" t="s">
        <v>1201</v>
      </c>
      <c r="C2303" s="2" t="s">
        <v>1202</v>
      </c>
      <c r="D2303" s="8" t="s">
        <v>75</v>
      </c>
      <c r="E2303" s="9" t="s">
        <v>47</v>
      </c>
      <c r="F2303" s="33">
        <v>1.0</v>
      </c>
      <c r="G2303" s="33">
        <v>725.0</v>
      </c>
      <c r="H2303" s="35">
        <v>46157.0</v>
      </c>
      <c r="I2303" s="2" t="s">
        <v>473</v>
      </c>
      <c r="J2303" s="12" t="s">
        <v>1761</v>
      </c>
    </row>
    <row r="2304" ht="22.5" customHeight="1">
      <c r="A2304" s="2" t="s">
        <v>1762</v>
      </c>
      <c r="B2304" s="2" t="s">
        <v>958</v>
      </c>
      <c r="C2304" s="2" t="s">
        <v>959</v>
      </c>
      <c r="D2304" s="8" t="s">
        <v>12</v>
      </c>
      <c r="E2304" s="9" t="s">
        <v>18</v>
      </c>
      <c r="F2304" s="33">
        <v>1.0</v>
      </c>
      <c r="G2304" s="33">
        <v>1800.0</v>
      </c>
      <c r="H2304" s="35">
        <v>46157.0</v>
      </c>
      <c r="I2304" s="2" t="s">
        <v>473</v>
      </c>
      <c r="J2304" s="12" t="s">
        <v>1761</v>
      </c>
    </row>
    <row r="2305" ht="22.5" customHeight="1">
      <c r="A2305" s="2" t="s">
        <v>254</v>
      </c>
      <c r="B2305" s="2" t="s">
        <v>1671</v>
      </c>
      <c r="C2305" s="2" t="s">
        <v>1672</v>
      </c>
      <c r="D2305" s="8" t="s">
        <v>46</v>
      </c>
      <c r="E2305" s="9" t="s">
        <v>47</v>
      </c>
      <c r="F2305" s="33">
        <v>1.0</v>
      </c>
      <c r="G2305" s="33">
        <v>1200.0</v>
      </c>
      <c r="H2305" s="35">
        <v>46157.0</v>
      </c>
      <c r="I2305" s="2" t="s">
        <v>14</v>
      </c>
      <c r="J2305" s="12" t="s">
        <v>1763</v>
      </c>
    </row>
    <row r="2306" ht="22.5" customHeight="1">
      <c r="A2306" s="2" t="s">
        <v>1764</v>
      </c>
      <c r="B2306" s="2" t="s">
        <v>1653</v>
      </c>
      <c r="C2306" s="2">
        <v>1653.0</v>
      </c>
      <c r="D2306" s="8" t="s">
        <v>22</v>
      </c>
      <c r="E2306" s="9" t="s">
        <v>13</v>
      </c>
      <c r="F2306" s="33">
        <v>1.0</v>
      </c>
      <c r="G2306" s="33">
        <v>2500.0</v>
      </c>
      <c r="H2306" s="35">
        <v>46157.0</v>
      </c>
      <c r="I2306" s="2" t="s">
        <v>14</v>
      </c>
      <c r="J2306" s="12" t="s">
        <v>1765</v>
      </c>
    </row>
    <row r="2307" ht="22.5" customHeight="1">
      <c r="A2307" s="2" t="s">
        <v>1229</v>
      </c>
      <c r="B2307" s="2" t="s">
        <v>1653</v>
      </c>
      <c r="C2307" s="2">
        <v>1653.0</v>
      </c>
      <c r="D2307" s="8" t="s">
        <v>22</v>
      </c>
      <c r="E2307" s="9" t="s">
        <v>13</v>
      </c>
      <c r="F2307" s="33">
        <v>1.0</v>
      </c>
      <c r="G2307" s="33">
        <v>2500.0</v>
      </c>
      <c r="H2307" s="35">
        <v>46157.0</v>
      </c>
      <c r="I2307" s="2" t="s">
        <v>14</v>
      </c>
      <c r="J2307" s="12" t="s">
        <v>1230</v>
      </c>
    </row>
    <row r="2308" ht="22.5" customHeight="1">
      <c r="A2308" s="2" t="s">
        <v>1766</v>
      </c>
      <c r="B2308" s="2" t="s">
        <v>1619</v>
      </c>
      <c r="C2308" s="2" t="s">
        <v>1620</v>
      </c>
      <c r="D2308" s="8" t="s">
        <v>75</v>
      </c>
      <c r="E2308" s="9" t="s">
        <v>18</v>
      </c>
      <c r="F2308" s="33">
        <v>1.0</v>
      </c>
      <c r="G2308" s="33">
        <v>1650.0</v>
      </c>
      <c r="H2308" s="35">
        <v>46157.0</v>
      </c>
      <c r="I2308" s="2" t="s">
        <v>473</v>
      </c>
      <c r="J2308" s="12" t="s">
        <v>1767</v>
      </c>
    </row>
    <row r="2309" ht="22.5" customHeight="1">
      <c r="A2309" s="2" t="s">
        <v>1097</v>
      </c>
      <c r="B2309" s="2" t="s">
        <v>375</v>
      </c>
      <c r="C2309" s="2" t="s">
        <v>376</v>
      </c>
      <c r="D2309" s="8">
        <v>38.0</v>
      </c>
      <c r="E2309" s="9" t="s">
        <v>26</v>
      </c>
      <c r="F2309" s="33">
        <v>1.0</v>
      </c>
      <c r="G2309" s="33">
        <v>2350.0</v>
      </c>
      <c r="H2309" s="35">
        <v>46157.0</v>
      </c>
      <c r="I2309" s="2" t="s">
        <v>24</v>
      </c>
      <c r="J2309" s="12" t="s">
        <v>1768</v>
      </c>
    </row>
    <row r="2310" ht="22.5" customHeight="1">
      <c r="A2310" s="2" t="s">
        <v>1097</v>
      </c>
      <c r="B2310" s="2" t="s">
        <v>958</v>
      </c>
      <c r="C2310" s="2" t="s">
        <v>1019</v>
      </c>
      <c r="D2310" s="8" t="s">
        <v>12</v>
      </c>
      <c r="E2310" s="9" t="s">
        <v>18</v>
      </c>
      <c r="F2310" s="33">
        <v>1.0</v>
      </c>
      <c r="G2310" s="33">
        <v>1800.0</v>
      </c>
      <c r="H2310" s="35">
        <v>46157.0</v>
      </c>
      <c r="I2310" s="2" t="s">
        <v>24</v>
      </c>
      <c r="J2310" s="12" t="s">
        <v>1768</v>
      </c>
    </row>
    <row r="2311" ht="22.5" customHeight="1">
      <c r="A2311" s="2" t="s">
        <v>88</v>
      </c>
      <c r="B2311" s="2" t="s">
        <v>234</v>
      </c>
      <c r="C2311" s="2">
        <v>8740.0</v>
      </c>
      <c r="D2311" s="8" t="s">
        <v>12</v>
      </c>
      <c r="E2311" s="9" t="s">
        <v>13</v>
      </c>
      <c r="F2311" s="33">
        <v>1.0</v>
      </c>
      <c r="G2311" s="33">
        <v>1600.0</v>
      </c>
      <c r="H2311" s="35">
        <v>46158.0</v>
      </c>
      <c r="I2311" s="2" t="s">
        <v>14</v>
      </c>
      <c r="J2311" s="2"/>
    </row>
    <row r="2312" ht="22.5" customHeight="1">
      <c r="A2312" s="2" t="s">
        <v>1769</v>
      </c>
      <c r="B2312" s="2" t="s">
        <v>377</v>
      </c>
      <c r="C2312" s="2" t="s">
        <v>378</v>
      </c>
      <c r="D2312" s="8" t="s">
        <v>46</v>
      </c>
      <c r="E2312" s="9" t="s">
        <v>18</v>
      </c>
      <c r="F2312" s="33">
        <v>1.0</v>
      </c>
      <c r="G2312" s="33">
        <v>750.0</v>
      </c>
      <c r="H2312" s="35">
        <v>46158.0</v>
      </c>
      <c r="I2312" s="2" t="s">
        <v>14</v>
      </c>
      <c r="J2312" s="2"/>
    </row>
    <row r="2313" ht="22.5" customHeight="1">
      <c r="A2313" s="2" t="s">
        <v>1769</v>
      </c>
      <c r="B2313" s="2" t="s">
        <v>377</v>
      </c>
      <c r="C2313" s="2" t="s">
        <v>378</v>
      </c>
      <c r="D2313" s="8" t="s">
        <v>46</v>
      </c>
      <c r="E2313" s="9" t="s">
        <v>47</v>
      </c>
      <c r="F2313" s="33">
        <v>1.0</v>
      </c>
      <c r="G2313" s="33">
        <v>750.0</v>
      </c>
      <c r="H2313" s="35">
        <v>46158.0</v>
      </c>
      <c r="I2313" s="2" t="s">
        <v>14</v>
      </c>
      <c r="J2313" s="2"/>
    </row>
    <row r="2314" ht="22.5" customHeight="1">
      <c r="A2314" s="2" t="s">
        <v>197</v>
      </c>
      <c r="B2314" s="2" t="s">
        <v>1653</v>
      </c>
      <c r="C2314" s="2">
        <v>1653.0</v>
      </c>
      <c r="D2314" s="8" t="s">
        <v>12</v>
      </c>
      <c r="E2314" s="9" t="s">
        <v>13</v>
      </c>
      <c r="F2314" s="33">
        <v>1.0</v>
      </c>
      <c r="G2314" s="33">
        <v>2500.0</v>
      </c>
      <c r="H2314" s="35">
        <v>46158.0</v>
      </c>
      <c r="I2314" s="2" t="s">
        <v>14</v>
      </c>
      <c r="J2314" s="12" t="s">
        <v>1770</v>
      </c>
    </row>
    <row r="2315" ht="22.5" customHeight="1">
      <c r="A2315" s="2" t="s">
        <v>1309</v>
      </c>
      <c r="B2315" s="2" t="s">
        <v>1771</v>
      </c>
      <c r="C2315" s="2" t="s">
        <v>1772</v>
      </c>
      <c r="D2315" s="8">
        <v>37.0</v>
      </c>
      <c r="E2315" s="9" t="s">
        <v>18</v>
      </c>
      <c r="F2315" s="33">
        <v>1.0</v>
      </c>
      <c r="G2315" s="33">
        <v>2690.0</v>
      </c>
      <c r="H2315" s="35">
        <v>46158.0</v>
      </c>
      <c r="I2315" s="2" t="s">
        <v>14</v>
      </c>
      <c r="J2315" s="12" t="s">
        <v>1310</v>
      </c>
    </row>
    <row r="2316" ht="22.5" customHeight="1">
      <c r="A2316" s="2" t="s">
        <v>1309</v>
      </c>
      <c r="B2316" s="2" t="s">
        <v>1653</v>
      </c>
      <c r="C2316" s="2">
        <v>1653.0</v>
      </c>
      <c r="D2316" s="8" t="s">
        <v>12</v>
      </c>
      <c r="E2316" s="9" t="s">
        <v>13</v>
      </c>
      <c r="F2316" s="33">
        <v>1.0</v>
      </c>
      <c r="G2316" s="33">
        <v>2500.0</v>
      </c>
      <c r="H2316" s="35">
        <v>46158.0</v>
      </c>
      <c r="I2316" s="2" t="s">
        <v>14</v>
      </c>
      <c r="J2316" s="12" t="s">
        <v>1310</v>
      </c>
    </row>
    <row r="2317" ht="22.5" customHeight="1">
      <c r="A2317" s="2" t="s">
        <v>1773</v>
      </c>
      <c r="B2317" s="2" t="s">
        <v>1653</v>
      </c>
      <c r="C2317" s="2">
        <v>1653.0</v>
      </c>
      <c r="D2317" s="8" t="s">
        <v>22</v>
      </c>
      <c r="E2317" s="9" t="s">
        <v>13</v>
      </c>
      <c r="F2317" s="33">
        <v>1.0</v>
      </c>
      <c r="G2317" s="33">
        <v>2500.0</v>
      </c>
      <c r="H2317" s="35">
        <v>46158.0</v>
      </c>
      <c r="I2317" s="2" t="s">
        <v>14</v>
      </c>
      <c r="J2317" s="12" t="s">
        <v>1774</v>
      </c>
    </row>
    <row r="2318" ht="22.5" customHeight="1">
      <c r="A2318" s="2" t="s">
        <v>1775</v>
      </c>
      <c r="B2318" s="2" t="s">
        <v>1653</v>
      </c>
      <c r="C2318" s="2">
        <v>1653.0</v>
      </c>
      <c r="D2318" s="8" t="s">
        <v>12</v>
      </c>
      <c r="E2318" s="9" t="s">
        <v>13</v>
      </c>
      <c r="F2318" s="33">
        <v>1.0</v>
      </c>
      <c r="G2318" s="33">
        <v>2500.0</v>
      </c>
      <c r="H2318" s="35">
        <v>46158.0</v>
      </c>
      <c r="I2318" s="2" t="s">
        <v>14</v>
      </c>
      <c r="J2318" s="12" t="s">
        <v>1776</v>
      </c>
    </row>
    <row r="2319" ht="22.5" customHeight="1">
      <c r="A2319" s="2" t="s">
        <v>832</v>
      </c>
      <c r="B2319" s="2" t="s">
        <v>1771</v>
      </c>
      <c r="C2319" s="2" t="s">
        <v>1772</v>
      </c>
      <c r="D2319" s="8">
        <v>37.0</v>
      </c>
      <c r="E2319" s="9" t="s">
        <v>26</v>
      </c>
      <c r="F2319" s="33">
        <v>1.0</v>
      </c>
      <c r="G2319" s="33">
        <v>2690.0</v>
      </c>
      <c r="H2319" s="35">
        <v>46158.0</v>
      </c>
      <c r="I2319" s="2" t="s">
        <v>473</v>
      </c>
      <c r="J2319" s="12" t="s">
        <v>1777</v>
      </c>
    </row>
    <row r="2320" ht="22.5" customHeight="1">
      <c r="A2320" s="2" t="s">
        <v>65</v>
      </c>
      <c r="B2320" s="2" t="s">
        <v>1771</v>
      </c>
      <c r="C2320" s="2" t="s">
        <v>1772</v>
      </c>
      <c r="D2320" s="8">
        <v>39.0</v>
      </c>
      <c r="E2320" s="9" t="s">
        <v>18</v>
      </c>
      <c r="F2320" s="33">
        <v>1.0</v>
      </c>
      <c r="G2320" s="33">
        <v>2690.0</v>
      </c>
      <c r="H2320" s="35">
        <v>46158.0</v>
      </c>
      <c r="I2320" s="2" t="s">
        <v>473</v>
      </c>
      <c r="J2320" s="12" t="s">
        <v>1778</v>
      </c>
    </row>
    <row r="2321" ht="22.5" customHeight="1">
      <c r="A2321" s="2" t="s">
        <v>1779</v>
      </c>
      <c r="B2321" s="2" t="s">
        <v>1470</v>
      </c>
      <c r="C2321" s="2" t="s">
        <v>1471</v>
      </c>
      <c r="D2321" s="8" t="s">
        <v>46</v>
      </c>
      <c r="E2321" s="9" t="s">
        <v>338</v>
      </c>
      <c r="F2321" s="33">
        <v>1.0</v>
      </c>
      <c r="G2321" s="33">
        <v>990.0</v>
      </c>
      <c r="H2321" s="35">
        <v>46159.0</v>
      </c>
      <c r="I2321" s="2" t="s">
        <v>14</v>
      </c>
      <c r="J2321" s="12" t="s">
        <v>1780</v>
      </c>
    </row>
    <row r="2322" ht="22.5" customHeight="1">
      <c r="A2322" s="2" t="s">
        <v>1779</v>
      </c>
      <c r="B2322" s="2" t="s">
        <v>1470</v>
      </c>
      <c r="C2322" s="2" t="s">
        <v>1471</v>
      </c>
      <c r="D2322" s="8" t="s">
        <v>46</v>
      </c>
      <c r="E2322" s="9" t="s">
        <v>198</v>
      </c>
      <c r="F2322" s="33">
        <v>1.0</v>
      </c>
      <c r="G2322" s="33">
        <v>990.0</v>
      </c>
      <c r="H2322" s="35">
        <v>46159.0</v>
      </c>
      <c r="I2322" s="2" t="s">
        <v>14</v>
      </c>
      <c r="J2322" s="12" t="s">
        <v>1780</v>
      </c>
    </row>
    <row r="2323" ht="22.5" customHeight="1">
      <c r="A2323" s="2" t="s">
        <v>1781</v>
      </c>
      <c r="B2323" s="2" t="s">
        <v>1771</v>
      </c>
      <c r="C2323" s="2" t="s">
        <v>1772</v>
      </c>
      <c r="D2323" s="8">
        <v>36.0</v>
      </c>
      <c r="E2323" s="9" t="s">
        <v>26</v>
      </c>
      <c r="F2323" s="33">
        <v>1.0</v>
      </c>
      <c r="G2323" s="33">
        <v>2690.0</v>
      </c>
      <c r="H2323" s="35">
        <v>46159.0</v>
      </c>
      <c r="I2323" s="2" t="s">
        <v>14</v>
      </c>
      <c r="J2323" s="12" t="s">
        <v>1782</v>
      </c>
    </row>
    <row r="2324" ht="22.5" customHeight="1">
      <c r="A2324" s="2" t="s">
        <v>1781</v>
      </c>
      <c r="B2324" s="2" t="s">
        <v>1671</v>
      </c>
      <c r="C2324" s="2" t="s">
        <v>1672</v>
      </c>
      <c r="D2324" s="8" t="s">
        <v>46</v>
      </c>
      <c r="E2324" s="9" t="s">
        <v>47</v>
      </c>
      <c r="F2324" s="33">
        <v>1.0</v>
      </c>
      <c r="G2324" s="33">
        <v>1200.0</v>
      </c>
      <c r="H2324" s="35">
        <v>46159.0</v>
      </c>
      <c r="I2324" s="2" t="s">
        <v>14</v>
      </c>
      <c r="J2324" s="12" t="s">
        <v>1782</v>
      </c>
    </row>
    <row r="2325" ht="22.5" customHeight="1">
      <c r="A2325" s="2" t="s">
        <v>946</v>
      </c>
      <c r="B2325" s="2" t="s">
        <v>375</v>
      </c>
      <c r="C2325" s="2" t="s">
        <v>376</v>
      </c>
      <c r="D2325" s="8">
        <v>39.0</v>
      </c>
      <c r="E2325" s="9" t="s">
        <v>47</v>
      </c>
      <c r="F2325" s="33">
        <v>1.0</v>
      </c>
      <c r="G2325" s="33">
        <v>2350.0</v>
      </c>
      <c r="H2325" s="35">
        <v>46159.0</v>
      </c>
      <c r="I2325" s="2" t="s">
        <v>1645</v>
      </c>
      <c r="J2325" s="12" t="s">
        <v>1783</v>
      </c>
    </row>
    <row r="2326" ht="22.5" customHeight="1">
      <c r="A2326" s="2" t="s">
        <v>946</v>
      </c>
      <c r="B2326" s="2" t="s">
        <v>1212</v>
      </c>
      <c r="C2326" s="2">
        <v>92212.0</v>
      </c>
      <c r="D2326" s="8" t="s">
        <v>46</v>
      </c>
      <c r="E2326" s="9" t="s">
        <v>13</v>
      </c>
      <c r="F2326" s="33">
        <v>1.0</v>
      </c>
      <c r="G2326" s="33">
        <v>1700.0</v>
      </c>
      <c r="H2326" s="35">
        <v>46159.0</v>
      </c>
      <c r="I2326" s="2" t="s">
        <v>473</v>
      </c>
      <c r="J2326" s="12" t="s">
        <v>1783</v>
      </c>
    </row>
    <row r="2327" ht="22.5" customHeight="1">
      <c r="A2327" s="2" t="s">
        <v>946</v>
      </c>
      <c r="B2327" s="2" t="s">
        <v>1784</v>
      </c>
      <c r="C2327" s="2">
        <v>9620.0</v>
      </c>
      <c r="D2327" s="8" t="s">
        <v>22</v>
      </c>
      <c r="E2327" s="9" t="s">
        <v>23</v>
      </c>
      <c r="F2327" s="33">
        <v>1.0</v>
      </c>
      <c r="G2327" s="33">
        <v>2390.0</v>
      </c>
      <c r="H2327" s="35">
        <v>46159.0</v>
      </c>
      <c r="I2327" s="2" t="s">
        <v>1183</v>
      </c>
      <c r="J2327" s="12" t="s">
        <v>1783</v>
      </c>
    </row>
    <row r="2328" ht="22.5" customHeight="1">
      <c r="A2328" s="2" t="s">
        <v>1390</v>
      </c>
      <c r="B2328" s="2" t="s">
        <v>1199</v>
      </c>
      <c r="C2328" s="2" t="s">
        <v>1200</v>
      </c>
      <c r="D2328" s="8" t="s">
        <v>22</v>
      </c>
      <c r="E2328" s="9" t="s">
        <v>18</v>
      </c>
      <c r="F2328" s="33">
        <v>1.0</v>
      </c>
      <c r="G2328" s="33">
        <v>725.0</v>
      </c>
      <c r="H2328" s="35">
        <v>46159.0</v>
      </c>
      <c r="I2328" s="2" t="s">
        <v>14</v>
      </c>
      <c r="J2328" s="12" t="s">
        <v>1391</v>
      </c>
    </row>
    <row r="2329" ht="22.5" customHeight="1">
      <c r="A2329" s="2" t="s">
        <v>1390</v>
      </c>
      <c r="B2329" s="2" t="s">
        <v>1199</v>
      </c>
      <c r="C2329" s="2" t="s">
        <v>1200</v>
      </c>
      <c r="D2329" s="8" t="s">
        <v>22</v>
      </c>
      <c r="E2329" s="9" t="s">
        <v>47</v>
      </c>
      <c r="F2329" s="33">
        <v>1.0</v>
      </c>
      <c r="G2329" s="33">
        <v>725.0</v>
      </c>
      <c r="H2329" s="35">
        <v>46159.0</v>
      </c>
      <c r="I2329" s="2" t="s">
        <v>14</v>
      </c>
      <c r="J2329" s="12" t="s">
        <v>1391</v>
      </c>
    </row>
    <row r="2330" ht="22.5" customHeight="1">
      <c r="A2330" s="2" t="s">
        <v>1390</v>
      </c>
      <c r="B2330" s="2" t="s">
        <v>1201</v>
      </c>
      <c r="C2330" s="2" t="s">
        <v>1202</v>
      </c>
      <c r="D2330" s="8" t="s">
        <v>22</v>
      </c>
      <c r="E2330" s="9" t="s">
        <v>13</v>
      </c>
      <c r="F2330" s="33">
        <v>1.0</v>
      </c>
      <c r="G2330" s="33">
        <v>725.0</v>
      </c>
      <c r="H2330" s="35">
        <v>46159.0</v>
      </c>
      <c r="I2330" s="2" t="s">
        <v>14</v>
      </c>
      <c r="J2330" s="12" t="s">
        <v>1391</v>
      </c>
    </row>
    <row r="2331" ht="22.5" customHeight="1">
      <c r="A2331" s="2" t="s">
        <v>1390</v>
      </c>
      <c r="B2331" s="2" t="s">
        <v>1203</v>
      </c>
      <c r="C2331" s="2" t="s">
        <v>1204</v>
      </c>
      <c r="D2331" s="8" t="s">
        <v>22</v>
      </c>
      <c r="E2331" s="9" t="s">
        <v>23</v>
      </c>
      <c r="F2331" s="33">
        <v>1.0</v>
      </c>
      <c r="G2331" s="33">
        <v>725.0</v>
      </c>
      <c r="H2331" s="35">
        <v>46159.0</v>
      </c>
      <c r="I2331" s="2" t="s">
        <v>14</v>
      </c>
      <c r="J2331" s="12" t="s">
        <v>1391</v>
      </c>
    </row>
    <row r="2332" ht="22.5" customHeight="1">
      <c r="A2332" s="2" t="s">
        <v>1390</v>
      </c>
      <c r="B2332" s="2" t="s">
        <v>1203</v>
      </c>
      <c r="C2332" s="2" t="s">
        <v>1204</v>
      </c>
      <c r="D2332" s="8" t="s">
        <v>22</v>
      </c>
      <c r="E2332" s="9" t="s">
        <v>13</v>
      </c>
      <c r="F2332" s="33">
        <v>1.0</v>
      </c>
      <c r="G2332" s="33">
        <v>725.0</v>
      </c>
      <c r="H2332" s="35">
        <v>46159.0</v>
      </c>
      <c r="I2332" s="2" t="s">
        <v>14</v>
      </c>
      <c r="J2332" s="12" t="s">
        <v>1391</v>
      </c>
    </row>
    <row r="2333" ht="22.5" customHeight="1">
      <c r="A2333" s="2" t="s">
        <v>1785</v>
      </c>
      <c r="B2333" s="2" t="s">
        <v>352</v>
      </c>
      <c r="C2333" s="2">
        <v>5709.0</v>
      </c>
      <c r="D2333" s="8" t="s">
        <v>12</v>
      </c>
      <c r="E2333" s="9" t="s">
        <v>340</v>
      </c>
      <c r="F2333" s="33">
        <v>1.0</v>
      </c>
      <c r="G2333" s="33">
        <v>2350.0</v>
      </c>
      <c r="H2333" s="35">
        <v>46159.0</v>
      </c>
      <c r="I2333" s="2" t="s">
        <v>24</v>
      </c>
      <c r="J2333" s="2"/>
    </row>
    <row r="2334" ht="22.5" customHeight="1">
      <c r="A2334" s="2" t="s">
        <v>1786</v>
      </c>
      <c r="B2334" s="2" t="s">
        <v>1671</v>
      </c>
      <c r="C2334" s="2" t="s">
        <v>1672</v>
      </c>
      <c r="D2334" s="8" t="s">
        <v>46</v>
      </c>
      <c r="E2334" s="9" t="s">
        <v>47</v>
      </c>
      <c r="F2334" s="33">
        <v>1.0</v>
      </c>
      <c r="G2334" s="33">
        <v>1200.0</v>
      </c>
      <c r="H2334" s="35">
        <v>46159.0</v>
      </c>
      <c r="I2334" s="2" t="s">
        <v>14</v>
      </c>
      <c r="J2334" s="12" t="s">
        <v>1787</v>
      </c>
    </row>
    <row r="2335" ht="22.5" customHeight="1">
      <c r="A2335" s="2" t="s">
        <v>1786</v>
      </c>
      <c r="B2335" s="2" t="s">
        <v>762</v>
      </c>
      <c r="C2335" s="2" t="s">
        <v>763</v>
      </c>
      <c r="D2335" s="8" t="s">
        <v>46</v>
      </c>
      <c r="E2335" s="9" t="s">
        <v>1788</v>
      </c>
      <c r="F2335" s="33">
        <v>1.0</v>
      </c>
      <c r="G2335" s="33">
        <v>3400.0</v>
      </c>
      <c r="H2335" s="35">
        <v>46159.0</v>
      </c>
      <c r="I2335" s="2" t="s">
        <v>14</v>
      </c>
      <c r="J2335" s="12" t="s">
        <v>1787</v>
      </c>
    </row>
    <row r="2336" ht="22.5" customHeight="1">
      <c r="A2336" s="2" t="s">
        <v>1789</v>
      </c>
      <c r="B2336" s="2" t="s">
        <v>1653</v>
      </c>
      <c r="C2336" s="2">
        <v>1653.0</v>
      </c>
      <c r="D2336" s="8" t="s">
        <v>22</v>
      </c>
      <c r="E2336" s="9" t="s">
        <v>13</v>
      </c>
      <c r="F2336" s="33">
        <v>1.0</v>
      </c>
      <c r="G2336" s="33">
        <v>2500.0</v>
      </c>
      <c r="H2336" s="35">
        <v>46159.0</v>
      </c>
      <c r="I2336" s="2" t="s">
        <v>14</v>
      </c>
      <c r="J2336" s="12" t="s">
        <v>1790</v>
      </c>
    </row>
    <row r="2337" ht="22.5" customHeight="1">
      <c r="A2337" s="2" t="s">
        <v>1329</v>
      </c>
      <c r="B2337" s="2" t="s">
        <v>1653</v>
      </c>
      <c r="C2337" s="2">
        <v>1653.0</v>
      </c>
      <c r="D2337" s="8" t="s">
        <v>22</v>
      </c>
      <c r="E2337" s="9" t="s">
        <v>13</v>
      </c>
      <c r="F2337" s="33">
        <v>1.0</v>
      </c>
      <c r="G2337" s="33">
        <v>2500.0</v>
      </c>
      <c r="H2337" s="35">
        <v>46159.0</v>
      </c>
      <c r="I2337" s="2" t="s">
        <v>14</v>
      </c>
      <c r="J2337" s="12" t="s">
        <v>1331</v>
      </c>
    </row>
    <row r="2338" ht="22.5" customHeight="1">
      <c r="A2338" s="2" t="s">
        <v>1791</v>
      </c>
      <c r="B2338" s="2" t="s">
        <v>1653</v>
      </c>
      <c r="C2338" s="2">
        <v>1653.0</v>
      </c>
      <c r="D2338" s="8" t="s">
        <v>12</v>
      </c>
      <c r="E2338" s="9" t="s">
        <v>13</v>
      </c>
      <c r="F2338" s="33">
        <v>1.0</v>
      </c>
      <c r="G2338" s="33">
        <v>2500.0</v>
      </c>
      <c r="H2338" s="35">
        <v>46159.0</v>
      </c>
      <c r="I2338" s="2" t="s">
        <v>14</v>
      </c>
      <c r="J2338" s="12" t="s">
        <v>1792</v>
      </c>
    </row>
    <row r="2339" ht="22.5" customHeight="1">
      <c r="A2339" s="2" t="s">
        <v>526</v>
      </c>
      <c r="B2339" s="2" t="s">
        <v>1653</v>
      </c>
      <c r="C2339" s="2">
        <v>1653.0</v>
      </c>
      <c r="D2339" s="8" t="s">
        <v>22</v>
      </c>
      <c r="E2339" s="9" t="s">
        <v>13</v>
      </c>
      <c r="F2339" s="33">
        <v>1.0</v>
      </c>
      <c r="G2339" s="33">
        <v>2500.0</v>
      </c>
      <c r="H2339" s="35">
        <v>46159.0</v>
      </c>
      <c r="I2339" s="2" t="s">
        <v>14</v>
      </c>
      <c r="J2339" s="12" t="s">
        <v>527</v>
      </c>
    </row>
    <row r="2340" ht="22.5" customHeight="1">
      <c r="A2340" s="2" t="s">
        <v>1720</v>
      </c>
      <c r="B2340" s="2" t="s">
        <v>1653</v>
      </c>
      <c r="C2340" s="2">
        <v>1653.0</v>
      </c>
      <c r="D2340" s="8" t="s">
        <v>12</v>
      </c>
      <c r="E2340" s="9" t="s">
        <v>13</v>
      </c>
      <c r="F2340" s="33">
        <v>1.0</v>
      </c>
      <c r="G2340" s="33">
        <v>2500.0</v>
      </c>
      <c r="H2340" s="35">
        <v>46159.0</v>
      </c>
      <c r="I2340" s="2" t="s">
        <v>14</v>
      </c>
      <c r="J2340" s="12" t="s">
        <v>1721</v>
      </c>
    </row>
    <row r="2341" ht="22.5" customHeight="1">
      <c r="A2341" s="2" t="s">
        <v>1175</v>
      </c>
      <c r="B2341" s="2" t="s">
        <v>1653</v>
      </c>
      <c r="C2341" s="2">
        <v>1653.0</v>
      </c>
      <c r="D2341" s="8" t="s">
        <v>22</v>
      </c>
      <c r="E2341" s="9" t="s">
        <v>13</v>
      </c>
      <c r="F2341" s="33">
        <v>1.0</v>
      </c>
      <c r="G2341" s="33">
        <v>2500.0</v>
      </c>
      <c r="H2341" s="35">
        <v>46159.0</v>
      </c>
      <c r="I2341" s="2" t="s">
        <v>14</v>
      </c>
      <c r="J2341" s="12" t="s">
        <v>1177</v>
      </c>
    </row>
    <row r="2342" ht="22.5" customHeight="1">
      <c r="A2342" s="2" t="s">
        <v>769</v>
      </c>
      <c r="B2342" s="2" t="s">
        <v>1771</v>
      </c>
      <c r="C2342" s="2" t="s">
        <v>1772</v>
      </c>
      <c r="D2342" s="8">
        <v>39.0</v>
      </c>
      <c r="E2342" s="9" t="s">
        <v>27</v>
      </c>
      <c r="F2342" s="33">
        <v>1.0</v>
      </c>
      <c r="G2342" s="33">
        <v>2690.0</v>
      </c>
      <c r="H2342" s="35">
        <v>46159.0</v>
      </c>
      <c r="I2342" s="2" t="s">
        <v>473</v>
      </c>
      <c r="J2342" s="12" t="s">
        <v>1793</v>
      </c>
    </row>
    <row r="2343" ht="22.5" customHeight="1">
      <c r="A2343" s="2" t="s">
        <v>1794</v>
      </c>
      <c r="B2343" s="2" t="s">
        <v>1771</v>
      </c>
      <c r="C2343" s="2" t="s">
        <v>1772</v>
      </c>
      <c r="D2343" s="8">
        <v>38.0</v>
      </c>
      <c r="E2343" s="9" t="s">
        <v>26</v>
      </c>
      <c r="F2343" s="33">
        <v>1.0</v>
      </c>
      <c r="G2343" s="33">
        <v>2690.0</v>
      </c>
      <c r="H2343" s="35">
        <v>46159.0</v>
      </c>
      <c r="I2343" s="2" t="s">
        <v>14</v>
      </c>
      <c r="J2343" s="12" t="s">
        <v>1795</v>
      </c>
    </row>
    <row r="2344" ht="22.5" customHeight="1">
      <c r="A2344" s="2" t="s">
        <v>332</v>
      </c>
      <c r="B2344" s="2" t="s">
        <v>1771</v>
      </c>
      <c r="C2344" s="2" t="s">
        <v>1772</v>
      </c>
      <c r="D2344" s="8">
        <v>38.0</v>
      </c>
      <c r="E2344" s="9" t="s">
        <v>27</v>
      </c>
      <c r="F2344" s="33">
        <v>1.0</v>
      </c>
      <c r="G2344" s="33">
        <v>2690.0</v>
      </c>
      <c r="H2344" s="35">
        <v>46159.0</v>
      </c>
      <c r="I2344" s="2" t="s">
        <v>14</v>
      </c>
      <c r="J2344" s="12" t="s">
        <v>500</v>
      </c>
    </row>
    <row r="2345" ht="22.5" customHeight="1">
      <c r="A2345" s="2" t="s">
        <v>530</v>
      </c>
      <c r="B2345" s="2" t="s">
        <v>1771</v>
      </c>
      <c r="C2345" s="2" t="s">
        <v>1772</v>
      </c>
      <c r="D2345" s="8">
        <v>38.0</v>
      </c>
      <c r="E2345" s="9" t="s">
        <v>18</v>
      </c>
      <c r="F2345" s="33">
        <v>1.0</v>
      </c>
      <c r="G2345" s="33">
        <v>2690.0</v>
      </c>
      <c r="H2345" s="35">
        <v>46159.0</v>
      </c>
      <c r="I2345" s="2" t="s">
        <v>14</v>
      </c>
      <c r="J2345" s="12" t="s">
        <v>1796</v>
      </c>
    </row>
    <row r="2346" ht="22.5" customHeight="1">
      <c r="A2346" s="2" t="s">
        <v>1797</v>
      </c>
      <c r="B2346" s="2" t="s">
        <v>1771</v>
      </c>
      <c r="C2346" s="2" t="s">
        <v>1772</v>
      </c>
      <c r="D2346" s="8">
        <v>37.0</v>
      </c>
      <c r="E2346" s="9" t="s">
        <v>18</v>
      </c>
      <c r="F2346" s="33">
        <v>1.0</v>
      </c>
      <c r="G2346" s="33">
        <v>2690.0</v>
      </c>
      <c r="H2346" s="35">
        <v>46159.0</v>
      </c>
      <c r="I2346" s="2" t="s">
        <v>14</v>
      </c>
      <c r="J2346" s="12" t="s">
        <v>1798</v>
      </c>
    </row>
    <row r="2347" ht="22.5" customHeight="1">
      <c r="A2347" s="2" t="s">
        <v>88</v>
      </c>
      <c r="B2347" s="2" t="s">
        <v>1771</v>
      </c>
      <c r="C2347" s="2" t="s">
        <v>1772</v>
      </c>
      <c r="D2347" s="8">
        <v>38.0</v>
      </c>
      <c r="E2347" s="9" t="s">
        <v>26</v>
      </c>
      <c r="F2347" s="33">
        <v>1.0</v>
      </c>
      <c r="G2347" s="33">
        <v>2690.0</v>
      </c>
      <c r="H2347" s="35">
        <v>46159.0</v>
      </c>
      <c r="I2347" s="2" t="s">
        <v>14</v>
      </c>
      <c r="J2347" s="2"/>
    </row>
    <row r="2348" ht="22.5" customHeight="1">
      <c r="A2348" s="2" t="s">
        <v>1799</v>
      </c>
      <c r="B2348" s="2" t="s">
        <v>1771</v>
      </c>
      <c r="C2348" s="2" t="s">
        <v>1772</v>
      </c>
      <c r="D2348" s="8">
        <v>38.0</v>
      </c>
      <c r="E2348" s="9" t="s">
        <v>26</v>
      </c>
      <c r="F2348" s="33">
        <v>1.0</v>
      </c>
      <c r="G2348" s="33">
        <v>2690.0</v>
      </c>
      <c r="H2348" s="35">
        <v>46159.0</v>
      </c>
      <c r="I2348" s="2" t="s">
        <v>473</v>
      </c>
      <c r="J2348" s="12" t="s">
        <v>1800</v>
      </c>
    </row>
    <row r="2349" ht="22.5" customHeight="1">
      <c r="A2349" s="2" t="s">
        <v>1799</v>
      </c>
      <c r="B2349" s="2" t="s">
        <v>1771</v>
      </c>
      <c r="C2349" s="2" t="s">
        <v>1772</v>
      </c>
      <c r="D2349" s="8">
        <v>38.0</v>
      </c>
      <c r="E2349" s="9" t="s">
        <v>18</v>
      </c>
      <c r="F2349" s="33">
        <v>1.0</v>
      </c>
      <c r="G2349" s="33">
        <v>2690.0</v>
      </c>
      <c r="H2349" s="35">
        <v>46159.0</v>
      </c>
      <c r="I2349" s="2" t="s">
        <v>473</v>
      </c>
      <c r="J2349" s="12" t="s">
        <v>1800</v>
      </c>
    </row>
    <row r="2350" ht="22.5" customHeight="1">
      <c r="A2350" s="2" t="s">
        <v>575</v>
      </c>
      <c r="B2350" s="2" t="s">
        <v>1771</v>
      </c>
      <c r="C2350" s="2" t="s">
        <v>1772</v>
      </c>
      <c r="D2350" s="8">
        <v>38.0</v>
      </c>
      <c r="E2350" s="9" t="s">
        <v>18</v>
      </c>
      <c r="F2350" s="33">
        <v>1.0</v>
      </c>
      <c r="G2350" s="33">
        <v>2690.0</v>
      </c>
      <c r="H2350" s="35">
        <v>46159.0</v>
      </c>
      <c r="I2350" s="2" t="s">
        <v>473</v>
      </c>
      <c r="J2350" s="12" t="s">
        <v>1060</v>
      </c>
    </row>
    <row r="2351" ht="22.5" customHeight="1">
      <c r="A2351" s="2" t="s">
        <v>28</v>
      </c>
      <c r="B2351" s="2" t="s">
        <v>1771</v>
      </c>
      <c r="C2351" s="2" t="s">
        <v>1772</v>
      </c>
      <c r="D2351" s="8">
        <v>37.0</v>
      </c>
      <c r="E2351" s="9" t="s">
        <v>18</v>
      </c>
      <c r="F2351" s="33">
        <v>1.0</v>
      </c>
      <c r="G2351" s="33">
        <v>2690.0</v>
      </c>
      <c r="H2351" s="35">
        <v>46159.0</v>
      </c>
      <c r="I2351" s="2" t="s">
        <v>14</v>
      </c>
      <c r="J2351" s="12" t="s">
        <v>1801</v>
      </c>
    </row>
    <row r="2352" ht="22.5" customHeight="1">
      <c r="A2352" s="2" t="s">
        <v>275</v>
      </c>
      <c r="B2352" s="2" t="s">
        <v>440</v>
      </c>
      <c r="C2352" s="2" t="s">
        <v>441</v>
      </c>
      <c r="D2352" s="8" t="s">
        <v>46</v>
      </c>
      <c r="E2352" s="9" t="s">
        <v>47</v>
      </c>
      <c r="F2352" s="33">
        <v>1.0</v>
      </c>
      <c r="G2352" s="33">
        <v>1200.0</v>
      </c>
      <c r="H2352" s="35">
        <v>46160.0</v>
      </c>
      <c r="I2352" s="2" t="s">
        <v>14</v>
      </c>
      <c r="J2352" s="12" t="s">
        <v>1270</v>
      </c>
    </row>
    <row r="2353" ht="22.5" customHeight="1">
      <c r="A2353" s="2" t="s">
        <v>1131</v>
      </c>
      <c r="B2353" s="2" t="s">
        <v>1212</v>
      </c>
      <c r="C2353" s="2">
        <v>92212.0</v>
      </c>
      <c r="D2353" s="8" t="s">
        <v>46</v>
      </c>
      <c r="E2353" s="9" t="s">
        <v>16</v>
      </c>
      <c r="F2353" s="33">
        <v>1.0</v>
      </c>
      <c r="G2353" s="33">
        <v>1700.0</v>
      </c>
      <c r="H2353" s="35">
        <v>46160.0</v>
      </c>
      <c r="I2353" s="2" t="s">
        <v>14</v>
      </c>
      <c r="J2353" s="12" t="s">
        <v>1802</v>
      </c>
    </row>
    <row r="2354" ht="22.5" customHeight="1">
      <c r="A2354" s="2" t="s">
        <v>1131</v>
      </c>
      <c r="B2354" s="2" t="s">
        <v>958</v>
      </c>
      <c r="C2354" s="2" t="s">
        <v>959</v>
      </c>
      <c r="D2354" s="8" t="s">
        <v>12</v>
      </c>
      <c r="E2354" s="9" t="s">
        <v>18</v>
      </c>
      <c r="F2354" s="33">
        <v>1.0</v>
      </c>
      <c r="G2354" s="33">
        <v>1800.0</v>
      </c>
      <c r="H2354" s="35">
        <v>46160.0</v>
      </c>
      <c r="I2354" s="2" t="s">
        <v>14</v>
      </c>
      <c r="J2354" s="12" t="s">
        <v>1802</v>
      </c>
    </row>
    <row r="2355" ht="22.5" customHeight="1">
      <c r="A2355" s="2" t="s">
        <v>1131</v>
      </c>
      <c r="B2355" s="2" t="s">
        <v>1803</v>
      </c>
      <c r="C2355" s="2">
        <v>5670.0</v>
      </c>
      <c r="D2355" s="8" t="s">
        <v>12</v>
      </c>
      <c r="E2355" s="9" t="s">
        <v>13</v>
      </c>
      <c r="F2355" s="33">
        <v>1.0</v>
      </c>
      <c r="G2355" s="33">
        <v>2990.0</v>
      </c>
      <c r="H2355" s="35">
        <v>46160.0</v>
      </c>
      <c r="I2355" s="2" t="s">
        <v>14</v>
      </c>
      <c r="J2355" s="12" t="s">
        <v>1802</v>
      </c>
    </row>
    <row r="2356" ht="22.5" customHeight="1">
      <c r="A2356" s="2" t="s">
        <v>1071</v>
      </c>
      <c r="B2356" s="2" t="s">
        <v>1203</v>
      </c>
      <c r="C2356" s="2" t="s">
        <v>1204</v>
      </c>
      <c r="D2356" s="8" t="s">
        <v>75</v>
      </c>
      <c r="E2356" s="9" t="s">
        <v>47</v>
      </c>
      <c r="F2356" s="33">
        <v>2.0</v>
      </c>
      <c r="G2356" s="33">
        <v>725.0</v>
      </c>
      <c r="H2356" s="35">
        <v>46160.0</v>
      </c>
      <c r="I2356" s="2" t="s">
        <v>1183</v>
      </c>
      <c r="J2356" s="12" t="s">
        <v>1750</v>
      </c>
    </row>
    <row r="2357" ht="22.5" customHeight="1">
      <c r="A2357" s="2" t="s">
        <v>1071</v>
      </c>
      <c r="B2357" s="2" t="s">
        <v>1203</v>
      </c>
      <c r="C2357" s="2" t="s">
        <v>1204</v>
      </c>
      <c r="D2357" s="8" t="s">
        <v>75</v>
      </c>
      <c r="E2357" s="9" t="s">
        <v>18</v>
      </c>
      <c r="F2357" s="33">
        <v>1.0</v>
      </c>
      <c r="G2357" s="33">
        <v>725.0</v>
      </c>
      <c r="H2357" s="35">
        <v>46160.0</v>
      </c>
      <c r="I2357" s="2" t="s">
        <v>473</v>
      </c>
      <c r="J2357" s="12" t="s">
        <v>1750</v>
      </c>
    </row>
    <row r="2358" ht="22.5" customHeight="1">
      <c r="A2358" s="2" t="s">
        <v>1071</v>
      </c>
      <c r="B2358" s="2" t="s">
        <v>1203</v>
      </c>
      <c r="C2358" s="2" t="s">
        <v>1204</v>
      </c>
      <c r="D2358" s="8" t="s">
        <v>75</v>
      </c>
      <c r="E2358" s="9" t="s">
        <v>23</v>
      </c>
      <c r="F2358" s="33">
        <v>1.0</v>
      </c>
      <c r="G2358" s="33">
        <v>725.0</v>
      </c>
      <c r="H2358" s="35">
        <v>46160.0</v>
      </c>
      <c r="I2358" s="2" t="s">
        <v>473</v>
      </c>
      <c r="J2358" s="12" t="s">
        <v>1750</v>
      </c>
    </row>
    <row r="2359" ht="22.5" customHeight="1">
      <c r="A2359" s="2" t="s">
        <v>1142</v>
      </c>
      <c r="B2359" s="2" t="s">
        <v>268</v>
      </c>
      <c r="C2359" s="2" t="s">
        <v>269</v>
      </c>
      <c r="D2359" s="8">
        <v>35.0</v>
      </c>
      <c r="E2359" s="9" t="s">
        <v>18</v>
      </c>
      <c r="F2359" s="33">
        <v>1.0</v>
      </c>
      <c r="G2359" s="33">
        <v>1990.0</v>
      </c>
      <c r="H2359" s="35">
        <v>46160.0</v>
      </c>
      <c r="I2359" s="2" t="s">
        <v>14</v>
      </c>
      <c r="J2359" s="12" t="s">
        <v>1143</v>
      </c>
    </row>
    <row r="2360" ht="22.5" customHeight="1">
      <c r="A2360" s="2" t="s">
        <v>1804</v>
      </c>
      <c r="B2360" s="2" t="s">
        <v>1653</v>
      </c>
      <c r="C2360" s="2">
        <v>1653.0</v>
      </c>
      <c r="D2360" s="8" t="s">
        <v>22</v>
      </c>
      <c r="E2360" s="9" t="s">
        <v>13</v>
      </c>
      <c r="F2360" s="33">
        <v>1.0</v>
      </c>
      <c r="G2360" s="33">
        <v>2500.0</v>
      </c>
      <c r="H2360" s="35">
        <v>46160.0</v>
      </c>
      <c r="I2360" s="2" t="s">
        <v>14</v>
      </c>
      <c r="J2360" s="12" t="s">
        <v>1805</v>
      </c>
    </row>
    <row r="2361" ht="22.5" customHeight="1">
      <c r="A2361" s="2" t="s">
        <v>426</v>
      </c>
      <c r="B2361" s="2" t="s">
        <v>1671</v>
      </c>
      <c r="C2361" s="2" t="s">
        <v>1672</v>
      </c>
      <c r="D2361" s="8" t="s">
        <v>46</v>
      </c>
      <c r="E2361" s="9" t="s">
        <v>47</v>
      </c>
      <c r="F2361" s="33">
        <v>1.0</v>
      </c>
      <c r="G2361" s="33">
        <v>1200.0</v>
      </c>
      <c r="H2361" s="35">
        <v>46160.0</v>
      </c>
      <c r="I2361" s="2" t="s">
        <v>1183</v>
      </c>
      <c r="J2361" s="12" t="s">
        <v>1806</v>
      </c>
    </row>
    <row r="2362" ht="22.5" customHeight="1">
      <c r="A2362" s="2" t="s">
        <v>1807</v>
      </c>
      <c r="B2362" s="2" t="s">
        <v>1803</v>
      </c>
      <c r="C2362" s="2">
        <v>5670.0</v>
      </c>
      <c r="D2362" s="8" t="s">
        <v>12</v>
      </c>
      <c r="E2362" s="9" t="s">
        <v>13</v>
      </c>
      <c r="F2362" s="33">
        <v>1.0</v>
      </c>
      <c r="G2362" s="33">
        <v>2990.0</v>
      </c>
      <c r="H2362" s="35">
        <v>46160.0</v>
      </c>
      <c r="I2362" s="2" t="s">
        <v>24</v>
      </c>
      <c r="J2362" s="12" t="s">
        <v>1808</v>
      </c>
    </row>
    <row r="2363" ht="22.5" customHeight="1">
      <c r="A2363" s="2" t="s">
        <v>828</v>
      </c>
      <c r="B2363" s="2" t="s">
        <v>1803</v>
      </c>
      <c r="C2363" s="2">
        <v>5670.0</v>
      </c>
      <c r="D2363" s="8" t="s">
        <v>12</v>
      </c>
      <c r="E2363" s="9" t="s">
        <v>13</v>
      </c>
      <c r="F2363" s="33">
        <v>1.0</v>
      </c>
      <c r="G2363" s="33">
        <v>2990.0</v>
      </c>
      <c r="H2363" s="35">
        <v>46160.0</v>
      </c>
      <c r="I2363" s="2" t="s">
        <v>473</v>
      </c>
      <c r="J2363" s="12" t="s">
        <v>1809</v>
      </c>
    </row>
    <row r="2364" ht="22.5" customHeight="1">
      <c r="A2364" s="2" t="s">
        <v>1701</v>
      </c>
      <c r="B2364" s="2" t="s">
        <v>1803</v>
      </c>
      <c r="C2364" s="2">
        <v>5670.0</v>
      </c>
      <c r="D2364" s="8" t="s">
        <v>22</v>
      </c>
      <c r="E2364" s="9" t="s">
        <v>13</v>
      </c>
      <c r="F2364" s="33">
        <v>1.0</v>
      </c>
      <c r="G2364" s="33">
        <v>2990.0</v>
      </c>
      <c r="H2364" s="35">
        <v>46160.0</v>
      </c>
      <c r="I2364" s="2" t="s">
        <v>473</v>
      </c>
      <c r="J2364" s="12" t="s">
        <v>1702</v>
      </c>
    </row>
    <row r="2365" ht="22.5" customHeight="1">
      <c r="A2365" s="2" t="s">
        <v>266</v>
      </c>
      <c r="B2365" s="2" t="s">
        <v>1803</v>
      </c>
      <c r="C2365" s="2">
        <v>5670.0</v>
      </c>
      <c r="D2365" s="8" t="s">
        <v>22</v>
      </c>
      <c r="E2365" s="9" t="s">
        <v>13</v>
      </c>
      <c r="F2365" s="33">
        <v>1.0</v>
      </c>
      <c r="G2365" s="33">
        <v>2990.0</v>
      </c>
      <c r="H2365" s="35">
        <v>46160.0</v>
      </c>
      <c r="I2365" s="2" t="s">
        <v>473</v>
      </c>
      <c r="J2365" s="12" t="s">
        <v>982</v>
      </c>
    </row>
    <row r="2366" ht="22.5" customHeight="1">
      <c r="A2366" s="2" t="s">
        <v>1810</v>
      </c>
      <c r="B2366" s="2" t="s">
        <v>1803</v>
      </c>
      <c r="C2366" s="2">
        <v>5670.0</v>
      </c>
      <c r="D2366" s="8" t="s">
        <v>12</v>
      </c>
      <c r="E2366" s="9" t="s">
        <v>13</v>
      </c>
      <c r="F2366" s="33">
        <v>1.0</v>
      </c>
      <c r="G2366" s="33">
        <v>2990.0</v>
      </c>
      <c r="H2366" s="35">
        <v>46160.0</v>
      </c>
      <c r="I2366" s="2" t="s">
        <v>14</v>
      </c>
      <c r="J2366" s="12" t="s">
        <v>1811</v>
      </c>
    </row>
    <row r="2367" ht="22.5" customHeight="1">
      <c r="A2367" s="2" t="s">
        <v>326</v>
      </c>
      <c r="B2367" s="2" t="s">
        <v>1803</v>
      </c>
      <c r="C2367" s="2">
        <v>5670.0</v>
      </c>
      <c r="D2367" s="8" t="s">
        <v>12</v>
      </c>
      <c r="E2367" s="9" t="s">
        <v>13</v>
      </c>
      <c r="F2367" s="33">
        <v>1.0</v>
      </c>
      <c r="G2367" s="33">
        <v>2990.0</v>
      </c>
      <c r="H2367" s="35">
        <v>46160.0</v>
      </c>
      <c r="I2367" s="2" t="s">
        <v>473</v>
      </c>
      <c r="J2367" s="12" t="s">
        <v>1812</v>
      </c>
    </row>
    <row r="2368" ht="22.5" customHeight="1">
      <c r="A2368" s="2" t="s">
        <v>1541</v>
      </c>
      <c r="B2368" s="2" t="s">
        <v>1803</v>
      </c>
      <c r="C2368" s="2">
        <v>5670.0</v>
      </c>
      <c r="D2368" s="8" t="s">
        <v>12</v>
      </c>
      <c r="E2368" s="9" t="s">
        <v>13</v>
      </c>
      <c r="F2368" s="33">
        <v>1.0</v>
      </c>
      <c r="G2368" s="33">
        <v>2990.0</v>
      </c>
      <c r="H2368" s="35">
        <v>46160.0</v>
      </c>
      <c r="I2368" s="2" t="s">
        <v>473</v>
      </c>
      <c r="J2368" s="12" t="s">
        <v>1813</v>
      </c>
    </row>
    <row r="2369" ht="22.5" customHeight="1">
      <c r="A2369" s="2" t="s">
        <v>1814</v>
      </c>
      <c r="B2369" s="2" t="s">
        <v>1803</v>
      </c>
      <c r="C2369" s="2">
        <v>5670.0</v>
      </c>
      <c r="D2369" s="8" t="s">
        <v>22</v>
      </c>
      <c r="E2369" s="9" t="s">
        <v>13</v>
      </c>
      <c r="F2369" s="33">
        <v>1.0</v>
      </c>
      <c r="G2369" s="33">
        <v>2990.0</v>
      </c>
      <c r="H2369" s="35">
        <v>46160.0</v>
      </c>
      <c r="I2369" s="2" t="s">
        <v>14</v>
      </c>
      <c r="J2369" s="12" t="s">
        <v>1815</v>
      </c>
    </row>
    <row r="2370" ht="22.5" customHeight="1">
      <c r="A2370" s="2" t="s">
        <v>1007</v>
      </c>
      <c r="B2370" s="2" t="s">
        <v>1803</v>
      </c>
      <c r="C2370" s="2">
        <v>5670.0</v>
      </c>
      <c r="D2370" s="8" t="s">
        <v>22</v>
      </c>
      <c r="E2370" s="9" t="s">
        <v>13</v>
      </c>
      <c r="F2370" s="33">
        <v>1.0</v>
      </c>
      <c r="G2370" s="33">
        <v>2990.0</v>
      </c>
      <c r="H2370" s="35">
        <v>46160.0</v>
      </c>
      <c r="I2370" s="2" t="s">
        <v>14</v>
      </c>
      <c r="J2370" s="12" t="s">
        <v>1816</v>
      </c>
    </row>
    <row r="2371" ht="22.5" customHeight="1">
      <c r="A2371" s="2" t="s">
        <v>1817</v>
      </c>
      <c r="B2371" s="2" t="s">
        <v>1803</v>
      </c>
      <c r="C2371" s="2">
        <v>5670.0</v>
      </c>
      <c r="D2371" s="8" t="s">
        <v>22</v>
      </c>
      <c r="E2371" s="9" t="s">
        <v>13</v>
      </c>
      <c r="F2371" s="33">
        <v>1.0</v>
      </c>
      <c r="G2371" s="33">
        <v>2990.0</v>
      </c>
      <c r="H2371" s="35">
        <v>46160.0</v>
      </c>
      <c r="I2371" s="2" t="s">
        <v>473</v>
      </c>
      <c r="J2371" s="2"/>
    </row>
    <row r="2372" ht="22.5" customHeight="1">
      <c r="A2372" s="2" t="s">
        <v>1818</v>
      </c>
      <c r="B2372" s="2" t="s">
        <v>1653</v>
      </c>
      <c r="C2372" s="2">
        <v>1653.0</v>
      </c>
      <c r="D2372" s="8" t="s">
        <v>12</v>
      </c>
      <c r="E2372" s="9" t="s">
        <v>13</v>
      </c>
      <c r="F2372" s="33">
        <v>1.0</v>
      </c>
      <c r="G2372" s="33">
        <v>2500.0</v>
      </c>
      <c r="H2372" s="35">
        <v>46161.0</v>
      </c>
      <c r="I2372" s="2" t="s">
        <v>14</v>
      </c>
      <c r="J2372" s="12" t="s">
        <v>1819</v>
      </c>
    </row>
    <row r="2373" ht="22.5" customHeight="1">
      <c r="A2373" s="2" t="s">
        <v>1820</v>
      </c>
      <c r="B2373" s="2" t="s">
        <v>1821</v>
      </c>
      <c r="C2373" s="2">
        <v>1639.0</v>
      </c>
      <c r="D2373" s="8" t="s">
        <v>12</v>
      </c>
      <c r="E2373" s="9" t="s">
        <v>770</v>
      </c>
      <c r="F2373" s="33">
        <v>1.0</v>
      </c>
      <c r="G2373" s="33">
        <v>2990.0</v>
      </c>
      <c r="H2373" s="35">
        <v>46161.0</v>
      </c>
      <c r="I2373" s="2" t="s">
        <v>14</v>
      </c>
      <c r="J2373" s="12" t="s">
        <v>1822</v>
      </c>
    </row>
    <row r="2374" ht="22.5" customHeight="1">
      <c r="A2374" s="2" t="s">
        <v>1823</v>
      </c>
      <c r="B2374" s="2" t="s">
        <v>1821</v>
      </c>
      <c r="C2374" s="2">
        <v>1639.0</v>
      </c>
      <c r="D2374" s="8" t="s">
        <v>22</v>
      </c>
      <c r="E2374" s="9" t="s">
        <v>770</v>
      </c>
      <c r="F2374" s="33">
        <v>1.0</v>
      </c>
      <c r="G2374" s="33">
        <v>2990.0</v>
      </c>
      <c r="H2374" s="35">
        <v>46161.0</v>
      </c>
      <c r="I2374" s="2" t="s">
        <v>473</v>
      </c>
      <c r="J2374" s="12" t="s">
        <v>1824</v>
      </c>
    </row>
    <row r="2375" ht="22.5" customHeight="1">
      <c r="A2375" s="2" t="s">
        <v>1825</v>
      </c>
      <c r="B2375" s="2" t="s">
        <v>1821</v>
      </c>
      <c r="C2375" s="2">
        <v>1639.0</v>
      </c>
      <c r="D2375" s="8" t="s">
        <v>12</v>
      </c>
      <c r="E2375" s="9" t="s">
        <v>770</v>
      </c>
      <c r="F2375" s="33">
        <v>1.0</v>
      </c>
      <c r="G2375" s="33">
        <v>2990.0</v>
      </c>
      <c r="H2375" s="35">
        <v>46161.0</v>
      </c>
      <c r="I2375" s="2" t="s">
        <v>14</v>
      </c>
      <c r="J2375" s="12" t="s">
        <v>1826</v>
      </c>
    </row>
    <row r="2376" ht="22.5" customHeight="1">
      <c r="A2376" s="2" t="s">
        <v>1643</v>
      </c>
      <c r="B2376" s="2" t="s">
        <v>1827</v>
      </c>
      <c r="C2376" s="2">
        <v>9289.0</v>
      </c>
      <c r="D2376" s="8" t="s">
        <v>46</v>
      </c>
      <c r="E2376" s="9" t="s">
        <v>16</v>
      </c>
      <c r="F2376" s="33">
        <v>1.0</v>
      </c>
      <c r="G2376" s="33">
        <v>1100.0</v>
      </c>
      <c r="H2376" s="35">
        <v>46161.0</v>
      </c>
      <c r="I2376" s="2" t="s">
        <v>1183</v>
      </c>
      <c r="J2376" s="12" t="s">
        <v>1644</v>
      </c>
    </row>
    <row r="2377" ht="22.5" customHeight="1">
      <c r="A2377" s="2" t="s">
        <v>1643</v>
      </c>
      <c r="B2377" s="2" t="s">
        <v>1827</v>
      </c>
      <c r="C2377" s="2">
        <v>9289.0</v>
      </c>
      <c r="D2377" s="8" t="s">
        <v>46</v>
      </c>
      <c r="E2377" s="9" t="s">
        <v>773</v>
      </c>
      <c r="F2377" s="33">
        <v>1.0</v>
      </c>
      <c r="G2377" s="33">
        <v>1100.0</v>
      </c>
      <c r="H2377" s="35">
        <v>46161.0</v>
      </c>
      <c r="I2377" s="2" t="s">
        <v>1183</v>
      </c>
      <c r="J2377" s="12" t="s">
        <v>1644</v>
      </c>
    </row>
    <row r="2378" ht="22.5" customHeight="1">
      <c r="A2378" s="2" t="s">
        <v>112</v>
      </c>
      <c r="B2378" s="2" t="s">
        <v>1827</v>
      </c>
      <c r="C2378" s="2">
        <v>9289.0</v>
      </c>
      <c r="D2378" s="8" t="s">
        <v>46</v>
      </c>
      <c r="E2378" s="9" t="s">
        <v>13</v>
      </c>
      <c r="F2378" s="33">
        <v>1.0</v>
      </c>
      <c r="G2378" s="33">
        <v>1100.0</v>
      </c>
      <c r="H2378" s="35">
        <v>46161.0</v>
      </c>
      <c r="I2378" s="2" t="s">
        <v>1183</v>
      </c>
      <c r="J2378" s="12" t="s">
        <v>1828</v>
      </c>
    </row>
    <row r="2379" ht="22.5" customHeight="1">
      <c r="A2379" s="2" t="s">
        <v>112</v>
      </c>
      <c r="B2379" s="2" t="s">
        <v>1827</v>
      </c>
      <c r="C2379" s="2">
        <v>9289.0</v>
      </c>
      <c r="D2379" s="8" t="s">
        <v>46</v>
      </c>
      <c r="E2379" s="9" t="s">
        <v>23</v>
      </c>
      <c r="F2379" s="33">
        <v>1.0</v>
      </c>
      <c r="G2379" s="33">
        <v>1100.0</v>
      </c>
      <c r="H2379" s="35">
        <v>46161.0</v>
      </c>
      <c r="I2379" s="2" t="s">
        <v>1183</v>
      </c>
      <c r="J2379" s="12" t="s">
        <v>1828</v>
      </c>
    </row>
    <row r="2380" ht="22.5" customHeight="1">
      <c r="A2380" s="2" t="s">
        <v>777</v>
      </c>
      <c r="B2380" s="2" t="s">
        <v>1829</v>
      </c>
      <c r="C2380" s="2">
        <v>9717.0</v>
      </c>
      <c r="D2380" s="8" t="s">
        <v>12</v>
      </c>
      <c r="E2380" s="9" t="s">
        <v>13</v>
      </c>
      <c r="F2380" s="33">
        <v>1.0</v>
      </c>
      <c r="G2380" s="33">
        <v>1200.0</v>
      </c>
      <c r="H2380" s="35">
        <v>46161.0</v>
      </c>
      <c r="I2380" s="2" t="s">
        <v>1183</v>
      </c>
      <c r="J2380" s="12" t="s">
        <v>778</v>
      </c>
    </row>
    <row r="2381" ht="22.5" customHeight="1">
      <c r="A2381" s="2" t="s">
        <v>777</v>
      </c>
      <c r="B2381" s="2" t="s">
        <v>1829</v>
      </c>
      <c r="C2381" s="2">
        <v>9717.0</v>
      </c>
      <c r="D2381" s="8" t="s">
        <v>12</v>
      </c>
      <c r="E2381" s="9" t="s">
        <v>914</v>
      </c>
      <c r="F2381" s="33">
        <v>1.0</v>
      </c>
      <c r="G2381" s="33">
        <v>1200.0</v>
      </c>
      <c r="H2381" s="35">
        <v>46161.0</v>
      </c>
      <c r="I2381" s="2" t="s">
        <v>1183</v>
      </c>
      <c r="J2381" s="12" t="s">
        <v>778</v>
      </c>
    </row>
    <row r="2382" ht="22.5" customHeight="1">
      <c r="A2382" s="2" t="s">
        <v>575</v>
      </c>
      <c r="B2382" s="2" t="s">
        <v>1829</v>
      </c>
      <c r="C2382" s="2">
        <v>9717.0</v>
      </c>
      <c r="D2382" s="8" t="s">
        <v>22</v>
      </c>
      <c r="E2382" s="9" t="s">
        <v>13</v>
      </c>
      <c r="F2382" s="33">
        <v>1.0</v>
      </c>
      <c r="G2382" s="33">
        <v>1200.0</v>
      </c>
      <c r="H2382" s="35">
        <v>46161.0</v>
      </c>
      <c r="I2382" s="2" t="s">
        <v>1183</v>
      </c>
      <c r="J2382" s="12" t="s">
        <v>1060</v>
      </c>
    </row>
    <row r="2383" ht="22.5" customHeight="1">
      <c r="A2383" s="2" t="s">
        <v>575</v>
      </c>
      <c r="B2383" s="2" t="s">
        <v>1829</v>
      </c>
      <c r="C2383" s="2">
        <v>9717.0</v>
      </c>
      <c r="D2383" s="8" t="s">
        <v>22</v>
      </c>
      <c r="E2383" s="9" t="s">
        <v>16</v>
      </c>
      <c r="F2383" s="33">
        <v>1.0</v>
      </c>
      <c r="G2383" s="33">
        <v>1200.0</v>
      </c>
      <c r="H2383" s="35">
        <v>46161.0</v>
      </c>
      <c r="I2383" s="2" t="s">
        <v>1183</v>
      </c>
      <c r="J2383" s="12" t="s">
        <v>1060</v>
      </c>
    </row>
    <row r="2384" ht="22.5" customHeight="1">
      <c r="A2384" s="2" t="s">
        <v>1830</v>
      </c>
      <c r="B2384" s="2" t="s">
        <v>1771</v>
      </c>
      <c r="C2384" s="2" t="s">
        <v>1772</v>
      </c>
      <c r="D2384" s="8">
        <v>37.0</v>
      </c>
      <c r="E2384" s="9" t="s">
        <v>18</v>
      </c>
      <c r="F2384" s="33">
        <v>1.0</v>
      </c>
      <c r="G2384" s="33">
        <v>2690.0</v>
      </c>
      <c r="H2384" s="35">
        <v>46161.0</v>
      </c>
      <c r="I2384" s="2" t="s">
        <v>14</v>
      </c>
      <c r="J2384" s="12" t="s">
        <v>1831</v>
      </c>
    </row>
    <row r="2385" ht="22.5" customHeight="1">
      <c r="A2385" s="2" t="s">
        <v>1832</v>
      </c>
      <c r="B2385" s="2" t="s">
        <v>892</v>
      </c>
      <c r="C2385" s="2" t="s">
        <v>893</v>
      </c>
      <c r="D2385" s="8">
        <v>36.0</v>
      </c>
      <c r="E2385" s="9" t="s">
        <v>47</v>
      </c>
      <c r="F2385" s="33">
        <v>1.0</v>
      </c>
      <c r="G2385" s="33">
        <v>2200.0</v>
      </c>
      <c r="H2385" s="35">
        <v>46162.0</v>
      </c>
      <c r="I2385" s="2" t="s">
        <v>473</v>
      </c>
      <c r="J2385" s="12" t="s">
        <v>1833</v>
      </c>
    </row>
    <row r="2386" ht="22.5" customHeight="1">
      <c r="A2386" s="2" t="s">
        <v>1832</v>
      </c>
      <c r="B2386" s="2" t="s">
        <v>1601</v>
      </c>
      <c r="C2386" s="2" t="s">
        <v>1602</v>
      </c>
      <c r="D2386" s="8">
        <v>36.0</v>
      </c>
      <c r="E2386" s="9" t="s">
        <v>13</v>
      </c>
      <c r="F2386" s="33">
        <v>1.0</v>
      </c>
      <c r="G2386" s="33">
        <v>1790.0</v>
      </c>
      <c r="H2386" s="35">
        <v>46162.0</v>
      </c>
      <c r="I2386" s="2" t="s">
        <v>473</v>
      </c>
      <c r="J2386" s="12" t="s">
        <v>1833</v>
      </c>
    </row>
    <row r="2387" ht="22.5" customHeight="1">
      <c r="A2387" s="2" t="s">
        <v>1832</v>
      </c>
      <c r="B2387" s="2" t="s">
        <v>516</v>
      </c>
      <c r="C2387" s="2" t="s">
        <v>517</v>
      </c>
      <c r="D2387" s="8" t="s">
        <v>46</v>
      </c>
      <c r="E2387" s="9" t="s">
        <v>338</v>
      </c>
      <c r="F2387" s="33">
        <v>2.0</v>
      </c>
      <c r="G2387" s="33">
        <v>1390.0</v>
      </c>
      <c r="H2387" s="35">
        <v>46162.0</v>
      </c>
      <c r="I2387" s="2" t="s">
        <v>1183</v>
      </c>
      <c r="J2387" s="12" t="s">
        <v>1833</v>
      </c>
    </row>
    <row r="2388" ht="22.5" customHeight="1">
      <c r="A2388" s="2" t="s">
        <v>1834</v>
      </c>
      <c r="B2388" s="2" t="s">
        <v>1803</v>
      </c>
      <c r="C2388" s="2">
        <v>5670.0</v>
      </c>
      <c r="D2388" s="8" t="s">
        <v>22</v>
      </c>
      <c r="E2388" s="9" t="s">
        <v>13</v>
      </c>
      <c r="F2388" s="33">
        <v>1.0</v>
      </c>
      <c r="G2388" s="33">
        <v>2990.0</v>
      </c>
      <c r="H2388" s="35">
        <v>46162.0</v>
      </c>
      <c r="I2388" s="2" t="s">
        <v>14</v>
      </c>
      <c r="J2388" s="12" t="s">
        <v>1835</v>
      </c>
    </row>
    <row r="2389" ht="22.5" customHeight="1">
      <c r="A2389" s="2" t="s">
        <v>1836</v>
      </c>
      <c r="B2389" s="2" t="s">
        <v>1619</v>
      </c>
      <c r="C2389" s="2" t="s">
        <v>1620</v>
      </c>
      <c r="D2389" s="8" t="s">
        <v>12</v>
      </c>
      <c r="E2389" s="9" t="s">
        <v>18</v>
      </c>
      <c r="F2389" s="33">
        <v>1.0</v>
      </c>
      <c r="G2389" s="33">
        <v>1650.0</v>
      </c>
      <c r="H2389" s="35">
        <v>46162.0</v>
      </c>
      <c r="I2389" s="2" t="s">
        <v>24</v>
      </c>
      <c r="J2389" s="12" t="s">
        <v>1837</v>
      </c>
    </row>
    <row r="2390" ht="22.5" customHeight="1">
      <c r="A2390" s="2" t="s">
        <v>1838</v>
      </c>
      <c r="B2390" s="2" t="s">
        <v>1803</v>
      </c>
      <c r="C2390" s="2">
        <v>5670.0</v>
      </c>
      <c r="D2390" s="8" t="s">
        <v>12</v>
      </c>
      <c r="E2390" s="9" t="s">
        <v>13</v>
      </c>
      <c r="F2390" s="33">
        <v>1.0</v>
      </c>
      <c r="G2390" s="33">
        <v>2990.0</v>
      </c>
      <c r="H2390" s="35">
        <v>46162.0</v>
      </c>
      <c r="I2390" s="2" t="s">
        <v>14</v>
      </c>
      <c r="J2390" s="12" t="s">
        <v>1839</v>
      </c>
    </row>
    <row r="2391" ht="22.5" customHeight="1">
      <c r="A2391" s="2" t="s">
        <v>1840</v>
      </c>
      <c r="B2391" s="2" t="s">
        <v>1184</v>
      </c>
      <c r="C2391" s="2" t="s">
        <v>1185</v>
      </c>
      <c r="D2391" s="8" t="s">
        <v>989</v>
      </c>
      <c r="E2391" s="9" t="s">
        <v>23</v>
      </c>
      <c r="F2391" s="33">
        <v>1.0</v>
      </c>
      <c r="G2391" s="33">
        <v>845.0</v>
      </c>
      <c r="H2391" s="35">
        <v>46162.0</v>
      </c>
      <c r="I2391" s="2" t="s">
        <v>14</v>
      </c>
      <c r="J2391" s="12" t="s">
        <v>1841</v>
      </c>
    </row>
    <row r="2392" ht="22.5" customHeight="1">
      <c r="A2392" s="2" t="s">
        <v>1840</v>
      </c>
      <c r="B2392" s="2" t="s">
        <v>1184</v>
      </c>
      <c r="C2392" s="2" t="s">
        <v>1185</v>
      </c>
      <c r="D2392" s="8" t="s">
        <v>989</v>
      </c>
      <c r="E2392" s="9" t="s">
        <v>18</v>
      </c>
      <c r="F2392" s="33">
        <v>1.0</v>
      </c>
      <c r="G2392" s="33">
        <v>845.0</v>
      </c>
      <c r="H2392" s="35">
        <v>46162.0</v>
      </c>
      <c r="I2392" s="2" t="s">
        <v>14</v>
      </c>
      <c r="J2392" s="12" t="s">
        <v>1841</v>
      </c>
    </row>
    <row r="2393" ht="22.5" customHeight="1">
      <c r="A2393" s="2" t="s">
        <v>326</v>
      </c>
      <c r="B2393" s="2" t="s">
        <v>1011</v>
      </c>
      <c r="C2393" s="2">
        <v>3225.0</v>
      </c>
      <c r="D2393" s="8" t="s">
        <v>12</v>
      </c>
      <c r="E2393" s="9" t="s">
        <v>58</v>
      </c>
      <c r="F2393" s="33">
        <v>1.0</v>
      </c>
      <c r="G2393" s="33">
        <v>2350.0</v>
      </c>
      <c r="H2393" s="35">
        <v>46162.0</v>
      </c>
      <c r="I2393" s="2" t="s">
        <v>473</v>
      </c>
      <c r="J2393" s="12" t="s">
        <v>1812</v>
      </c>
    </row>
    <row r="2394" ht="22.5" customHeight="1">
      <c r="A2394" s="2" t="s">
        <v>978</v>
      </c>
      <c r="B2394" s="2" t="s">
        <v>762</v>
      </c>
      <c r="C2394" s="2" t="s">
        <v>763</v>
      </c>
      <c r="D2394" s="8" t="s">
        <v>46</v>
      </c>
      <c r="E2394" s="9" t="s">
        <v>1842</v>
      </c>
      <c r="F2394" s="33">
        <v>1.0</v>
      </c>
      <c r="G2394" s="33">
        <v>2600.0</v>
      </c>
      <c r="H2394" s="35">
        <v>46162.0</v>
      </c>
      <c r="I2394" s="2" t="s">
        <v>14</v>
      </c>
      <c r="J2394" s="12" t="s">
        <v>1738</v>
      </c>
    </row>
    <row r="2395" ht="22.5" customHeight="1">
      <c r="A2395" s="2" t="s">
        <v>1843</v>
      </c>
      <c r="B2395" s="2" t="s">
        <v>762</v>
      </c>
      <c r="C2395" s="2" t="s">
        <v>763</v>
      </c>
      <c r="D2395" s="8" t="s">
        <v>46</v>
      </c>
      <c r="E2395" s="9" t="s">
        <v>1843</v>
      </c>
      <c r="F2395" s="33">
        <v>1.0</v>
      </c>
      <c r="G2395" s="33">
        <v>4700.0</v>
      </c>
      <c r="H2395" s="35">
        <v>46162.0</v>
      </c>
      <c r="I2395" s="2" t="s">
        <v>473</v>
      </c>
      <c r="J2395" s="12" t="s">
        <v>1844</v>
      </c>
    </row>
    <row r="2396" ht="22.5" customHeight="1">
      <c r="A2396" s="2" t="s">
        <v>71</v>
      </c>
      <c r="B2396" s="2" t="s">
        <v>762</v>
      </c>
      <c r="C2396" s="2" t="s">
        <v>763</v>
      </c>
      <c r="D2396" s="8" t="s">
        <v>46</v>
      </c>
      <c r="E2396" s="9" t="s">
        <v>1710</v>
      </c>
      <c r="F2396" s="33">
        <v>1.0</v>
      </c>
      <c r="G2396" s="33">
        <v>1900.0</v>
      </c>
      <c r="H2396" s="35">
        <v>46162.0</v>
      </c>
      <c r="I2396" s="2" t="s">
        <v>14</v>
      </c>
      <c r="J2396" s="12" t="s">
        <v>955</v>
      </c>
    </row>
    <row r="2397" ht="22.5" customHeight="1">
      <c r="A2397" s="2" t="s">
        <v>1845</v>
      </c>
      <c r="B2397" s="2" t="s">
        <v>958</v>
      </c>
      <c r="C2397" s="2" t="s">
        <v>959</v>
      </c>
      <c r="D2397" s="8" t="s">
        <v>22</v>
      </c>
      <c r="E2397" s="9" t="s">
        <v>18</v>
      </c>
      <c r="F2397" s="33">
        <v>1.0</v>
      </c>
      <c r="G2397" s="33">
        <v>1800.0</v>
      </c>
      <c r="H2397" s="35">
        <v>46162.0</v>
      </c>
      <c r="I2397" s="2" t="s">
        <v>14</v>
      </c>
      <c r="J2397" s="12" t="s">
        <v>1846</v>
      </c>
    </row>
    <row r="2398" ht="22.5" customHeight="1">
      <c r="A2398" s="2" t="s">
        <v>80</v>
      </c>
      <c r="B2398" s="2" t="s">
        <v>762</v>
      </c>
      <c r="C2398" s="2" t="s">
        <v>763</v>
      </c>
      <c r="D2398" s="8" t="s">
        <v>46</v>
      </c>
      <c r="E2398" s="9" t="s">
        <v>1847</v>
      </c>
      <c r="F2398" s="33">
        <v>1.0</v>
      </c>
      <c r="G2398" s="33">
        <v>2200.0</v>
      </c>
      <c r="H2398" s="35">
        <v>46162.0</v>
      </c>
      <c r="I2398" s="2" t="s">
        <v>473</v>
      </c>
      <c r="J2398" s="12" t="s">
        <v>1237</v>
      </c>
    </row>
    <row r="2399" ht="22.5" customHeight="1">
      <c r="A2399" s="2" t="s">
        <v>714</v>
      </c>
      <c r="B2399" s="2" t="s">
        <v>1803</v>
      </c>
      <c r="C2399" s="2">
        <v>5670.0</v>
      </c>
      <c r="D2399" s="8" t="s">
        <v>22</v>
      </c>
      <c r="E2399" s="9" t="s">
        <v>13</v>
      </c>
      <c r="F2399" s="33">
        <v>1.0</v>
      </c>
      <c r="G2399" s="33">
        <v>2990.0</v>
      </c>
      <c r="H2399" s="35">
        <v>46162.0</v>
      </c>
      <c r="I2399" s="2" t="s">
        <v>14</v>
      </c>
      <c r="J2399" s="12" t="s">
        <v>1848</v>
      </c>
    </row>
    <row r="2400" ht="22.5" customHeight="1">
      <c r="A2400" s="2" t="s">
        <v>1849</v>
      </c>
      <c r="B2400" s="2" t="s">
        <v>892</v>
      </c>
      <c r="C2400" s="2" t="s">
        <v>893</v>
      </c>
      <c r="D2400" s="8">
        <v>38.0</v>
      </c>
      <c r="E2400" s="9" t="s">
        <v>18</v>
      </c>
      <c r="F2400" s="33">
        <v>1.0</v>
      </c>
      <c r="G2400" s="33">
        <v>2200.0</v>
      </c>
      <c r="H2400" s="35">
        <v>46163.0</v>
      </c>
      <c r="I2400" s="2" t="s">
        <v>473</v>
      </c>
      <c r="J2400" s="12" t="s">
        <v>1850</v>
      </c>
    </row>
    <row r="2401" ht="22.5" customHeight="1">
      <c r="A2401" s="2" t="s">
        <v>1849</v>
      </c>
      <c r="B2401" s="2" t="s">
        <v>892</v>
      </c>
      <c r="C2401" s="2" t="s">
        <v>893</v>
      </c>
      <c r="D2401" s="8">
        <v>39.0</v>
      </c>
      <c r="E2401" s="9" t="s">
        <v>18</v>
      </c>
      <c r="F2401" s="33">
        <v>1.0</v>
      </c>
      <c r="G2401" s="33">
        <v>2200.0</v>
      </c>
      <c r="H2401" s="35">
        <v>46163.0</v>
      </c>
      <c r="I2401" s="2" t="s">
        <v>473</v>
      </c>
      <c r="J2401" s="12" t="s">
        <v>1850</v>
      </c>
    </row>
    <row r="2402" ht="22.5" customHeight="1">
      <c r="A2402" s="2" t="s">
        <v>434</v>
      </c>
      <c r="B2402" s="2" t="s">
        <v>97</v>
      </c>
      <c r="C2402" s="2">
        <v>8748.0</v>
      </c>
      <c r="D2402" s="8" t="s">
        <v>22</v>
      </c>
      <c r="E2402" s="9" t="s">
        <v>58</v>
      </c>
      <c r="F2402" s="33">
        <v>1.0</v>
      </c>
      <c r="G2402" s="33">
        <v>1800.0</v>
      </c>
      <c r="H2402" s="35">
        <v>46163.0</v>
      </c>
      <c r="I2402" s="2" t="s">
        <v>473</v>
      </c>
      <c r="J2402" s="12" t="s">
        <v>1851</v>
      </c>
    </row>
    <row r="2403" ht="22.5" customHeight="1">
      <c r="A2403" s="2" t="s">
        <v>434</v>
      </c>
      <c r="B2403" s="2" t="s">
        <v>1852</v>
      </c>
      <c r="C2403" s="2">
        <v>9930.0</v>
      </c>
      <c r="D2403" s="8" t="s">
        <v>12</v>
      </c>
      <c r="E2403" s="9" t="s">
        <v>58</v>
      </c>
      <c r="F2403" s="33">
        <v>1.0</v>
      </c>
      <c r="G2403" s="33">
        <v>2350.0</v>
      </c>
      <c r="H2403" s="35">
        <v>46163.0</v>
      </c>
      <c r="I2403" s="2" t="s">
        <v>1183</v>
      </c>
      <c r="J2403" s="12" t="s">
        <v>1851</v>
      </c>
    </row>
    <row r="2404" ht="22.5" customHeight="1">
      <c r="A2404" s="2" t="s">
        <v>193</v>
      </c>
      <c r="B2404" s="2" t="s">
        <v>762</v>
      </c>
      <c r="C2404" s="2" t="s">
        <v>763</v>
      </c>
      <c r="D2404" s="8">
        <v>37.0</v>
      </c>
      <c r="E2404" s="9" t="s">
        <v>1853</v>
      </c>
      <c r="F2404" s="33">
        <v>1.0</v>
      </c>
      <c r="G2404" s="33">
        <v>1.0</v>
      </c>
      <c r="H2404" s="35">
        <v>46163.0</v>
      </c>
      <c r="I2404" s="2" t="s">
        <v>24</v>
      </c>
      <c r="J2404" s="12" t="s">
        <v>977</v>
      </c>
    </row>
    <row r="2405" ht="22.5" customHeight="1">
      <c r="A2405" s="2" t="s">
        <v>193</v>
      </c>
      <c r="B2405" s="2" t="s">
        <v>762</v>
      </c>
      <c r="C2405" s="2" t="s">
        <v>763</v>
      </c>
      <c r="D2405" s="8">
        <v>37.0</v>
      </c>
      <c r="E2405" s="9" t="s">
        <v>1854</v>
      </c>
      <c r="F2405" s="33">
        <v>1.0</v>
      </c>
      <c r="G2405" s="33">
        <v>1.0</v>
      </c>
      <c r="H2405" s="35">
        <v>46163.0</v>
      </c>
      <c r="I2405" s="2" t="s">
        <v>14</v>
      </c>
      <c r="J2405" s="12" t="s">
        <v>977</v>
      </c>
    </row>
    <row r="2406" ht="22.5" customHeight="1">
      <c r="A2406" s="2" t="s">
        <v>71</v>
      </c>
      <c r="B2406" s="2" t="s">
        <v>762</v>
      </c>
      <c r="C2406" s="2" t="s">
        <v>763</v>
      </c>
      <c r="D2406" s="8">
        <v>39.0</v>
      </c>
      <c r="E2406" s="9" t="s">
        <v>1854</v>
      </c>
      <c r="F2406" s="33">
        <v>1.0</v>
      </c>
      <c r="G2406" s="33">
        <v>1.0</v>
      </c>
      <c r="H2406" s="35">
        <v>46163.0</v>
      </c>
      <c r="I2406" s="2" t="s">
        <v>14</v>
      </c>
      <c r="J2406" s="12" t="s">
        <v>955</v>
      </c>
    </row>
    <row r="2407" ht="22.5" customHeight="1">
      <c r="A2407" s="2" t="s">
        <v>1724</v>
      </c>
      <c r="B2407" s="2" t="s">
        <v>1622</v>
      </c>
      <c r="C2407" s="2" t="s">
        <v>1623</v>
      </c>
      <c r="D2407" s="8" t="s">
        <v>989</v>
      </c>
      <c r="E2407" s="9" t="s">
        <v>18</v>
      </c>
      <c r="F2407" s="33">
        <v>1.0</v>
      </c>
      <c r="G2407" s="33">
        <v>1200.0</v>
      </c>
      <c r="H2407" s="35">
        <v>46163.0</v>
      </c>
      <c r="I2407" s="2" t="s">
        <v>1183</v>
      </c>
      <c r="J2407" s="12" t="s">
        <v>1725</v>
      </c>
    </row>
    <row r="2408" ht="22.5" customHeight="1">
      <c r="A2408" s="2" t="s">
        <v>1724</v>
      </c>
      <c r="B2408" s="2" t="s">
        <v>1622</v>
      </c>
      <c r="C2408" s="2" t="s">
        <v>1623</v>
      </c>
      <c r="D2408" s="8" t="s">
        <v>989</v>
      </c>
      <c r="E2408" s="9" t="s">
        <v>13</v>
      </c>
      <c r="F2408" s="33">
        <v>1.0</v>
      </c>
      <c r="G2408" s="33">
        <v>1200.0</v>
      </c>
      <c r="H2408" s="35">
        <v>46163.0</v>
      </c>
      <c r="I2408" s="2" t="s">
        <v>1183</v>
      </c>
      <c r="J2408" s="12" t="s">
        <v>1725</v>
      </c>
    </row>
    <row r="2409" ht="22.5" customHeight="1">
      <c r="A2409" s="2" t="s">
        <v>291</v>
      </c>
      <c r="B2409" s="2" t="s">
        <v>1622</v>
      </c>
      <c r="C2409" s="2" t="s">
        <v>1623</v>
      </c>
      <c r="D2409" s="8" t="s">
        <v>75</v>
      </c>
      <c r="E2409" s="9" t="s">
        <v>18</v>
      </c>
      <c r="F2409" s="33">
        <v>1.0</v>
      </c>
      <c r="G2409" s="33">
        <v>1200.0</v>
      </c>
      <c r="H2409" s="35">
        <v>46164.0</v>
      </c>
      <c r="I2409" s="2" t="s">
        <v>1183</v>
      </c>
      <c r="J2409" s="12" t="s">
        <v>1855</v>
      </c>
    </row>
    <row r="2410" ht="22.5" customHeight="1">
      <c r="A2410" s="2" t="s">
        <v>291</v>
      </c>
      <c r="B2410" s="2" t="s">
        <v>1622</v>
      </c>
      <c r="C2410" s="2" t="s">
        <v>1623</v>
      </c>
      <c r="D2410" s="8" t="s">
        <v>75</v>
      </c>
      <c r="E2410" s="9" t="s">
        <v>13</v>
      </c>
      <c r="F2410" s="33">
        <v>1.0</v>
      </c>
      <c r="G2410" s="33">
        <v>1200.0</v>
      </c>
      <c r="H2410" s="35">
        <v>46164.0</v>
      </c>
      <c r="I2410" s="2" t="s">
        <v>1183</v>
      </c>
      <c r="J2410" s="12" t="s">
        <v>1855</v>
      </c>
    </row>
    <row r="2411" ht="22.5" customHeight="1">
      <c r="A2411" s="2" t="s">
        <v>1762</v>
      </c>
      <c r="B2411" s="2" t="s">
        <v>440</v>
      </c>
      <c r="C2411" s="2" t="s">
        <v>441</v>
      </c>
      <c r="D2411" s="8" t="s">
        <v>46</v>
      </c>
      <c r="E2411" s="9" t="s">
        <v>16</v>
      </c>
      <c r="F2411" s="33">
        <v>1.0</v>
      </c>
      <c r="G2411" s="33">
        <v>1200.0</v>
      </c>
      <c r="H2411" s="35">
        <v>46164.0</v>
      </c>
      <c r="I2411" s="2" t="s">
        <v>473</v>
      </c>
      <c r="J2411" s="12" t="s">
        <v>1761</v>
      </c>
    </row>
    <row r="2412" ht="22.5" customHeight="1">
      <c r="A2412" s="2" t="s">
        <v>1762</v>
      </c>
      <c r="B2412" s="2" t="s">
        <v>440</v>
      </c>
      <c r="C2412" s="2" t="s">
        <v>441</v>
      </c>
      <c r="D2412" s="8" t="s">
        <v>46</v>
      </c>
      <c r="E2412" s="9" t="s">
        <v>58</v>
      </c>
      <c r="F2412" s="33">
        <v>1.0</v>
      </c>
      <c r="G2412" s="33">
        <v>1200.0</v>
      </c>
      <c r="H2412" s="35">
        <v>46164.0</v>
      </c>
      <c r="I2412" s="2" t="s">
        <v>473</v>
      </c>
      <c r="J2412" s="12" t="s">
        <v>1761</v>
      </c>
    </row>
    <row r="2413" ht="22.5" customHeight="1">
      <c r="A2413" s="2" t="s">
        <v>1856</v>
      </c>
      <c r="B2413" s="2" t="s">
        <v>440</v>
      </c>
      <c r="C2413" s="2" t="s">
        <v>441</v>
      </c>
      <c r="D2413" s="8" t="s">
        <v>46</v>
      </c>
      <c r="E2413" s="9" t="s">
        <v>18</v>
      </c>
      <c r="F2413" s="33">
        <v>1.0</v>
      </c>
      <c r="G2413" s="33">
        <v>1200.0</v>
      </c>
      <c r="H2413" s="35">
        <v>46164.0</v>
      </c>
      <c r="I2413" s="2" t="s">
        <v>14</v>
      </c>
      <c r="J2413" s="12" t="s">
        <v>1857</v>
      </c>
    </row>
    <row r="2414" ht="22.5" customHeight="1">
      <c r="A2414" s="2" t="s">
        <v>1856</v>
      </c>
      <c r="B2414" s="2" t="s">
        <v>440</v>
      </c>
      <c r="C2414" s="2" t="s">
        <v>441</v>
      </c>
      <c r="D2414" s="8" t="s">
        <v>46</v>
      </c>
      <c r="E2414" s="9" t="s">
        <v>47</v>
      </c>
      <c r="F2414" s="33">
        <v>1.0</v>
      </c>
      <c r="G2414" s="33">
        <v>1200.0</v>
      </c>
      <c r="H2414" s="35">
        <v>46164.0</v>
      </c>
      <c r="I2414" s="2" t="s">
        <v>14</v>
      </c>
      <c r="J2414" s="12" t="s">
        <v>1857</v>
      </c>
    </row>
    <row r="2415" ht="22.5" customHeight="1">
      <c r="A2415" s="2" t="s">
        <v>510</v>
      </c>
      <c r="B2415" s="2" t="s">
        <v>1488</v>
      </c>
      <c r="C2415" s="2" t="s">
        <v>1489</v>
      </c>
      <c r="D2415" s="8" t="s">
        <v>46</v>
      </c>
      <c r="E2415" s="9" t="s">
        <v>26</v>
      </c>
      <c r="F2415" s="33">
        <v>1.0</v>
      </c>
      <c r="G2415" s="33">
        <v>1700.0</v>
      </c>
      <c r="H2415" s="35">
        <v>46164.0</v>
      </c>
      <c r="I2415" s="2" t="s">
        <v>14</v>
      </c>
      <c r="J2415" s="12" t="s">
        <v>511</v>
      </c>
    </row>
    <row r="2416" ht="22.5" customHeight="1">
      <c r="A2416" s="2" t="s">
        <v>428</v>
      </c>
      <c r="B2416" s="2" t="s">
        <v>440</v>
      </c>
      <c r="C2416" s="2" t="s">
        <v>441</v>
      </c>
      <c r="D2416" s="8" t="s">
        <v>46</v>
      </c>
      <c r="E2416" s="9" t="s">
        <v>26</v>
      </c>
      <c r="F2416" s="33">
        <v>1.0</v>
      </c>
      <c r="G2416" s="33">
        <v>1200.0</v>
      </c>
      <c r="H2416" s="35">
        <v>46164.0</v>
      </c>
      <c r="I2416" s="2" t="s">
        <v>473</v>
      </c>
      <c r="J2416" s="12" t="s">
        <v>1858</v>
      </c>
    </row>
    <row r="2417" ht="22.5" customHeight="1">
      <c r="A2417" s="2" t="s">
        <v>428</v>
      </c>
      <c r="B2417" s="2" t="s">
        <v>440</v>
      </c>
      <c r="C2417" s="2" t="s">
        <v>441</v>
      </c>
      <c r="D2417" s="8" t="s">
        <v>46</v>
      </c>
      <c r="E2417" s="9" t="s">
        <v>16</v>
      </c>
      <c r="F2417" s="33">
        <v>1.0</v>
      </c>
      <c r="G2417" s="33">
        <v>1200.0</v>
      </c>
      <c r="H2417" s="35">
        <v>46164.0</v>
      </c>
      <c r="I2417" s="2" t="s">
        <v>473</v>
      </c>
      <c r="J2417" s="12" t="s">
        <v>1858</v>
      </c>
    </row>
    <row r="2418" ht="22.5" customHeight="1">
      <c r="A2418" s="2" t="s">
        <v>971</v>
      </c>
      <c r="B2418" s="2" t="s">
        <v>1852</v>
      </c>
      <c r="C2418" s="2">
        <v>9930.0</v>
      </c>
      <c r="D2418" s="8" t="s">
        <v>22</v>
      </c>
      <c r="E2418" s="9" t="s">
        <v>58</v>
      </c>
      <c r="F2418" s="33">
        <v>1.0</v>
      </c>
      <c r="G2418" s="33">
        <v>2350.0</v>
      </c>
      <c r="H2418" s="35">
        <v>46164.0</v>
      </c>
      <c r="I2418" s="2" t="s">
        <v>1183</v>
      </c>
      <c r="J2418" s="12" t="s">
        <v>1706</v>
      </c>
    </row>
    <row r="2419" ht="22.5" customHeight="1">
      <c r="A2419" s="2" t="s">
        <v>971</v>
      </c>
      <c r="B2419" s="2" t="s">
        <v>440</v>
      </c>
      <c r="C2419" s="2" t="s">
        <v>441</v>
      </c>
      <c r="D2419" s="8" t="s">
        <v>46</v>
      </c>
      <c r="E2419" s="9" t="s">
        <v>16</v>
      </c>
      <c r="F2419" s="33">
        <v>1.0</v>
      </c>
      <c r="G2419" s="33">
        <v>1200.0</v>
      </c>
      <c r="H2419" s="35">
        <v>46164.0</v>
      </c>
      <c r="I2419" s="2" t="s">
        <v>473</v>
      </c>
      <c r="J2419" s="12" t="s">
        <v>1706</v>
      </c>
    </row>
    <row r="2420" ht="22.5" customHeight="1">
      <c r="A2420" s="2" t="s">
        <v>1859</v>
      </c>
      <c r="B2420" s="2" t="s">
        <v>1671</v>
      </c>
      <c r="C2420" s="2" t="s">
        <v>1672</v>
      </c>
      <c r="D2420" s="8" t="s">
        <v>46</v>
      </c>
      <c r="E2420" s="9" t="s">
        <v>47</v>
      </c>
      <c r="F2420" s="33">
        <v>1.0</v>
      </c>
      <c r="G2420" s="33">
        <v>1200.0</v>
      </c>
      <c r="H2420" s="35">
        <v>46164.0</v>
      </c>
      <c r="I2420" s="2" t="s">
        <v>1183</v>
      </c>
      <c r="J2420" s="12" t="s">
        <v>1860</v>
      </c>
    </row>
    <row r="2421" ht="22.5" customHeight="1">
      <c r="A2421" s="2" t="s">
        <v>343</v>
      </c>
      <c r="B2421" s="2" t="s">
        <v>1619</v>
      </c>
      <c r="C2421" s="2" t="s">
        <v>1620</v>
      </c>
      <c r="D2421" s="8" t="s">
        <v>1186</v>
      </c>
      <c r="E2421" s="9" t="s">
        <v>18</v>
      </c>
      <c r="F2421" s="33">
        <v>1.0</v>
      </c>
      <c r="G2421" s="33">
        <v>1650.0</v>
      </c>
      <c r="H2421" s="35">
        <v>46164.0</v>
      </c>
      <c r="I2421" s="2" t="s">
        <v>14</v>
      </c>
      <c r="J2421" s="12" t="s">
        <v>1861</v>
      </c>
    </row>
    <row r="2422" ht="22.5" customHeight="1">
      <c r="A2422" s="2" t="s">
        <v>343</v>
      </c>
      <c r="B2422" s="2" t="s">
        <v>440</v>
      </c>
      <c r="C2422" s="2" t="s">
        <v>441</v>
      </c>
      <c r="D2422" s="8" t="s">
        <v>46</v>
      </c>
      <c r="E2422" s="9" t="s">
        <v>58</v>
      </c>
      <c r="F2422" s="33">
        <v>1.0</v>
      </c>
      <c r="G2422" s="33">
        <v>1200.0</v>
      </c>
      <c r="H2422" s="35">
        <v>46164.0</v>
      </c>
      <c r="I2422" s="2" t="s">
        <v>14</v>
      </c>
      <c r="J2422" s="12" t="s">
        <v>1861</v>
      </c>
    </row>
    <row r="2423" ht="22.5" customHeight="1">
      <c r="A2423" s="2" t="s">
        <v>1862</v>
      </c>
      <c r="B2423" s="2" t="s">
        <v>1852</v>
      </c>
      <c r="C2423" s="2">
        <v>9930.0</v>
      </c>
      <c r="D2423" s="8" t="s">
        <v>22</v>
      </c>
      <c r="E2423" s="9" t="s">
        <v>58</v>
      </c>
      <c r="F2423" s="33">
        <v>1.0</v>
      </c>
      <c r="G2423" s="33">
        <v>2350.0</v>
      </c>
      <c r="H2423" s="35">
        <v>46164.0</v>
      </c>
      <c r="I2423" s="2" t="s">
        <v>1183</v>
      </c>
      <c r="J2423" s="12" t="s">
        <v>1863</v>
      </c>
    </row>
    <row r="2424" ht="22.5" customHeight="1">
      <c r="A2424" s="2" t="s">
        <v>1864</v>
      </c>
      <c r="B2424" s="2" t="s">
        <v>440</v>
      </c>
      <c r="C2424" s="2" t="s">
        <v>441</v>
      </c>
      <c r="D2424" s="8" t="s">
        <v>46</v>
      </c>
      <c r="E2424" s="9" t="s">
        <v>47</v>
      </c>
      <c r="F2424" s="33">
        <v>1.0</v>
      </c>
      <c r="G2424" s="33">
        <v>1200.0</v>
      </c>
      <c r="H2424" s="35">
        <v>46164.0</v>
      </c>
      <c r="I2424" s="2" t="s">
        <v>473</v>
      </c>
      <c r="J2424" s="12" t="s">
        <v>1865</v>
      </c>
    </row>
    <row r="2425" ht="22.5" customHeight="1">
      <c r="A2425" s="2" t="s">
        <v>1864</v>
      </c>
      <c r="B2425" s="2" t="s">
        <v>1771</v>
      </c>
      <c r="C2425" s="2" t="s">
        <v>1772</v>
      </c>
      <c r="D2425" s="8">
        <v>37.0</v>
      </c>
      <c r="E2425" s="9" t="s">
        <v>18</v>
      </c>
      <c r="F2425" s="33">
        <v>1.0</v>
      </c>
      <c r="G2425" s="33">
        <v>2690.0</v>
      </c>
      <c r="H2425" s="35">
        <v>46164.0</v>
      </c>
      <c r="I2425" s="2" t="s">
        <v>1183</v>
      </c>
      <c r="J2425" s="12" t="s">
        <v>1865</v>
      </c>
    </row>
    <row r="2426" ht="22.5" customHeight="1">
      <c r="A2426" s="2" t="s">
        <v>677</v>
      </c>
      <c r="B2426" s="2" t="s">
        <v>440</v>
      </c>
      <c r="C2426" s="2" t="s">
        <v>441</v>
      </c>
      <c r="D2426" s="8" t="s">
        <v>46</v>
      </c>
      <c r="E2426" s="9" t="s">
        <v>47</v>
      </c>
      <c r="F2426" s="33">
        <v>1.0</v>
      </c>
      <c r="G2426" s="33">
        <v>1200.0</v>
      </c>
      <c r="H2426" s="35">
        <v>46164.0</v>
      </c>
      <c r="I2426" s="2" t="s">
        <v>473</v>
      </c>
      <c r="J2426" s="12" t="s">
        <v>1866</v>
      </c>
    </row>
    <row r="2427" ht="22.5" customHeight="1">
      <c r="A2427" s="2" t="s">
        <v>677</v>
      </c>
      <c r="B2427" s="2" t="s">
        <v>1852</v>
      </c>
      <c r="C2427" s="2">
        <v>9930.0</v>
      </c>
      <c r="D2427" s="8" t="s">
        <v>22</v>
      </c>
      <c r="E2427" s="9" t="s">
        <v>58</v>
      </c>
      <c r="F2427" s="33">
        <v>1.0</v>
      </c>
      <c r="G2427" s="33">
        <v>2350.0</v>
      </c>
      <c r="H2427" s="35">
        <v>46164.0</v>
      </c>
      <c r="I2427" s="2" t="s">
        <v>1183</v>
      </c>
      <c r="J2427" s="12" t="s">
        <v>1866</v>
      </c>
    </row>
    <row r="2428" ht="22.5" customHeight="1">
      <c r="A2428" s="2" t="s">
        <v>1867</v>
      </c>
      <c r="B2428" s="2" t="s">
        <v>1852</v>
      </c>
      <c r="C2428" s="2">
        <v>9930.0</v>
      </c>
      <c r="D2428" s="8" t="s">
        <v>12</v>
      </c>
      <c r="E2428" s="9" t="s">
        <v>58</v>
      </c>
      <c r="F2428" s="33">
        <v>1.0</v>
      </c>
      <c r="G2428" s="33">
        <v>2350.0</v>
      </c>
      <c r="H2428" s="35">
        <v>46164.0</v>
      </c>
      <c r="I2428" s="2" t="s">
        <v>1183</v>
      </c>
      <c r="J2428" s="12" t="s">
        <v>1868</v>
      </c>
    </row>
    <row r="2429" ht="22.5" customHeight="1">
      <c r="A2429" s="2" t="s">
        <v>1869</v>
      </c>
      <c r="B2429" s="2" t="s">
        <v>963</v>
      </c>
      <c r="C2429" s="2">
        <v>8610.0</v>
      </c>
      <c r="D2429" s="8" t="s">
        <v>12</v>
      </c>
      <c r="E2429" s="9" t="s">
        <v>13</v>
      </c>
      <c r="F2429" s="33">
        <v>1.0</v>
      </c>
      <c r="G2429" s="33">
        <v>1190.0</v>
      </c>
      <c r="H2429" s="35">
        <v>46164.0</v>
      </c>
      <c r="I2429" s="2" t="s">
        <v>14</v>
      </c>
      <c r="J2429" s="2"/>
    </row>
    <row r="2430" ht="22.5" customHeight="1">
      <c r="A2430" s="2" t="s">
        <v>1870</v>
      </c>
      <c r="B2430" s="2" t="s">
        <v>726</v>
      </c>
      <c r="C2430" s="2">
        <v>9091.0</v>
      </c>
      <c r="D2430" s="8" t="s">
        <v>75</v>
      </c>
      <c r="E2430" s="9" t="s">
        <v>58</v>
      </c>
      <c r="F2430" s="33">
        <v>1.0</v>
      </c>
      <c r="G2430" s="33">
        <v>1350.0</v>
      </c>
      <c r="H2430" s="35">
        <v>46164.0</v>
      </c>
      <c r="I2430" s="2" t="s">
        <v>14</v>
      </c>
      <c r="J2430" s="2"/>
    </row>
    <row r="2431" ht="22.5" customHeight="1">
      <c r="A2431" s="2" t="s">
        <v>1871</v>
      </c>
      <c r="B2431" s="2" t="s">
        <v>440</v>
      </c>
      <c r="C2431" s="2" t="s">
        <v>441</v>
      </c>
      <c r="D2431" s="8" t="s">
        <v>46</v>
      </c>
      <c r="E2431" s="9" t="s">
        <v>47</v>
      </c>
      <c r="F2431" s="33">
        <v>1.0</v>
      </c>
      <c r="G2431" s="33">
        <v>1200.0</v>
      </c>
      <c r="H2431" s="35">
        <v>46164.0</v>
      </c>
      <c r="I2431" s="2" t="s">
        <v>14</v>
      </c>
      <c r="J2431" s="12" t="s">
        <v>1872</v>
      </c>
    </row>
    <row r="2432" ht="22.5" customHeight="1">
      <c r="A2432" s="2" t="s">
        <v>1871</v>
      </c>
      <c r="B2432" s="2" t="s">
        <v>440</v>
      </c>
      <c r="C2432" s="2" t="s">
        <v>441</v>
      </c>
      <c r="D2432" s="8" t="s">
        <v>46</v>
      </c>
      <c r="E2432" s="9" t="s">
        <v>58</v>
      </c>
      <c r="F2432" s="33">
        <v>1.0</v>
      </c>
      <c r="G2432" s="33">
        <v>1200.0</v>
      </c>
      <c r="H2432" s="35">
        <v>46164.0</v>
      </c>
      <c r="I2432" s="2" t="s">
        <v>14</v>
      </c>
      <c r="J2432" s="12" t="s">
        <v>1872</v>
      </c>
    </row>
    <row r="2433" ht="22.5" customHeight="1">
      <c r="A2433" s="2" t="s">
        <v>396</v>
      </c>
      <c r="B2433" s="2" t="s">
        <v>1376</v>
      </c>
      <c r="C2433" s="2" t="s">
        <v>1377</v>
      </c>
      <c r="D2433" s="8">
        <v>36.0</v>
      </c>
      <c r="E2433" s="9" t="s">
        <v>47</v>
      </c>
      <c r="F2433" s="33">
        <v>1.0</v>
      </c>
      <c r="G2433" s="33">
        <v>7000.0</v>
      </c>
      <c r="H2433" s="35">
        <v>46164.0</v>
      </c>
      <c r="I2433" s="2" t="s">
        <v>14</v>
      </c>
      <c r="J2433" s="2"/>
    </row>
    <row r="2434" ht="22.5" customHeight="1">
      <c r="A2434" s="2" t="s">
        <v>1873</v>
      </c>
      <c r="B2434" s="2" t="s">
        <v>440</v>
      </c>
      <c r="C2434" s="2" t="s">
        <v>441</v>
      </c>
      <c r="D2434" s="8" t="s">
        <v>46</v>
      </c>
      <c r="E2434" s="9" t="s">
        <v>47</v>
      </c>
      <c r="F2434" s="33">
        <v>1.0</v>
      </c>
      <c r="G2434" s="33">
        <v>1200.0</v>
      </c>
      <c r="H2434" s="35">
        <v>46164.0</v>
      </c>
      <c r="I2434" s="2" t="s">
        <v>14</v>
      </c>
      <c r="J2434" s="12" t="s">
        <v>1874</v>
      </c>
    </row>
    <row r="2435" ht="22.5" customHeight="1">
      <c r="A2435" s="2" t="s">
        <v>1873</v>
      </c>
      <c r="B2435" s="2" t="s">
        <v>440</v>
      </c>
      <c r="C2435" s="2" t="s">
        <v>441</v>
      </c>
      <c r="D2435" s="8" t="s">
        <v>46</v>
      </c>
      <c r="E2435" s="9" t="s">
        <v>58</v>
      </c>
      <c r="F2435" s="33">
        <v>1.0</v>
      </c>
      <c r="G2435" s="33">
        <v>1200.0</v>
      </c>
      <c r="H2435" s="35">
        <v>46164.0</v>
      </c>
      <c r="I2435" s="2" t="s">
        <v>14</v>
      </c>
      <c r="J2435" s="12" t="s">
        <v>1874</v>
      </c>
    </row>
    <row r="2436" ht="22.5" customHeight="1">
      <c r="A2436" s="2" t="s">
        <v>111</v>
      </c>
      <c r="B2436" s="2" t="s">
        <v>1254</v>
      </c>
      <c r="C2436" s="2" t="s">
        <v>1255</v>
      </c>
      <c r="D2436" s="8" t="s">
        <v>75</v>
      </c>
      <c r="E2436" s="9" t="s">
        <v>1260</v>
      </c>
      <c r="F2436" s="33">
        <v>1.0</v>
      </c>
      <c r="G2436" s="33">
        <v>1200.0</v>
      </c>
      <c r="H2436" s="35">
        <v>46164.0</v>
      </c>
      <c r="I2436" s="2" t="s">
        <v>14</v>
      </c>
      <c r="J2436" s="2"/>
    </row>
    <row r="2437" ht="22.5" customHeight="1">
      <c r="A2437" s="2" t="s">
        <v>1875</v>
      </c>
      <c r="B2437" s="2" t="s">
        <v>1852</v>
      </c>
      <c r="C2437" s="2">
        <v>9930.0</v>
      </c>
      <c r="D2437" s="8" t="s">
        <v>22</v>
      </c>
      <c r="E2437" s="9" t="s">
        <v>58</v>
      </c>
      <c r="F2437" s="33">
        <v>1.0</v>
      </c>
      <c r="G2437" s="33">
        <v>2350.0</v>
      </c>
      <c r="H2437" s="35">
        <v>46164.0</v>
      </c>
      <c r="I2437" s="2" t="s">
        <v>1183</v>
      </c>
      <c r="J2437" s="12" t="s">
        <v>1876</v>
      </c>
    </row>
    <row r="2438" ht="22.5" customHeight="1">
      <c r="A2438" s="2" t="s">
        <v>1541</v>
      </c>
      <c r="B2438" s="2" t="s">
        <v>1852</v>
      </c>
      <c r="C2438" s="2">
        <v>9930.0</v>
      </c>
      <c r="D2438" s="8" t="s">
        <v>12</v>
      </c>
      <c r="E2438" s="9" t="s">
        <v>58</v>
      </c>
      <c r="F2438" s="33">
        <v>1.0</v>
      </c>
      <c r="G2438" s="33">
        <v>2350.0</v>
      </c>
      <c r="H2438" s="35">
        <v>46164.0</v>
      </c>
      <c r="I2438" s="2" t="s">
        <v>1183</v>
      </c>
      <c r="J2438" s="12" t="s">
        <v>1813</v>
      </c>
    </row>
    <row r="2439" ht="22.5" customHeight="1">
      <c r="A2439" s="2" t="s">
        <v>1877</v>
      </c>
      <c r="B2439" s="2" t="s">
        <v>1852</v>
      </c>
      <c r="C2439" s="2">
        <v>9930.0</v>
      </c>
      <c r="D2439" s="8" t="s">
        <v>22</v>
      </c>
      <c r="E2439" s="9" t="s">
        <v>58</v>
      </c>
      <c r="F2439" s="33">
        <v>1.0</v>
      </c>
      <c r="G2439" s="33">
        <v>2350.0</v>
      </c>
      <c r="H2439" s="35">
        <v>46164.0</v>
      </c>
      <c r="I2439" s="2" t="s">
        <v>1183</v>
      </c>
      <c r="J2439" s="12" t="s">
        <v>1878</v>
      </c>
    </row>
    <row r="2440" ht="22.5" customHeight="1">
      <c r="A2440" s="2" t="s">
        <v>56</v>
      </c>
      <c r="B2440" s="2" t="s">
        <v>440</v>
      </c>
      <c r="C2440" s="2" t="s">
        <v>1879</v>
      </c>
      <c r="D2440" s="8" t="s">
        <v>46</v>
      </c>
      <c r="E2440" s="9" t="s">
        <v>16</v>
      </c>
      <c r="F2440" s="33">
        <v>1.0</v>
      </c>
      <c r="G2440" s="33">
        <v>1200.0</v>
      </c>
      <c r="H2440" s="35">
        <v>46164.0</v>
      </c>
      <c r="I2440" s="2" t="s">
        <v>14</v>
      </c>
      <c r="J2440" s="12" t="s">
        <v>1880</v>
      </c>
    </row>
    <row r="2441" ht="22.5" customHeight="1">
      <c r="A2441" s="2" t="s">
        <v>56</v>
      </c>
      <c r="B2441" s="2" t="s">
        <v>440</v>
      </c>
      <c r="C2441" s="2" t="s">
        <v>1879</v>
      </c>
      <c r="D2441" s="8" t="s">
        <v>46</v>
      </c>
      <c r="E2441" s="9" t="s">
        <v>47</v>
      </c>
      <c r="F2441" s="33">
        <v>1.0</v>
      </c>
      <c r="G2441" s="33">
        <v>1200.0</v>
      </c>
      <c r="H2441" s="35">
        <v>46164.0</v>
      </c>
      <c r="I2441" s="2" t="s">
        <v>14</v>
      </c>
      <c r="J2441" s="12" t="s">
        <v>1880</v>
      </c>
    </row>
    <row r="2442" ht="22.5" customHeight="1">
      <c r="A2442" s="2" t="s">
        <v>707</v>
      </c>
      <c r="B2442" s="2" t="s">
        <v>440</v>
      </c>
      <c r="C2442" s="2" t="s">
        <v>1879</v>
      </c>
      <c r="D2442" s="8" t="s">
        <v>46</v>
      </c>
      <c r="E2442" s="9" t="s">
        <v>47</v>
      </c>
      <c r="F2442" s="33">
        <v>1.0</v>
      </c>
      <c r="G2442" s="33">
        <v>1200.0</v>
      </c>
      <c r="H2442" s="35">
        <v>46164.0</v>
      </c>
      <c r="I2442" s="2" t="s">
        <v>473</v>
      </c>
      <c r="J2442" s="12" t="s">
        <v>1881</v>
      </c>
    </row>
    <row r="2443" ht="22.5" customHeight="1">
      <c r="A2443" s="2" t="s">
        <v>1882</v>
      </c>
      <c r="B2443" s="2" t="s">
        <v>97</v>
      </c>
      <c r="C2443" s="2">
        <v>8748.0</v>
      </c>
      <c r="D2443" s="8" t="s">
        <v>22</v>
      </c>
      <c r="E2443" s="9" t="s">
        <v>58</v>
      </c>
      <c r="F2443" s="33">
        <v>1.0</v>
      </c>
      <c r="G2443" s="33">
        <v>1800.0</v>
      </c>
      <c r="H2443" s="35">
        <v>46164.0</v>
      </c>
      <c r="I2443" s="2" t="s">
        <v>14</v>
      </c>
      <c r="J2443" s="12" t="s">
        <v>1883</v>
      </c>
    </row>
    <row r="2444" ht="22.5" customHeight="1">
      <c r="A2444" s="2" t="s">
        <v>286</v>
      </c>
      <c r="B2444" s="2" t="s">
        <v>1232</v>
      </c>
      <c r="C2444" s="2" t="s">
        <v>1233</v>
      </c>
      <c r="D2444" s="8" t="s">
        <v>46</v>
      </c>
      <c r="E2444" s="9" t="s">
        <v>13</v>
      </c>
      <c r="F2444" s="33">
        <v>1.0</v>
      </c>
      <c r="G2444" s="33">
        <v>1550.0</v>
      </c>
      <c r="H2444" s="35">
        <v>46166.0</v>
      </c>
      <c r="I2444" s="2" t="s">
        <v>473</v>
      </c>
      <c r="J2444" s="12" t="s">
        <v>1884</v>
      </c>
    </row>
    <row r="2445" ht="22.5" customHeight="1">
      <c r="A2445" s="2" t="s">
        <v>1885</v>
      </c>
      <c r="B2445" s="2" t="s">
        <v>1314</v>
      </c>
      <c r="C2445" s="2" t="s">
        <v>1315</v>
      </c>
      <c r="D2445" s="8">
        <v>38.0</v>
      </c>
      <c r="E2445" s="9" t="s">
        <v>47</v>
      </c>
      <c r="F2445" s="33">
        <v>1.0</v>
      </c>
      <c r="G2445" s="33">
        <v>7000.0</v>
      </c>
      <c r="H2445" s="35">
        <v>46166.0</v>
      </c>
      <c r="I2445" s="2" t="s">
        <v>14</v>
      </c>
      <c r="J2445" s="12" t="s">
        <v>1886</v>
      </c>
    </row>
    <row r="2446" ht="22.5" customHeight="1">
      <c r="A2446" s="2" t="s">
        <v>1887</v>
      </c>
      <c r="B2446" s="2" t="s">
        <v>1888</v>
      </c>
      <c r="C2446" s="2" t="s">
        <v>1889</v>
      </c>
      <c r="D2446" s="8">
        <v>38.0</v>
      </c>
      <c r="E2446" s="9" t="s">
        <v>47</v>
      </c>
      <c r="F2446" s="33">
        <v>1.0</v>
      </c>
      <c r="G2446" s="33">
        <v>7400.0</v>
      </c>
      <c r="H2446" s="35">
        <v>46166.0</v>
      </c>
      <c r="I2446" s="2" t="s">
        <v>14</v>
      </c>
      <c r="J2446" s="2"/>
    </row>
    <row r="2447" ht="22.5" customHeight="1">
      <c r="A2447" s="2" t="s">
        <v>1890</v>
      </c>
      <c r="B2447" s="2" t="s">
        <v>1325</v>
      </c>
      <c r="C2447" s="2" t="s">
        <v>1435</v>
      </c>
      <c r="D2447" s="8">
        <v>37.0</v>
      </c>
      <c r="E2447" s="9" t="s">
        <v>16</v>
      </c>
      <c r="F2447" s="33">
        <v>1.0</v>
      </c>
      <c r="G2447" s="33">
        <v>6990.0</v>
      </c>
      <c r="H2447" s="35">
        <v>46166.0</v>
      </c>
      <c r="I2447" s="2" t="s">
        <v>14</v>
      </c>
      <c r="J2447" s="2"/>
    </row>
    <row r="2448" ht="22.5" customHeight="1">
      <c r="A2448" s="2" t="s">
        <v>1452</v>
      </c>
      <c r="B2448" s="2" t="s">
        <v>1438</v>
      </c>
      <c r="C2448" s="2" t="s">
        <v>1439</v>
      </c>
      <c r="D2448" s="8">
        <v>36.0</v>
      </c>
      <c r="E2448" s="9" t="s">
        <v>47</v>
      </c>
      <c r="F2448" s="33">
        <v>1.0</v>
      </c>
      <c r="G2448" s="33">
        <v>7600.0</v>
      </c>
      <c r="H2448" s="35">
        <v>46166.0</v>
      </c>
      <c r="I2448" s="2" t="s">
        <v>14</v>
      </c>
      <c r="J2448" s="2"/>
    </row>
    <row r="2449" ht="22.5" customHeight="1">
      <c r="A2449" s="2" t="s">
        <v>1213</v>
      </c>
      <c r="B2449" s="2" t="s">
        <v>1325</v>
      </c>
      <c r="C2449" s="2" t="s">
        <v>1435</v>
      </c>
      <c r="D2449" s="8">
        <v>37.0</v>
      </c>
      <c r="E2449" s="9" t="s">
        <v>47</v>
      </c>
      <c r="F2449" s="33">
        <v>1.0</v>
      </c>
      <c r="G2449" s="33">
        <v>6990.0</v>
      </c>
      <c r="H2449" s="35">
        <v>46166.0</v>
      </c>
      <c r="I2449" s="2" t="s">
        <v>14</v>
      </c>
      <c r="J2449" s="12" t="s">
        <v>1214</v>
      </c>
    </row>
    <row r="2450" ht="22.5" customHeight="1">
      <c r="A2450" s="2" t="s">
        <v>1427</v>
      </c>
      <c r="B2450" s="2" t="s">
        <v>1325</v>
      </c>
      <c r="C2450" s="2" t="s">
        <v>1435</v>
      </c>
      <c r="D2450" s="8">
        <v>36.0</v>
      </c>
      <c r="E2450" s="9" t="s">
        <v>47</v>
      </c>
      <c r="F2450" s="33">
        <v>1.0</v>
      </c>
      <c r="G2450" s="33">
        <v>6990.0</v>
      </c>
      <c r="H2450" s="35">
        <v>46166.0</v>
      </c>
      <c r="I2450" s="2" t="s">
        <v>473</v>
      </c>
      <c r="J2450" s="2"/>
    </row>
    <row r="2451" ht="22.5" customHeight="1">
      <c r="A2451" s="2" t="s">
        <v>1229</v>
      </c>
      <c r="B2451" s="2" t="s">
        <v>1376</v>
      </c>
      <c r="C2451" s="2" t="s">
        <v>1377</v>
      </c>
      <c r="D2451" s="8">
        <v>37.0</v>
      </c>
      <c r="E2451" s="9" t="s">
        <v>47</v>
      </c>
      <c r="F2451" s="33">
        <v>1.0</v>
      </c>
      <c r="G2451" s="33">
        <v>7000.0</v>
      </c>
      <c r="H2451" s="35">
        <v>46166.0</v>
      </c>
      <c r="I2451" s="2" t="s">
        <v>14</v>
      </c>
      <c r="J2451" s="12" t="s">
        <v>1230</v>
      </c>
    </row>
    <row r="2452" ht="22.5" customHeight="1">
      <c r="A2452" s="2" t="s">
        <v>1891</v>
      </c>
      <c r="B2452" s="2" t="s">
        <v>1892</v>
      </c>
      <c r="C2452" s="2" t="s">
        <v>1893</v>
      </c>
      <c r="D2452" s="8">
        <v>37.0</v>
      </c>
      <c r="E2452" s="9" t="s">
        <v>26</v>
      </c>
      <c r="F2452" s="33">
        <v>1.0</v>
      </c>
      <c r="G2452" s="33">
        <v>7000.0</v>
      </c>
      <c r="H2452" s="35">
        <v>46166.0</v>
      </c>
      <c r="I2452" s="2" t="s">
        <v>473</v>
      </c>
      <c r="J2452" s="2"/>
    </row>
    <row r="2453" ht="22.5" customHeight="1">
      <c r="A2453" s="2" t="s">
        <v>261</v>
      </c>
      <c r="B2453" s="2" t="s">
        <v>1894</v>
      </c>
      <c r="C2453" s="2" t="s">
        <v>1895</v>
      </c>
      <c r="D2453" s="8" t="s">
        <v>46</v>
      </c>
      <c r="E2453" s="9" t="s">
        <v>914</v>
      </c>
      <c r="F2453" s="33">
        <v>1.0</v>
      </c>
      <c r="G2453" s="33">
        <v>1550.0</v>
      </c>
      <c r="H2453" s="35">
        <v>46166.0</v>
      </c>
      <c r="I2453" s="2" t="s">
        <v>473</v>
      </c>
      <c r="J2453" s="12" t="s">
        <v>1896</v>
      </c>
    </row>
    <row r="2454" ht="22.5" customHeight="1">
      <c r="A2454" s="2" t="s">
        <v>261</v>
      </c>
      <c r="B2454" s="2" t="s">
        <v>1232</v>
      </c>
      <c r="C2454" s="2" t="s">
        <v>1233</v>
      </c>
      <c r="D2454" s="8" t="s">
        <v>46</v>
      </c>
      <c r="E2454" s="9" t="s">
        <v>13</v>
      </c>
      <c r="F2454" s="33">
        <v>1.0</v>
      </c>
      <c r="G2454" s="33">
        <v>1550.0</v>
      </c>
      <c r="H2454" s="35">
        <v>46166.0</v>
      </c>
      <c r="I2454" s="2" t="s">
        <v>473</v>
      </c>
      <c r="J2454" s="12" t="s">
        <v>1896</v>
      </c>
    </row>
    <row r="2455" ht="22.5" customHeight="1">
      <c r="A2455" s="2" t="s">
        <v>161</v>
      </c>
      <c r="B2455" s="2" t="s">
        <v>1894</v>
      </c>
      <c r="C2455" s="2" t="s">
        <v>1895</v>
      </c>
      <c r="D2455" s="8" t="s">
        <v>46</v>
      </c>
      <c r="E2455" s="9" t="s">
        <v>914</v>
      </c>
      <c r="F2455" s="33">
        <v>1.0</v>
      </c>
      <c r="G2455" s="33">
        <v>1550.0</v>
      </c>
      <c r="H2455" s="35">
        <v>46166.0</v>
      </c>
      <c r="I2455" s="2" t="s">
        <v>473</v>
      </c>
      <c r="J2455" s="12" t="s">
        <v>1897</v>
      </c>
    </row>
    <row r="2456" ht="22.5" customHeight="1">
      <c r="A2456" s="2" t="s">
        <v>1849</v>
      </c>
      <c r="B2456" s="2" t="s">
        <v>1894</v>
      </c>
      <c r="C2456" s="2" t="s">
        <v>1895</v>
      </c>
      <c r="D2456" s="8" t="s">
        <v>46</v>
      </c>
      <c r="E2456" s="9" t="s">
        <v>914</v>
      </c>
      <c r="F2456" s="33">
        <v>1.0</v>
      </c>
      <c r="G2456" s="33">
        <v>1550.0</v>
      </c>
      <c r="H2456" s="35">
        <v>46166.0</v>
      </c>
      <c r="I2456" s="2" t="s">
        <v>473</v>
      </c>
      <c r="J2456" s="12" t="s">
        <v>1850</v>
      </c>
    </row>
    <row r="2457" ht="22.5" customHeight="1">
      <c r="A2457" s="2" t="s">
        <v>1427</v>
      </c>
      <c r="B2457" s="2" t="s">
        <v>97</v>
      </c>
      <c r="C2457" s="2">
        <v>8748.0</v>
      </c>
      <c r="D2457" s="8" t="s">
        <v>12</v>
      </c>
      <c r="E2457" s="9" t="s">
        <v>58</v>
      </c>
      <c r="F2457" s="33">
        <v>1.0</v>
      </c>
      <c r="G2457" s="33">
        <v>1800.0</v>
      </c>
      <c r="H2457" s="35">
        <v>46166.0</v>
      </c>
      <c r="I2457" s="2" t="s">
        <v>473</v>
      </c>
      <c r="J2457" s="2"/>
    </row>
    <row r="2458" ht="22.5" customHeight="1">
      <c r="A2458" s="2" t="s">
        <v>1427</v>
      </c>
      <c r="B2458" s="2" t="s">
        <v>1212</v>
      </c>
      <c r="C2458" s="2">
        <v>92212.0</v>
      </c>
      <c r="D2458" s="8" t="s">
        <v>46</v>
      </c>
      <c r="E2458" s="9" t="s">
        <v>16</v>
      </c>
      <c r="F2458" s="33">
        <v>1.0</v>
      </c>
      <c r="G2458" s="33">
        <v>1700.0</v>
      </c>
      <c r="H2458" s="35">
        <v>46166.0</v>
      </c>
      <c r="I2458" s="2" t="s">
        <v>473</v>
      </c>
      <c r="J2458" s="2"/>
    </row>
    <row r="2459" ht="22.5" customHeight="1">
      <c r="A2459" s="2" t="s">
        <v>1427</v>
      </c>
      <c r="B2459" s="2" t="s">
        <v>1232</v>
      </c>
      <c r="C2459" s="2" t="s">
        <v>1233</v>
      </c>
      <c r="D2459" s="8" t="s">
        <v>46</v>
      </c>
      <c r="E2459" s="9" t="s">
        <v>13</v>
      </c>
      <c r="F2459" s="33">
        <v>1.0</v>
      </c>
      <c r="G2459" s="33">
        <v>1550.0</v>
      </c>
      <c r="H2459" s="35">
        <v>46166.0</v>
      </c>
      <c r="I2459" s="2" t="s">
        <v>473</v>
      </c>
      <c r="J2459" s="2"/>
    </row>
    <row r="2460" ht="22.5" customHeight="1">
      <c r="A2460" s="2" t="s">
        <v>148</v>
      </c>
      <c r="B2460" s="2" t="s">
        <v>1199</v>
      </c>
      <c r="C2460" s="2" t="s">
        <v>1200</v>
      </c>
      <c r="D2460" s="8" t="s">
        <v>75</v>
      </c>
      <c r="E2460" s="9" t="s">
        <v>18</v>
      </c>
      <c r="F2460" s="33">
        <v>1.0</v>
      </c>
      <c r="G2460" s="33">
        <v>725.0</v>
      </c>
      <c r="H2460" s="35">
        <v>46166.0</v>
      </c>
      <c r="I2460" s="2" t="s">
        <v>1183</v>
      </c>
      <c r="J2460" s="12" t="s">
        <v>1681</v>
      </c>
    </row>
    <row r="2461" ht="22.5" customHeight="1">
      <c r="A2461" s="2" t="s">
        <v>148</v>
      </c>
      <c r="B2461" s="2" t="s">
        <v>1199</v>
      </c>
      <c r="C2461" s="2" t="s">
        <v>1200</v>
      </c>
      <c r="D2461" s="8" t="s">
        <v>75</v>
      </c>
      <c r="E2461" s="9" t="s">
        <v>13</v>
      </c>
      <c r="F2461" s="33">
        <v>1.0</v>
      </c>
      <c r="G2461" s="33">
        <v>725.0</v>
      </c>
      <c r="H2461" s="35">
        <v>46166.0</v>
      </c>
      <c r="I2461" s="2" t="s">
        <v>1183</v>
      </c>
      <c r="J2461" s="12" t="s">
        <v>1681</v>
      </c>
    </row>
    <row r="2462" ht="22.5" customHeight="1">
      <c r="A2462" s="2" t="s">
        <v>148</v>
      </c>
      <c r="B2462" s="2" t="s">
        <v>1201</v>
      </c>
      <c r="C2462" s="2" t="s">
        <v>1202</v>
      </c>
      <c r="D2462" s="8" t="s">
        <v>75</v>
      </c>
      <c r="E2462" s="9" t="s">
        <v>18</v>
      </c>
      <c r="F2462" s="33">
        <v>1.0</v>
      </c>
      <c r="G2462" s="33">
        <v>725.0</v>
      </c>
      <c r="H2462" s="35">
        <v>46166.0</v>
      </c>
      <c r="I2462" s="2" t="s">
        <v>473</v>
      </c>
      <c r="J2462" s="12" t="s">
        <v>1681</v>
      </c>
    </row>
    <row r="2463" ht="22.5" customHeight="1">
      <c r="A2463" s="2" t="s">
        <v>148</v>
      </c>
      <c r="B2463" s="2" t="s">
        <v>1201</v>
      </c>
      <c r="C2463" s="2" t="s">
        <v>1202</v>
      </c>
      <c r="D2463" s="8" t="s">
        <v>75</v>
      </c>
      <c r="E2463" s="9" t="s">
        <v>13</v>
      </c>
      <c r="F2463" s="33">
        <v>1.0</v>
      </c>
      <c r="G2463" s="33">
        <v>725.0</v>
      </c>
      <c r="H2463" s="35">
        <v>46166.0</v>
      </c>
      <c r="I2463" s="2" t="s">
        <v>473</v>
      </c>
      <c r="J2463" s="12" t="s">
        <v>1681</v>
      </c>
    </row>
    <row r="2464" ht="22.5" customHeight="1">
      <c r="A2464" s="2" t="s">
        <v>295</v>
      </c>
      <c r="B2464" s="2" t="s">
        <v>762</v>
      </c>
      <c r="C2464" s="2" t="s">
        <v>763</v>
      </c>
      <c r="D2464" s="8" t="s">
        <v>46</v>
      </c>
      <c r="E2464" s="9" t="s">
        <v>1898</v>
      </c>
      <c r="F2464" s="33">
        <v>1.0</v>
      </c>
      <c r="G2464" s="33">
        <v>4000.0</v>
      </c>
      <c r="H2464" s="35">
        <v>46167.0</v>
      </c>
      <c r="I2464" s="2" t="s">
        <v>473</v>
      </c>
      <c r="J2464" s="2"/>
    </row>
    <row r="2465" ht="22.5" customHeight="1">
      <c r="A2465" s="2" t="s">
        <v>1301</v>
      </c>
      <c r="B2465" s="2" t="s">
        <v>440</v>
      </c>
      <c r="C2465" s="2" t="s">
        <v>441</v>
      </c>
      <c r="D2465" s="8" t="s">
        <v>46</v>
      </c>
      <c r="E2465" s="9" t="s">
        <v>26</v>
      </c>
      <c r="F2465" s="33">
        <v>1.0</v>
      </c>
      <c r="G2465" s="33">
        <v>1200.0</v>
      </c>
      <c r="H2465" s="35">
        <v>46167.0</v>
      </c>
      <c r="I2465" s="2" t="s">
        <v>473</v>
      </c>
      <c r="J2465" s="12" t="s">
        <v>1302</v>
      </c>
    </row>
    <row r="2466" ht="22.5" customHeight="1">
      <c r="A2466" s="2" t="s">
        <v>1301</v>
      </c>
      <c r="B2466" s="2" t="s">
        <v>440</v>
      </c>
      <c r="C2466" s="2" t="s">
        <v>441</v>
      </c>
      <c r="D2466" s="8" t="s">
        <v>46</v>
      </c>
      <c r="E2466" s="9" t="s">
        <v>447</v>
      </c>
      <c r="F2466" s="33">
        <v>1.0</v>
      </c>
      <c r="G2466" s="33">
        <v>1200.0</v>
      </c>
      <c r="H2466" s="35">
        <v>46167.0</v>
      </c>
      <c r="I2466" s="2" t="s">
        <v>473</v>
      </c>
      <c r="J2466" s="12" t="s">
        <v>1302</v>
      </c>
    </row>
    <row r="2467" ht="22.5" customHeight="1">
      <c r="A2467" s="2" t="s">
        <v>1899</v>
      </c>
      <c r="B2467" s="2" t="s">
        <v>1894</v>
      </c>
      <c r="C2467" s="2" t="s">
        <v>1895</v>
      </c>
      <c r="D2467" s="8" t="s">
        <v>46</v>
      </c>
      <c r="E2467" s="9" t="s">
        <v>914</v>
      </c>
      <c r="F2467" s="33">
        <v>1.0</v>
      </c>
      <c r="G2467" s="33">
        <v>1550.0</v>
      </c>
      <c r="H2467" s="35">
        <v>46167.0</v>
      </c>
      <c r="I2467" s="2" t="s">
        <v>473</v>
      </c>
      <c r="J2467" s="12" t="s">
        <v>1900</v>
      </c>
    </row>
    <row r="2468" ht="22.5" customHeight="1">
      <c r="A2468" s="2" t="s">
        <v>214</v>
      </c>
      <c r="B2468" s="2" t="s">
        <v>440</v>
      </c>
      <c r="C2468" s="2" t="s">
        <v>441</v>
      </c>
      <c r="D2468" s="8" t="s">
        <v>46</v>
      </c>
      <c r="E2468" s="9" t="s">
        <v>26</v>
      </c>
      <c r="F2468" s="33">
        <v>1.0</v>
      </c>
      <c r="G2468" s="33">
        <v>1200.0</v>
      </c>
      <c r="H2468" s="35">
        <v>46167.0</v>
      </c>
      <c r="I2468" s="2" t="s">
        <v>14</v>
      </c>
      <c r="J2468" s="12" t="s">
        <v>1901</v>
      </c>
    </row>
    <row r="2469" ht="22.5" customHeight="1">
      <c r="A2469" s="2" t="s">
        <v>142</v>
      </c>
      <c r="B2469" s="2" t="s">
        <v>1894</v>
      </c>
      <c r="C2469" s="2" t="s">
        <v>1895</v>
      </c>
      <c r="D2469" s="8" t="s">
        <v>46</v>
      </c>
      <c r="E2469" s="9" t="s">
        <v>914</v>
      </c>
      <c r="F2469" s="33">
        <v>1.0</v>
      </c>
      <c r="G2469" s="33">
        <v>1550.0</v>
      </c>
      <c r="H2469" s="35">
        <v>46167.0</v>
      </c>
      <c r="I2469" s="2" t="s">
        <v>473</v>
      </c>
      <c r="J2469" s="12" t="s">
        <v>1902</v>
      </c>
    </row>
    <row r="2470" ht="22.5" customHeight="1">
      <c r="A2470" s="2" t="s">
        <v>142</v>
      </c>
      <c r="B2470" s="2" t="s">
        <v>1852</v>
      </c>
      <c r="C2470" s="2">
        <v>9930.0</v>
      </c>
      <c r="D2470" s="8" t="s">
        <v>12</v>
      </c>
      <c r="E2470" s="9" t="s">
        <v>58</v>
      </c>
      <c r="F2470" s="33">
        <v>1.0</v>
      </c>
      <c r="G2470" s="33">
        <v>2350.0</v>
      </c>
      <c r="H2470" s="35">
        <v>46167.0</v>
      </c>
      <c r="I2470" s="2" t="s">
        <v>1183</v>
      </c>
      <c r="J2470" s="12" t="s">
        <v>1902</v>
      </c>
    </row>
    <row r="2471" ht="22.5" customHeight="1">
      <c r="A2471" s="2" t="s">
        <v>1903</v>
      </c>
      <c r="B2471" s="2" t="s">
        <v>1894</v>
      </c>
      <c r="C2471" s="2" t="s">
        <v>1895</v>
      </c>
      <c r="D2471" s="8" t="s">
        <v>46</v>
      </c>
      <c r="E2471" s="9" t="s">
        <v>914</v>
      </c>
      <c r="F2471" s="33">
        <v>1.0</v>
      </c>
      <c r="G2471" s="33">
        <v>1550.0</v>
      </c>
      <c r="H2471" s="35">
        <v>46167.0</v>
      </c>
      <c r="I2471" s="2" t="s">
        <v>473</v>
      </c>
      <c r="J2471" s="12" t="s">
        <v>1904</v>
      </c>
    </row>
    <row r="2472" ht="22.5" customHeight="1">
      <c r="A2472" s="2" t="s">
        <v>71</v>
      </c>
      <c r="B2472" s="2" t="s">
        <v>1894</v>
      </c>
      <c r="C2472" s="2" t="s">
        <v>1895</v>
      </c>
      <c r="D2472" s="8" t="s">
        <v>46</v>
      </c>
      <c r="E2472" s="9" t="s">
        <v>914</v>
      </c>
      <c r="F2472" s="33">
        <v>1.0</v>
      </c>
      <c r="G2472" s="33">
        <v>1550.0</v>
      </c>
      <c r="H2472" s="35">
        <v>46167.0</v>
      </c>
      <c r="I2472" s="2" t="s">
        <v>473</v>
      </c>
      <c r="J2472" s="12" t="s">
        <v>955</v>
      </c>
    </row>
    <row r="2473" ht="22.5" customHeight="1">
      <c r="A2473" s="2" t="s">
        <v>1905</v>
      </c>
      <c r="B2473" s="2" t="s">
        <v>1894</v>
      </c>
      <c r="C2473" s="2" t="s">
        <v>1895</v>
      </c>
      <c r="D2473" s="8" t="s">
        <v>46</v>
      </c>
      <c r="E2473" s="9" t="s">
        <v>914</v>
      </c>
      <c r="F2473" s="33">
        <v>2.0</v>
      </c>
      <c r="G2473" s="33">
        <v>1550.0</v>
      </c>
      <c r="H2473" s="35">
        <v>46167.0</v>
      </c>
      <c r="I2473" s="2" t="s">
        <v>473</v>
      </c>
      <c r="J2473" s="12" t="s">
        <v>1906</v>
      </c>
    </row>
    <row r="2474" ht="22.5" customHeight="1">
      <c r="A2474" s="2" t="s">
        <v>1907</v>
      </c>
      <c r="B2474" s="2" t="s">
        <v>1894</v>
      </c>
      <c r="C2474" s="2" t="s">
        <v>1895</v>
      </c>
      <c r="D2474" s="8" t="s">
        <v>46</v>
      </c>
      <c r="E2474" s="9" t="s">
        <v>914</v>
      </c>
      <c r="F2474" s="33">
        <v>1.0</v>
      </c>
      <c r="G2474" s="33">
        <v>1550.0</v>
      </c>
      <c r="H2474" s="35">
        <v>46167.0</v>
      </c>
      <c r="I2474" s="2" t="s">
        <v>473</v>
      </c>
      <c r="J2474" s="12" t="s">
        <v>1908</v>
      </c>
    </row>
    <row r="2475" ht="22.5" customHeight="1">
      <c r="A2475" s="2" t="s">
        <v>1108</v>
      </c>
      <c r="B2475" s="2" t="s">
        <v>1894</v>
      </c>
      <c r="C2475" s="2" t="s">
        <v>1895</v>
      </c>
      <c r="D2475" s="8" t="s">
        <v>46</v>
      </c>
      <c r="E2475" s="9" t="s">
        <v>914</v>
      </c>
      <c r="F2475" s="33">
        <v>1.0</v>
      </c>
      <c r="G2475" s="33">
        <v>1550.0</v>
      </c>
      <c r="H2475" s="35">
        <v>46167.0</v>
      </c>
      <c r="I2475" s="2" t="s">
        <v>473</v>
      </c>
      <c r="J2475" s="12" t="s">
        <v>1909</v>
      </c>
    </row>
    <row r="2476" ht="22.5" customHeight="1">
      <c r="A2476" s="2" t="s">
        <v>738</v>
      </c>
      <c r="B2476" s="2" t="s">
        <v>1232</v>
      </c>
      <c r="C2476" s="2" t="s">
        <v>1233</v>
      </c>
      <c r="D2476" s="8" t="s">
        <v>46</v>
      </c>
      <c r="E2476" s="9" t="s">
        <v>13</v>
      </c>
      <c r="F2476" s="33">
        <v>1.0</v>
      </c>
      <c r="G2476" s="33">
        <v>1550.0</v>
      </c>
      <c r="H2476" s="35">
        <v>46167.0</v>
      </c>
      <c r="I2476" s="2" t="s">
        <v>473</v>
      </c>
      <c r="J2476" s="12" t="s">
        <v>1910</v>
      </c>
    </row>
    <row r="2477" ht="22.5" customHeight="1">
      <c r="A2477" s="2" t="s">
        <v>738</v>
      </c>
      <c r="B2477" s="2" t="s">
        <v>1894</v>
      </c>
      <c r="C2477" s="2" t="s">
        <v>1895</v>
      </c>
      <c r="D2477" s="8" t="s">
        <v>46</v>
      </c>
      <c r="E2477" s="9" t="s">
        <v>914</v>
      </c>
      <c r="F2477" s="33">
        <v>1.0</v>
      </c>
      <c r="G2477" s="33">
        <v>1550.0</v>
      </c>
      <c r="H2477" s="35">
        <v>46167.0</v>
      </c>
      <c r="I2477" s="2" t="s">
        <v>473</v>
      </c>
      <c r="J2477" s="12" t="s">
        <v>1910</v>
      </c>
    </row>
    <row r="2478" ht="22.5" customHeight="1">
      <c r="A2478" s="2" t="s">
        <v>1911</v>
      </c>
      <c r="B2478" s="2" t="s">
        <v>1894</v>
      </c>
      <c r="C2478" s="2" t="s">
        <v>1895</v>
      </c>
      <c r="D2478" s="8" t="s">
        <v>46</v>
      </c>
      <c r="E2478" s="9" t="s">
        <v>914</v>
      </c>
      <c r="F2478" s="33">
        <v>1.0</v>
      </c>
      <c r="G2478" s="33">
        <v>1550.0</v>
      </c>
      <c r="H2478" s="35">
        <v>46167.0</v>
      </c>
      <c r="I2478" s="2" t="s">
        <v>473</v>
      </c>
      <c r="J2478" s="12" t="s">
        <v>1912</v>
      </c>
    </row>
    <row r="2479" ht="22.5" customHeight="1">
      <c r="A2479" s="2" t="s">
        <v>1913</v>
      </c>
      <c r="B2479" s="2" t="s">
        <v>1894</v>
      </c>
      <c r="C2479" s="2" t="s">
        <v>1895</v>
      </c>
      <c r="D2479" s="8" t="s">
        <v>46</v>
      </c>
      <c r="E2479" s="9" t="s">
        <v>914</v>
      </c>
      <c r="F2479" s="33">
        <v>1.0</v>
      </c>
      <c r="G2479" s="33">
        <v>1550.0</v>
      </c>
      <c r="H2479" s="35">
        <v>46167.0</v>
      </c>
      <c r="I2479" s="2" t="s">
        <v>473</v>
      </c>
      <c r="J2479" s="12" t="s">
        <v>1914</v>
      </c>
    </row>
    <row r="2480" ht="22.5" customHeight="1">
      <c r="A2480" s="2" t="s">
        <v>224</v>
      </c>
      <c r="B2480" s="2" t="s">
        <v>1894</v>
      </c>
      <c r="C2480" s="2" t="s">
        <v>1895</v>
      </c>
      <c r="D2480" s="8" t="s">
        <v>46</v>
      </c>
      <c r="E2480" s="9" t="s">
        <v>914</v>
      </c>
      <c r="F2480" s="33">
        <v>2.0</v>
      </c>
      <c r="G2480" s="33">
        <v>1550.0</v>
      </c>
      <c r="H2480" s="35">
        <v>46167.0</v>
      </c>
      <c r="I2480" s="2" t="s">
        <v>1183</v>
      </c>
      <c r="J2480" s="12" t="s">
        <v>1189</v>
      </c>
    </row>
    <row r="2481" ht="22.5" customHeight="1">
      <c r="A2481" s="2" t="s">
        <v>1083</v>
      </c>
      <c r="B2481" s="2" t="s">
        <v>1894</v>
      </c>
      <c r="C2481" s="2" t="s">
        <v>1895</v>
      </c>
      <c r="D2481" s="8" t="s">
        <v>46</v>
      </c>
      <c r="E2481" s="9" t="s">
        <v>914</v>
      </c>
      <c r="F2481" s="33">
        <v>1.0</v>
      </c>
      <c r="G2481" s="33">
        <v>1550.0</v>
      </c>
      <c r="H2481" s="35">
        <v>46167.0</v>
      </c>
      <c r="I2481" s="2" t="s">
        <v>1183</v>
      </c>
      <c r="J2481" s="12" t="s">
        <v>1915</v>
      </c>
    </row>
    <row r="2482" ht="22.5" customHeight="1">
      <c r="A2482" s="2" t="s">
        <v>1916</v>
      </c>
      <c r="B2482" s="2" t="s">
        <v>1894</v>
      </c>
      <c r="C2482" s="2" t="s">
        <v>1895</v>
      </c>
      <c r="D2482" s="8" t="s">
        <v>46</v>
      </c>
      <c r="E2482" s="9" t="s">
        <v>914</v>
      </c>
      <c r="F2482" s="33">
        <v>2.0</v>
      </c>
      <c r="G2482" s="33">
        <v>1550.0</v>
      </c>
      <c r="H2482" s="35">
        <v>46167.0</v>
      </c>
      <c r="I2482" s="2" t="s">
        <v>1183</v>
      </c>
      <c r="J2482" s="12" t="s">
        <v>1917</v>
      </c>
    </row>
    <row r="2483" ht="22.5" customHeight="1">
      <c r="A2483" s="2" t="s">
        <v>1918</v>
      </c>
      <c r="B2483" s="2" t="s">
        <v>1894</v>
      </c>
      <c r="C2483" s="2" t="s">
        <v>1895</v>
      </c>
      <c r="D2483" s="8" t="s">
        <v>46</v>
      </c>
      <c r="E2483" s="9" t="s">
        <v>914</v>
      </c>
      <c r="F2483" s="33">
        <v>2.0</v>
      </c>
      <c r="G2483" s="33">
        <v>1550.0</v>
      </c>
      <c r="H2483" s="35">
        <v>46167.0</v>
      </c>
      <c r="I2483" s="2" t="s">
        <v>1183</v>
      </c>
      <c r="J2483" s="12" t="s">
        <v>1919</v>
      </c>
    </row>
    <row r="2484" ht="22.5" customHeight="1">
      <c r="A2484" s="2" t="s">
        <v>1859</v>
      </c>
      <c r="B2484" s="2" t="s">
        <v>1894</v>
      </c>
      <c r="C2484" s="2" t="s">
        <v>1895</v>
      </c>
      <c r="D2484" s="8" t="s">
        <v>46</v>
      </c>
      <c r="E2484" s="9" t="s">
        <v>914</v>
      </c>
      <c r="F2484" s="33">
        <v>1.0</v>
      </c>
      <c r="G2484" s="33">
        <v>1550.0</v>
      </c>
      <c r="H2484" s="35">
        <v>46167.0</v>
      </c>
      <c r="I2484" s="2" t="s">
        <v>1183</v>
      </c>
      <c r="J2484" s="12" t="s">
        <v>1860</v>
      </c>
    </row>
    <row r="2485" ht="22.5" customHeight="1">
      <c r="A2485" s="2" t="s">
        <v>288</v>
      </c>
      <c r="B2485" s="2" t="s">
        <v>1894</v>
      </c>
      <c r="C2485" s="2" t="s">
        <v>1895</v>
      </c>
      <c r="D2485" s="8" t="s">
        <v>46</v>
      </c>
      <c r="E2485" s="9" t="s">
        <v>914</v>
      </c>
      <c r="F2485" s="33">
        <v>1.0</v>
      </c>
      <c r="G2485" s="33">
        <v>1550.0</v>
      </c>
      <c r="H2485" s="35">
        <v>46167.0</v>
      </c>
      <c r="I2485" s="2" t="s">
        <v>1183</v>
      </c>
      <c r="J2485" s="12" t="s">
        <v>1920</v>
      </c>
    </row>
    <row r="2486" ht="22.5" customHeight="1">
      <c r="A2486" s="2" t="s">
        <v>1647</v>
      </c>
      <c r="B2486" s="2" t="s">
        <v>1894</v>
      </c>
      <c r="C2486" s="2" t="s">
        <v>1895</v>
      </c>
      <c r="D2486" s="8" t="s">
        <v>46</v>
      </c>
      <c r="E2486" s="9" t="s">
        <v>914</v>
      </c>
      <c r="F2486" s="33">
        <v>1.0</v>
      </c>
      <c r="G2486" s="33">
        <v>1550.0</v>
      </c>
      <c r="H2486" s="35">
        <v>46167.0</v>
      </c>
      <c r="I2486" s="2" t="s">
        <v>1183</v>
      </c>
      <c r="J2486" s="12" t="s">
        <v>1921</v>
      </c>
    </row>
    <row r="2487" ht="22.5" customHeight="1">
      <c r="A2487" s="2" t="s">
        <v>736</v>
      </c>
      <c r="B2487" s="2" t="s">
        <v>1894</v>
      </c>
      <c r="C2487" s="2" t="s">
        <v>1895</v>
      </c>
      <c r="D2487" s="8" t="s">
        <v>46</v>
      </c>
      <c r="E2487" s="9" t="s">
        <v>914</v>
      </c>
      <c r="F2487" s="33">
        <v>1.0</v>
      </c>
      <c r="G2487" s="33">
        <v>1550.0</v>
      </c>
      <c r="H2487" s="35">
        <v>46167.0</v>
      </c>
      <c r="I2487" s="2" t="s">
        <v>1183</v>
      </c>
      <c r="J2487" s="12" t="s">
        <v>737</v>
      </c>
    </row>
    <row r="2488" ht="22.5" customHeight="1">
      <c r="A2488" s="2" t="s">
        <v>605</v>
      </c>
      <c r="B2488" s="2" t="s">
        <v>1894</v>
      </c>
      <c r="C2488" s="2" t="s">
        <v>1895</v>
      </c>
      <c r="D2488" s="8" t="s">
        <v>46</v>
      </c>
      <c r="E2488" s="9" t="s">
        <v>914</v>
      </c>
      <c r="F2488" s="33">
        <v>1.0</v>
      </c>
      <c r="G2488" s="33">
        <v>1550.0</v>
      </c>
      <c r="H2488" s="35">
        <v>46167.0</v>
      </c>
      <c r="I2488" s="2" t="s">
        <v>1183</v>
      </c>
      <c r="J2488" s="12" t="s">
        <v>1922</v>
      </c>
    </row>
    <row r="2489" ht="22.5" customHeight="1">
      <c r="A2489" s="2" t="s">
        <v>464</v>
      </c>
      <c r="B2489" s="2" t="s">
        <v>1894</v>
      </c>
      <c r="C2489" s="2" t="s">
        <v>1895</v>
      </c>
      <c r="D2489" s="8" t="s">
        <v>46</v>
      </c>
      <c r="E2489" s="9" t="s">
        <v>914</v>
      </c>
      <c r="F2489" s="33">
        <v>1.0</v>
      </c>
      <c r="G2489" s="33">
        <v>1550.0</v>
      </c>
      <c r="H2489" s="35">
        <v>46167.0</v>
      </c>
      <c r="I2489" s="2" t="s">
        <v>1183</v>
      </c>
      <c r="J2489" s="12" t="s">
        <v>1923</v>
      </c>
    </row>
    <row r="2490" ht="22.5" customHeight="1">
      <c r="A2490" s="2" t="s">
        <v>1541</v>
      </c>
      <c r="B2490" s="2" t="s">
        <v>1894</v>
      </c>
      <c r="C2490" s="2" t="s">
        <v>1895</v>
      </c>
      <c r="D2490" s="8" t="s">
        <v>46</v>
      </c>
      <c r="E2490" s="9" t="s">
        <v>914</v>
      </c>
      <c r="F2490" s="33">
        <v>1.0</v>
      </c>
      <c r="G2490" s="33">
        <v>1550.0</v>
      </c>
      <c r="H2490" s="35">
        <v>46167.0</v>
      </c>
      <c r="I2490" s="2" t="s">
        <v>1183</v>
      </c>
      <c r="J2490" s="12" t="s">
        <v>1813</v>
      </c>
    </row>
    <row r="2491" ht="22.5" customHeight="1">
      <c r="A2491" s="2" t="s">
        <v>1924</v>
      </c>
      <c r="B2491" s="2" t="s">
        <v>1894</v>
      </c>
      <c r="C2491" s="2" t="s">
        <v>1895</v>
      </c>
      <c r="D2491" s="8" t="s">
        <v>46</v>
      </c>
      <c r="E2491" s="9" t="s">
        <v>914</v>
      </c>
      <c r="F2491" s="33">
        <v>2.0</v>
      </c>
      <c r="G2491" s="33">
        <v>1550.0</v>
      </c>
      <c r="H2491" s="35">
        <v>46167.0</v>
      </c>
      <c r="I2491" s="2" t="s">
        <v>1183</v>
      </c>
      <c r="J2491" s="12" t="s">
        <v>1925</v>
      </c>
    </row>
    <row r="2492" ht="22.5" customHeight="1">
      <c r="A2492" s="2" t="s">
        <v>870</v>
      </c>
      <c r="B2492" s="2" t="s">
        <v>1894</v>
      </c>
      <c r="C2492" s="2" t="s">
        <v>1895</v>
      </c>
      <c r="D2492" s="8" t="s">
        <v>46</v>
      </c>
      <c r="E2492" s="9" t="s">
        <v>914</v>
      </c>
      <c r="F2492" s="33">
        <v>1.0</v>
      </c>
      <c r="G2492" s="33">
        <v>1550.0</v>
      </c>
      <c r="H2492" s="35">
        <v>46167.0</v>
      </c>
      <c r="I2492" s="2" t="s">
        <v>1183</v>
      </c>
      <c r="J2492" s="12" t="s">
        <v>1926</v>
      </c>
    </row>
    <row r="2493" ht="22.5" customHeight="1">
      <c r="A2493" s="2" t="s">
        <v>1209</v>
      </c>
      <c r="B2493" s="2" t="s">
        <v>1894</v>
      </c>
      <c r="C2493" s="2" t="s">
        <v>1895</v>
      </c>
      <c r="D2493" s="8" t="s">
        <v>46</v>
      </c>
      <c r="E2493" s="9" t="s">
        <v>914</v>
      </c>
      <c r="F2493" s="33">
        <v>1.0</v>
      </c>
      <c r="G2493" s="33">
        <v>1550.0</v>
      </c>
      <c r="H2493" s="35">
        <v>46167.0</v>
      </c>
      <c r="I2493" s="2" t="s">
        <v>1183</v>
      </c>
      <c r="J2493" s="12" t="s">
        <v>1927</v>
      </c>
    </row>
    <row r="2494" ht="22.5" customHeight="1">
      <c r="A2494" s="2" t="s">
        <v>298</v>
      </c>
      <c r="B2494" s="2" t="s">
        <v>1894</v>
      </c>
      <c r="C2494" s="2" t="s">
        <v>1895</v>
      </c>
      <c r="D2494" s="8" t="s">
        <v>46</v>
      </c>
      <c r="E2494" s="9" t="s">
        <v>914</v>
      </c>
      <c r="F2494" s="33">
        <v>1.0</v>
      </c>
      <c r="G2494" s="33">
        <v>1550.0</v>
      </c>
      <c r="H2494" s="35">
        <v>46167.0</v>
      </c>
      <c r="I2494" s="2" t="s">
        <v>1183</v>
      </c>
      <c r="J2494" s="12" t="s">
        <v>1928</v>
      </c>
    </row>
    <row r="2495" ht="22.5" customHeight="1">
      <c r="A2495" s="2" t="s">
        <v>298</v>
      </c>
      <c r="B2495" s="2" t="s">
        <v>762</v>
      </c>
      <c r="C2495" s="2" t="s">
        <v>763</v>
      </c>
      <c r="D2495" s="8" t="s">
        <v>46</v>
      </c>
      <c r="E2495" s="9" t="s">
        <v>1929</v>
      </c>
      <c r="F2495" s="33">
        <v>1.0</v>
      </c>
      <c r="G2495" s="33">
        <v>1990.0</v>
      </c>
      <c r="H2495" s="35">
        <v>46167.0</v>
      </c>
      <c r="I2495" s="2" t="s">
        <v>473</v>
      </c>
      <c r="J2495" s="12" t="s">
        <v>1928</v>
      </c>
    </row>
    <row r="2496" ht="22.5" customHeight="1">
      <c r="A2496" s="2" t="s">
        <v>1930</v>
      </c>
      <c r="B2496" s="2" t="s">
        <v>1852</v>
      </c>
      <c r="C2496" s="2">
        <v>9930.0</v>
      </c>
      <c r="D2496" s="8" t="s">
        <v>12</v>
      </c>
      <c r="E2496" s="9" t="s">
        <v>58</v>
      </c>
      <c r="F2496" s="33">
        <v>1.0</v>
      </c>
      <c r="G2496" s="33">
        <v>2350.0</v>
      </c>
      <c r="H2496" s="35">
        <v>46167.0</v>
      </c>
      <c r="I2496" s="2" t="s">
        <v>1183</v>
      </c>
      <c r="J2496" s="12" t="s">
        <v>1931</v>
      </c>
    </row>
    <row r="2497" ht="22.5" customHeight="1">
      <c r="A2497" s="2" t="s">
        <v>1930</v>
      </c>
      <c r="B2497" s="2" t="s">
        <v>516</v>
      </c>
      <c r="C2497" s="2" t="s">
        <v>517</v>
      </c>
      <c r="D2497" s="8" t="s">
        <v>46</v>
      </c>
      <c r="E2497" s="9" t="s">
        <v>338</v>
      </c>
      <c r="F2497" s="33">
        <v>1.0</v>
      </c>
      <c r="G2497" s="33">
        <v>1390.0</v>
      </c>
      <c r="H2497" s="35">
        <v>46167.0</v>
      </c>
      <c r="I2497" s="2" t="s">
        <v>1183</v>
      </c>
      <c r="J2497" s="12" t="s">
        <v>1931</v>
      </c>
    </row>
    <row r="2498" ht="22.5" customHeight="1">
      <c r="A2498" s="2" t="s">
        <v>1930</v>
      </c>
      <c r="B2498" s="2" t="s">
        <v>1203</v>
      </c>
      <c r="C2498" s="2" t="s">
        <v>1204</v>
      </c>
      <c r="D2498" s="8" t="s">
        <v>75</v>
      </c>
      <c r="E2498" s="9" t="s">
        <v>18</v>
      </c>
      <c r="F2498" s="33">
        <v>1.0</v>
      </c>
      <c r="G2498" s="33">
        <v>725.0</v>
      </c>
      <c r="H2498" s="35">
        <v>46167.0</v>
      </c>
      <c r="I2498" s="2" t="s">
        <v>1183</v>
      </c>
      <c r="J2498" s="12" t="s">
        <v>1931</v>
      </c>
    </row>
    <row r="2499" ht="22.5" customHeight="1">
      <c r="A2499" s="2" t="s">
        <v>1930</v>
      </c>
      <c r="B2499" s="2" t="s">
        <v>1203</v>
      </c>
      <c r="C2499" s="2" t="s">
        <v>1204</v>
      </c>
      <c r="D2499" s="8" t="s">
        <v>75</v>
      </c>
      <c r="E2499" s="9" t="s">
        <v>13</v>
      </c>
      <c r="F2499" s="33">
        <v>1.0</v>
      </c>
      <c r="G2499" s="33">
        <v>725.0</v>
      </c>
      <c r="H2499" s="35">
        <v>46167.0</v>
      </c>
      <c r="I2499" s="2" t="s">
        <v>1183</v>
      </c>
      <c r="J2499" s="12" t="s">
        <v>1931</v>
      </c>
    </row>
    <row r="2500" ht="22.5" customHeight="1">
      <c r="A2500" s="2" t="s">
        <v>1930</v>
      </c>
      <c r="B2500" s="2" t="s">
        <v>762</v>
      </c>
      <c r="C2500" s="2" t="s">
        <v>763</v>
      </c>
      <c r="D2500" s="8" t="s">
        <v>46</v>
      </c>
      <c r="E2500" s="9" t="s">
        <v>1932</v>
      </c>
      <c r="F2500" s="33">
        <v>1.0</v>
      </c>
      <c r="G2500" s="33">
        <v>1.0</v>
      </c>
      <c r="H2500" s="35">
        <v>46167.0</v>
      </c>
      <c r="I2500" s="2" t="s">
        <v>473</v>
      </c>
      <c r="J2500" s="12" t="s">
        <v>1931</v>
      </c>
    </row>
    <row r="2501" ht="22.5" customHeight="1">
      <c r="A2501" s="2" t="s">
        <v>1933</v>
      </c>
      <c r="B2501" s="2" t="s">
        <v>440</v>
      </c>
      <c r="C2501" s="2" t="s">
        <v>441</v>
      </c>
      <c r="D2501" s="8" t="s">
        <v>46</v>
      </c>
      <c r="E2501" s="9" t="s">
        <v>447</v>
      </c>
      <c r="F2501" s="33">
        <v>1.0</v>
      </c>
      <c r="G2501" s="33">
        <v>1200.0</v>
      </c>
      <c r="H2501" s="35">
        <v>46167.0</v>
      </c>
      <c r="I2501" s="2" t="s">
        <v>14</v>
      </c>
      <c r="J2501" s="12" t="s">
        <v>1934</v>
      </c>
    </row>
    <row r="2502" ht="22.5" customHeight="1">
      <c r="A2502" s="2" t="s">
        <v>1607</v>
      </c>
      <c r="B2502" s="2" t="s">
        <v>1894</v>
      </c>
      <c r="C2502" s="2" t="s">
        <v>1895</v>
      </c>
      <c r="D2502" s="8" t="s">
        <v>46</v>
      </c>
      <c r="E2502" s="9" t="s">
        <v>914</v>
      </c>
      <c r="F2502" s="33">
        <v>1.0</v>
      </c>
      <c r="G2502" s="33">
        <v>1550.0</v>
      </c>
      <c r="H2502" s="35">
        <v>46167.0</v>
      </c>
      <c r="I2502" s="2" t="s">
        <v>1183</v>
      </c>
      <c r="J2502" s="2"/>
    </row>
    <row r="2503" ht="22.5" customHeight="1">
      <c r="A2503" s="2" t="s">
        <v>32</v>
      </c>
      <c r="B2503" s="2" t="s">
        <v>1626</v>
      </c>
      <c r="C2503" s="2" t="s">
        <v>1627</v>
      </c>
      <c r="D2503" s="8" t="s">
        <v>75</v>
      </c>
      <c r="E2503" s="9">
        <v>1.0</v>
      </c>
      <c r="F2503" s="33">
        <v>1.0</v>
      </c>
      <c r="G2503" s="33">
        <v>1100.0</v>
      </c>
      <c r="H2503" s="35">
        <v>46167.0</v>
      </c>
      <c r="I2503" s="2" t="s">
        <v>1183</v>
      </c>
      <c r="J2503" s="2"/>
    </row>
    <row r="2504" ht="22.5" customHeight="1">
      <c r="A2504" s="2" t="s">
        <v>32</v>
      </c>
      <c r="B2504" s="2" t="s">
        <v>1626</v>
      </c>
      <c r="C2504" s="2" t="s">
        <v>1627</v>
      </c>
      <c r="D2504" s="8" t="s">
        <v>75</v>
      </c>
      <c r="E2504" s="9">
        <v>5.0</v>
      </c>
      <c r="F2504" s="33">
        <v>1.0</v>
      </c>
      <c r="G2504" s="33">
        <v>1100.0</v>
      </c>
      <c r="H2504" s="35">
        <v>46167.0</v>
      </c>
      <c r="I2504" s="2" t="s">
        <v>1183</v>
      </c>
      <c r="J2504" s="2"/>
    </row>
    <row r="2505" ht="22.5" customHeight="1">
      <c r="A2505" s="2" t="s">
        <v>609</v>
      </c>
      <c r="B2505" s="2" t="s">
        <v>1935</v>
      </c>
      <c r="C2505" s="2">
        <v>9831.0</v>
      </c>
      <c r="D2505" s="8" t="s">
        <v>12</v>
      </c>
      <c r="E2505" s="9" t="s">
        <v>58</v>
      </c>
      <c r="F2505" s="33">
        <v>1.0</v>
      </c>
      <c r="G2505" s="33">
        <v>2590.0</v>
      </c>
      <c r="H2505" s="35">
        <v>46168.0</v>
      </c>
      <c r="I2505" s="2" t="s">
        <v>1183</v>
      </c>
      <c r="J2505" s="12" t="s">
        <v>1936</v>
      </c>
    </row>
    <row r="2506" ht="22.5" customHeight="1">
      <c r="A2506" s="2" t="s">
        <v>1937</v>
      </c>
      <c r="B2506" s="2" t="s">
        <v>1852</v>
      </c>
      <c r="C2506" s="2">
        <v>9930.0</v>
      </c>
      <c r="D2506" s="8" t="s">
        <v>75</v>
      </c>
      <c r="E2506" s="9" t="s">
        <v>58</v>
      </c>
      <c r="F2506" s="33">
        <v>1.0</v>
      </c>
      <c r="G2506" s="33">
        <v>2350.0</v>
      </c>
      <c r="H2506" s="35">
        <v>46168.0</v>
      </c>
      <c r="I2506" s="2" t="s">
        <v>1183</v>
      </c>
      <c r="J2506" s="12" t="s">
        <v>1938</v>
      </c>
    </row>
    <row r="2507" ht="22.5" customHeight="1">
      <c r="A2507" s="2" t="s">
        <v>1937</v>
      </c>
      <c r="B2507" s="2" t="s">
        <v>1894</v>
      </c>
      <c r="C2507" s="2" t="s">
        <v>1895</v>
      </c>
      <c r="D2507" s="8" t="s">
        <v>46</v>
      </c>
      <c r="E2507" s="9" t="s">
        <v>914</v>
      </c>
      <c r="F2507" s="33">
        <v>1.0</v>
      </c>
      <c r="G2507" s="33">
        <v>1550.0</v>
      </c>
      <c r="H2507" s="35">
        <v>46168.0</v>
      </c>
      <c r="I2507" s="2" t="s">
        <v>1183</v>
      </c>
      <c r="J2507" s="12" t="s">
        <v>1938</v>
      </c>
    </row>
    <row r="2508" ht="22.5" customHeight="1">
      <c r="A2508" s="2" t="s">
        <v>40</v>
      </c>
      <c r="B2508" s="2" t="s">
        <v>1894</v>
      </c>
      <c r="C2508" s="2" t="s">
        <v>1895</v>
      </c>
      <c r="D2508" s="8" t="s">
        <v>46</v>
      </c>
      <c r="E2508" s="9" t="s">
        <v>914</v>
      </c>
      <c r="F2508" s="33">
        <v>1.0</v>
      </c>
      <c r="G2508" s="33">
        <v>1550.0</v>
      </c>
      <c r="H2508" s="35">
        <v>46168.0</v>
      </c>
      <c r="I2508" s="2" t="s">
        <v>1183</v>
      </c>
      <c r="J2508" s="12" t="s">
        <v>1939</v>
      </c>
    </row>
    <row r="2509" ht="22.5" customHeight="1">
      <c r="A2509" s="2" t="s">
        <v>64</v>
      </c>
      <c r="B2509" s="2" t="s">
        <v>1894</v>
      </c>
      <c r="C2509" s="2" t="s">
        <v>1895</v>
      </c>
      <c r="D2509" s="8" t="s">
        <v>46</v>
      </c>
      <c r="E2509" s="9" t="s">
        <v>914</v>
      </c>
      <c r="F2509" s="33">
        <v>2.0</v>
      </c>
      <c r="G2509" s="33">
        <v>1550.0</v>
      </c>
      <c r="H2509" s="35">
        <v>46168.0</v>
      </c>
      <c r="I2509" s="2" t="s">
        <v>1183</v>
      </c>
      <c r="J2509" s="12" t="s">
        <v>1940</v>
      </c>
    </row>
    <row r="2510" ht="22.5" customHeight="1">
      <c r="A2510" s="2" t="s">
        <v>1303</v>
      </c>
      <c r="B2510" s="2" t="s">
        <v>1894</v>
      </c>
      <c r="C2510" s="2" t="s">
        <v>1895</v>
      </c>
      <c r="D2510" s="8" t="s">
        <v>46</v>
      </c>
      <c r="E2510" s="9" t="s">
        <v>914</v>
      </c>
      <c r="F2510" s="33">
        <v>1.0</v>
      </c>
      <c r="G2510" s="33">
        <v>1550.0</v>
      </c>
      <c r="H2510" s="35">
        <v>46168.0</v>
      </c>
      <c r="I2510" s="2" t="s">
        <v>24</v>
      </c>
      <c r="J2510" s="12" t="s">
        <v>1304</v>
      </c>
    </row>
    <row r="2511" ht="22.5" customHeight="1">
      <c r="A2511" s="2" t="s">
        <v>971</v>
      </c>
      <c r="B2511" s="2" t="s">
        <v>1894</v>
      </c>
      <c r="C2511" s="2" t="s">
        <v>1895</v>
      </c>
      <c r="D2511" s="8" t="s">
        <v>46</v>
      </c>
      <c r="E2511" s="9" t="s">
        <v>914</v>
      </c>
      <c r="F2511" s="33">
        <v>1.0</v>
      </c>
      <c r="G2511" s="33">
        <v>1550.0</v>
      </c>
      <c r="H2511" s="35">
        <v>46168.0</v>
      </c>
      <c r="I2511" s="2" t="s">
        <v>1183</v>
      </c>
      <c r="J2511" s="12" t="s">
        <v>1706</v>
      </c>
    </row>
    <row r="2512" ht="22.5" customHeight="1">
      <c r="A2512" s="2" t="s">
        <v>971</v>
      </c>
      <c r="B2512" s="2" t="s">
        <v>1232</v>
      </c>
      <c r="C2512" s="2" t="s">
        <v>1233</v>
      </c>
      <c r="D2512" s="8" t="s">
        <v>46</v>
      </c>
      <c r="E2512" s="9" t="s">
        <v>13</v>
      </c>
      <c r="F2512" s="33">
        <v>1.0</v>
      </c>
      <c r="G2512" s="33">
        <v>1550.0</v>
      </c>
      <c r="H2512" s="35">
        <v>46168.0</v>
      </c>
      <c r="I2512" s="2" t="s">
        <v>473</v>
      </c>
      <c r="J2512" s="12" t="s">
        <v>1706</v>
      </c>
    </row>
    <row r="2513" ht="22.5" customHeight="1">
      <c r="A2513" s="2" t="s">
        <v>1694</v>
      </c>
      <c r="B2513" s="2" t="s">
        <v>1894</v>
      </c>
      <c r="C2513" s="2" t="s">
        <v>1895</v>
      </c>
      <c r="D2513" s="8" t="s">
        <v>46</v>
      </c>
      <c r="E2513" s="9" t="s">
        <v>914</v>
      </c>
      <c r="F2513" s="33">
        <v>1.0</v>
      </c>
      <c r="G2513" s="33">
        <v>1550.0</v>
      </c>
      <c r="H2513" s="35">
        <v>46168.0</v>
      </c>
      <c r="I2513" s="2" t="s">
        <v>1183</v>
      </c>
      <c r="J2513" s="12" t="s">
        <v>1695</v>
      </c>
    </row>
    <row r="2514" ht="22.5" customHeight="1">
      <c r="A2514" s="2" t="s">
        <v>1694</v>
      </c>
      <c r="B2514" s="2" t="s">
        <v>440</v>
      </c>
      <c r="C2514" s="2" t="s">
        <v>441</v>
      </c>
      <c r="D2514" s="8" t="s">
        <v>46</v>
      </c>
      <c r="E2514" s="9" t="s">
        <v>58</v>
      </c>
      <c r="F2514" s="33">
        <v>1.0</v>
      </c>
      <c r="G2514" s="33">
        <v>1200.0</v>
      </c>
      <c r="H2514" s="35">
        <v>46168.0</v>
      </c>
      <c r="I2514" s="2" t="s">
        <v>473</v>
      </c>
      <c r="J2514" s="12" t="s">
        <v>1695</v>
      </c>
    </row>
    <row r="2515" ht="22.5" customHeight="1">
      <c r="A2515" s="2" t="s">
        <v>300</v>
      </c>
      <c r="B2515" s="2" t="s">
        <v>1894</v>
      </c>
      <c r="C2515" s="2" t="s">
        <v>1895</v>
      </c>
      <c r="D2515" s="8" t="s">
        <v>46</v>
      </c>
      <c r="E2515" s="9" t="s">
        <v>914</v>
      </c>
      <c r="F2515" s="33">
        <v>1.0</v>
      </c>
      <c r="G2515" s="33">
        <v>1550.0</v>
      </c>
      <c r="H2515" s="35">
        <v>46168.0</v>
      </c>
      <c r="I2515" s="2" t="s">
        <v>1183</v>
      </c>
      <c r="J2515" s="12" t="s">
        <v>1414</v>
      </c>
    </row>
    <row r="2516" ht="22.5" customHeight="1">
      <c r="A2516" s="2" t="s">
        <v>1042</v>
      </c>
      <c r="B2516" s="2" t="s">
        <v>440</v>
      </c>
      <c r="C2516" s="2" t="s">
        <v>441</v>
      </c>
      <c r="D2516" s="8" t="s">
        <v>46</v>
      </c>
      <c r="E2516" s="9" t="s">
        <v>47</v>
      </c>
      <c r="F2516" s="33">
        <v>1.0</v>
      </c>
      <c r="G2516" s="33">
        <v>1200.0</v>
      </c>
      <c r="H2516" s="35">
        <v>46168.0</v>
      </c>
      <c r="I2516" s="2" t="s">
        <v>1183</v>
      </c>
      <c r="J2516" s="12" t="s">
        <v>1941</v>
      </c>
    </row>
    <row r="2517" ht="22.5" customHeight="1">
      <c r="A2517" s="2" t="s">
        <v>1042</v>
      </c>
      <c r="B2517" s="2" t="s">
        <v>1894</v>
      </c>
      <c r="C2517" s="2" t="s">
        <v>1895</v>
      </c>
      <c r="D2517" s="8" t="s">
        <v>46</v>
      </c>
      <c r="E2517" s="9" t="s">
        <v>914</v>
      </c>
      <c r="F2517" s="33">
        <v>1.0</v>
      </c>
      <c r="G2517" s="33">
        <v>1550.0</v>
      </c>
      <c r="H2517" s="35">
        <v>46168.0</v>
      </c>
      <c r="I2517" s="2" t="s">
        <v>1183</v>
      </c>
      <c r="J2517" s="12" t="s">
        <v>1941</v>
      </c>
    </row>
    <row r="2518" ht="22.5" customHeight="1">
      <c r="A2518" s="2" t="s">
        <v>1268</v>
      </c>
      <c r="B2518" s="2" t="s">
        <v>1232</v>
      </c>
      <c r="C2518" s="2" t="s">
        <v>1233</v>
      </c>
      <c r="D2518" s="8" t="s">
        <v>46</v>
      </c>
      <c r="E2518" s="9" t="s">
        <v>13</v>
      </c>
      <c r="F2518" s="33">
        <v>1.0</v>
      </c>
      <c r="G2518" s="33">
        <v>1550.0</v>
      </c>
      <c r="H2518" s="35">
        <v>46168.0</v>
      </c>
      <c r="I2518" s="2" t="s">
        <v>14</v>
      </c>
      <c r="J2518" s="12" t="s">
        <v>1269</v>
      </c>
    </row>
    <row r="2519" ht="22.5" customHeight="1">
      <c r="A2519" s="2" t="s">
        <v>1942</v>
      </c>
      <c r="B2519" s="2" t="s">
        <v>1852</v>
      </c>
      <c r="C2519" s="2">
        <v>9930.0</v>
      </c>
      <c r="D2519" s="8" t="s">
        <v>22</v>
      </c>
      <c r="E2519" s="9" t="s">
        <v>58</v>
      </c>
      <c r="F2519" s="33">
        <v>1.0</v>
      </c>
      <c r="G2519" s="33">
        <v>2350.0</v>
      </c>
      <c r="H2519" s="35">
        <v>46168.0</v>
      </c>
      <c r="I2519" s="2" t="s">
        <v>1183</v>
      </c>
      <c r="J2519" s="12" t="s">
        <v>1943</v>
      </c>
    </row>
    <row r="2520" ht="22.5" customHeight="1">
      <c r="A2520" s="2" t="s">
        <v>1942</v>
      </c>
      <c r="B2520" s="2" t="s">
        <v>1935</v>
      </c>
      <c r="C2520" s="2">
        <v>9831.0</v>
      </c>
      <c r="D2520" s="8" t="s">
        <v>22</v>
      </c>
      <c r="E2520" s="9" t="s">
        <v>58</v>
      </c>
      <c r="F2520" s="33">
        <v>1.0</v>
      </c>
      <c r="G2520" s="33">
        <v>2590.0</v>
      </c>
      <c r="H2520" s="35">
        <v>46168.0</v>
      </c>
      <c r="I2520" s="2" t="s">
        <v>1183</v>
      </c>
      <c r="J2520" s="12" t="s">
        <v>1943</v>
      </c>
    </row>
    <row r="2521" ht="22.5" customHeight="1">
      <c r="A2521" s="2" t="s">
        <v>1944</v>
      </c>
      <c r="B2521" s="2" t="s">
        <v>1894</v>
      </c>
      <c r="C2521" s="2" t="s">
        <v>1895</v>
      </c>
      <c r="D2521" s="8" t="s">
        <v>46</v>
      </c>
      <c r="E2521" s="9" t="s">
        <v>914</v>
      </c>
      <c r="F2521" s="33">
        <v>1.0</v>
      </c>
      <c r="G2521" s="33">
        <v>1550.0</v>
      </c>
      <c r="H2521" s="35">
        <v>46168.0</v>
      </c>
      <c r="I2521" s="2" t="s">
        <v>1183</v>
      </c>
      <c r="J2521" s="12" t="s">
        <v>1945</v>
      </c>
    </row>
    <row r="2522" ht="22.5" customHeight="1">
      <c r="A2522" s="2" t="s">
        <v>1944</v>
      </c>
      <c r="B2522" s="2" t="s">
        <v>440</v>
      </c>
      <c r="C2522" s="2" t="s">
        <v>441</v>
      </c>
      <c r="D2522" s="8" t="s">
        <v>46</v>
      </c>
      <c r="E2522" s="9" t="s">
        <v>447</v>
      </c>
      <c r="F2522" s="33">
        <v>1.0</v>
      </c>
      <c r="G2522" s="33">
        <v>1200.0</v>
      </c>
      <c r="H2522" s="35">
        <v>46168.0</v>
      </c>
      <c r="I2522" s="2" t="s">
        <v>473</v>
      </c>
      <c r="J2522" s="12" t="s">
        <v>1945</v>
      </c>
    </row>
    <row r="2523" ht="22.5" customHeight="1">
      <c r="A2523" s="2" t="s">
        <v>1946</v>
      </c>
      <c r="B2523" s="2" t="s">
        <v>440</v>
      </c>
      <c r="C2523" s="2" t="s">
        <v>441</v>
      </c>
      <c r="D2523" s="8" t="s">
        <v>46</v>
      </c>
      <c r="E2523" s="9" t="s">
        <v>447</v>
      </c>
      <c r="F2523" s="33">
        <v>1.0</v>
      </c>
      <c r="G2523" s="33">
        <v>1200.0</v>
      </c>
      <c r="H2523" s="35">
        <v>46168.0</v>
      </c>
      <c r="I2523" s="2" t="s">
        <v>1183</v>
      </c>
      <c r="J2523" s="2"/>
    </row>
    <row r="2524" ht="22.5" customHeight="1">
      <c r="A2524" s="2" t="s">
        <v>80</v>
      </c>
      <c r="B2524" s="2" t="s">
        <v>1894</v>
      </c>
      <c r="C2524" s="2" t="s">
        <v>1895</v>
      </c>
      <c r="D2524" s="8" t="s">
        <v>46</v>
      </c>
      <c r="E2524" s="9" t="s">
        <v>914</v>
      </c>
      <c r="F2524" s="33">
        <v>1.0</v>
      </c>
      <c r="G2524" s="33">
        <v>1550.0</v>
      </c>
      <c r="H2524" s="35">
        <v>46168.0</v>
      </c>
      <c r="I2524" s="2" t="s">
        <v>1183</v>
      </c>
      <c r="J2524" s="12" t="s">
        <v>1237</v>
      </c>
    </row>
    <row r="2525" ht="22.5" customHeight="1">
      <c r="A2525" s="2" t="s">
        <v>80</v>
      </c>
      <c r="B2525" s="2" t="s">
        <v>1232</v>
      </c>
      <c r="C2525" s="2" t="s">
        <v>1233</v>
      </c>
      <c r="D2525" s="8" t="s">
        <v>46</v>
      </c>
      <c r="E2525" s="9" t="s">
        <v>13</v>
      </c>
      <c r="F2525" s="33">
        <v>1.0</v>
      </c>
      <c r="G2525" s="33">
        <v>1550.0</v>
      </c>
      <c r="H2525" s="35">
        <v>46168.0</v>
      </c>
      <c r="I2525" s="2" t="s">
        <v>473</v>
      </c>
      <c r="J2525" s="12" t="s">
        <v>1237</v>
      </c>
    </row>
    <row r="2526" ht="22.5" customHeight="1">
      <c r="A2526" s="2" t="s">
        <v>80</v>
      </c>
      <c r="B2526" s="2" t="s">
        <v>1626</v>
      </c>
      <c r="C2526" s="2" t="s">
        <v>1627</v>
      </c>
      <c r="D2526" s="8" t="s">
        <v>46</v>
      </c>
      <c r="E2526" s="9">
        <v>3.0</v>
      </c>
      <c r="F2526" s="33">
        <v>1.0</v>
      </c>
      <c r="G2526" s="33">
        <v>1100.0</v>
      </c>
      <c r="H2526" s="35">
        <v>46168.0</v>
      </c>
      <c r="I2526" s="2" t="s">
        <v>1183</v>
      </c>
      <c r="J2526" s="12" t="s">
        <v>1237</v>
      </c>
    </row>
    <row r="2527" ht="22.5" customHeight="1">
      <c r="A2527" s="2" t="s">
        <v>80</v>
      </c>
      <c r="B2527" s="2" t="s">
        <v>1626</v>
      </c>
      <c r="C2527" s="2" t="s">
        <v>1627</v>
      </c>
      <c r="D2527" s="8" t="s">
        <v>46</v>
      </c>
      <c r="E2527" s="9">
        <v>4.0</v>
      </c>
      <c r="F2527" s="33">
        <v>1.0</v>
      </c>
      <c r="G2527" s="33">
        <v>1100.0</v>
      </c>
      <c r="H2527" s="35">
        <v>46168.0</v>
      </c>
      <c r="I2527" s="2" t="s">
        <v>1183</v>
      </c>
      <c r="J2527" s="12" t="s">
        <v>1237</v>
      </c>
    </row>
    <row r="2528" ht="22.5" customHeight="1">
      <c r="A2528" s="2" t="s">
        <v>80</v>
      </c>
      <c r="B2528" s="2" t="s">
        <v>1203</v>
      </c>
      <c r="C2528" s="2" t="s">
        <v>1204</v>
      </c>
      <c r="D2528" s="8" t="s">
        <v>75</v>
      </c>
      <c r="E2528" s="9" t="s">
        <v>18</v>
      </c>
      <c r="F2528" s="33">
        <v>1.0</v>
      </c>
      <c r="G2528" s="33">
        <v>725.0</v>
      </c>
      <c r="H2528" s="35">
        <v>46168.0</v>
      </c>
      <c r="I2528" s="2" t="s">
        <v>1183</v>
      </c>
      <c r="J2528" s="12" t="s">
        <v>1237</v>
      </c>
    </row>
    <row r="2529" ht="22.5" customHeight="1">
      <c r="A2529" s="2" t="s">
        <v>80</v>
      </c>
      <c r="B2529" s="2" t="s">
        <v>1203</v>
      </c>
      <c r="C2529" s="2" t="s">
        <v>1204</v>
      </c>
      <c r="D2529" s="8" t="s">
        <v>75</v>
      </c>
      <c r="E2529" s="9" t="s">
        <v>47</v>
      </c>
      <c r="F2529" s="33">
        <v>1.0</v>
      </c>
      <c r="G2529" s="33">
        <v>725.0</v>
      </c>
      <c r="H2529" s="35">
        <v>46168.0</v>
      </c>
      <c r="I2529" s="2" t="s">
        <v>473</v>
      </c>
      <c r="J2529" s="12" t="s">
        <v>1237</v>
      </c>
    </row>
    <row r="2530" ht="22.5" customHeight="1">
      <c r="A2530" s="2" t="s">
        <v>80</v>
      </c>
      <c r="B2530" s="2" t="s">
        <v>1201</v>
      </c>
      <c r="C2530" s="2" t="s">
        <v>1202</v>
      </c>
      <c r="D2530" s="8" t="s">
        <v>75</v>
      </c>
      <c r="E2530" s="9" t="s">
        <v>18</v>
      </c>
      <c r="F2530" s="33">
        <v>1.0</v>
      </c>
      <c r="G2530" s="33">
        <v>725.0</v>
      </c>
      <c r="H2530" s="35">
        <v>46168.0</v>
      </c>
      <c r="I2530" s="2" t="s">
        <v>473</v>
      </c>
      <c r="J2530" s="12" t="s">
        <v>1237</v>
      </c>
    </row>
    <row r="2531" ht="22.5" customHeight="1">
      <c r="A2531" s="2" t="s">
        <v>80</v>
      </c>
      <c r="B2531" s="2" t="s">
        <v>1199</v>
      </c>
      <c r="C2531" s="2" t="s">
        <v>1200</v>
      </c>
      <c r="D2531" s="8" t="s">
        <v>75</v>
      </c>
      <c r="E2531" s="9" t="s">
        <v>13</v>
      </c>
      <c r="F2531" s="33">
        <v>1.0</v>
      </c>
      <c r="G2531" s="33">
        <v>725.0</v>
      </c>
      <c r="H2531" s="35">
        <v>46168.0</v>
      </c>
      <c r="I2531" s="2" t="s">
        <v>1183</v>
      </c>
      <c r="J2531" s="12" t="s">
        <v>1237</v>
      </c>
    </row>
    <row r="2532" ht="22.5" customHeight="1">
      <c r="A2532" s="2" t="s">
        <v>993</v>
      </c>
      <c r="B2532" s="2" t="s">
        <v>1827</v>
      </c>
      <c r="C2532" s="2">
        <v>9289.0</v>
      </c>
      <c r="D2532" s="8" t="s">
        <v>46</v>
      </c>
      <c r="E2532" s="9" t="s">
        <v>16</v>
      </c>
      <c r="F2532" s="33">
        <v>1.0</v>
      </c>
      <c r="G2532" s="33">
        <v>1100.0</v>
      </c>
      <c r="H2532" s="35">
        <v>46168.0</v>
      </c>
      <c r="I2532" s="2" t="s">
        <v>1183</v>
      </c>
      <c r="J2532" s="2"/>
    </row>
    <row r="2533" ht="22.5" customHeight="1">
      <c r="A2533" s="2" t="s">
        <v>993</v>
      </c>
      <c r="B2533" s="2" t="s">
        <v>1827</v>
      </c>
      <c r="C2533" s="2">
        <v>9289.0</v>
      </c>
      <c r="D2533" s="8" t="s">
        <v>46</v>
      </c>
      <c r="E2533" s="9" t="s">
        <v>773</v>
      </c>
      <c r="F2533" s="33">
        <v>1.0</v>
      </c>
      <c r="G2533" s="33">
        <v>1100.0</v>
      </c>
      <c r="H2533" s="35">
        <v>46168.0</v>
      </c>
      <c r="I2533" s="2" t="s">
        <v>1183</v>
      </c>
      <c r="J2533" s="2"/>
    </row>
    <row r="2534" ht="22.5" customHeight="1">
      <c r="A2534" s="2" t="s">
        <v>993</v>
      </c>
      <c r="B2534" s="2" t="s">
        <v>1852</v>
      </c>
      <c r="C2534" s="2">
        <v>9930.0</v>
      </c>
      <c r="D2534" s="8" t="s">
        <v>12</v>
      </c>
      <c r="E2534" s="9" t="s">
        <v>58</v>
      </c>
      <c r="F2534" s="33">
        <v>1.0</v>
      </c>
      <c r="G2534" s="33">
        <v>2350.0</v>
      </c>
      <c r="H2534" s="35">
        <v>46168.0</v>
      </c>
      <c r="I2534" s="2" t="s">
        <v>1183</v>
      </c>
      <c r="J2534" s="2"/>
    </row>
    <row r="2535" ht="22.5" customHeight="1">
      <c r="A2535" s="2" t="s">
        <v>1947</v>
      </c>
      <c r="B2535" s="2" t="s">
        <v>1784</v>
      </c>
      <c r="C2535" s="2">
        <v>9620.0</v>
      </c>
      <c r="D2535" s="8" t="s">
        <v>22</v>
      </c>
      <c r="E2535" s="9" t="s">
        <v>18</v>
      </c>
      <c r="F2535" s="33">
        <v>1.0</v>
      </c>
      <c r="G2535" s="33">
        <v>2390.0</v>
      </c>
      <c r="H2535" s="35">
        <v>46168.0</v>
      </c>
      <c r="I2535" s="2" t="s">
        <v>1183</v>
      </c>
      <c r="J2535" s="12" t="s">
        <v>1948</v>
      </c>
    </row>
    <row r="2536" ht="22.5" customHeight="1">
      <c r="A2536" s="2" t="s">
        <v>1947</v>
      </c>
      <c r="B2536" s="2" t="s">
        <v>1784</v>
      </c>
      <c r="C2536" s="2">
        <v>9620.0</v>
      </c>
      <c r="D2536" s="8" t="s">
        <v>22</v>
      </c>
      <c r="E2536" s="9" t="s">
        <v>13</v>
      </c>
      <c r="F2536" s="33">
        <v>1.0</v>
      </c>
      <c r="G2536" s="33">
        <v>2390.0</v>
      </c>
      <c r="H2536" s="35">
        <v>46168.0</v>
      </c>
      <c r="I2536" s="2" t="s">
        <v>1183</v>
      </c>
      <c r="J2536" s="12" t="s">
        <v>1948</v>
      </c>
    </row>
    <row r="2537" ht="22.5" customHeight="1">
      <c r="A2537" s="2" t="s">
        <v>349</v>
      </c>
      <c r="B2537" s="2" t="s">
        <v>1784</v>
      </c>
      <c r="C2537" s="2">
        <v>9620.0</v>
      </c>
      <c r="D2537" s="8" t="s">
        <v>22</v>
      </c>
      <c r="E2537" s="9" t="s">
        <v>13</v>
      </c>
      <c r="F2537" s="33">
        <v>1.0</v>
      </c>
      <c r="G2537" s="33">
        <v>2390.0</v>
      </c>
      <c r="H2537" s="35">
        <v>46168.0</v>
      </c>
      <c r="I2537" s="2" t="s">
        <v>1183</v>
      </c>
      <c r="J2537" s="2"/>
    </row>
    <row r="2538" ht="22.5" customHeight="1">
      <c r="A2538" s="2" t="s">
        <v>65</v>
      </c>
      <c r="B2538" s="2" t="s">
        <v>1894</v>
      </c>
      <c r="C2538" s="2" t="s">
        <v>1895</v>
      </c>
      <c r="D2538" s="8" t="s">
        <v>46</v>
      </c>
      <c r="E2538" s="9" t="s">
        <v>914</v>
      </c>
      <c r="F2538" s="33">
        <v>1.0</v>
      </c>
      <c r="G2538" s="33">
        <v>1550.0</v>
      </c>
      <c r="H2538" s="35">
        <v>46168.0</v>
      </c>
      <c r="I2538" s="2" t="s">
        <v>1183</v>
      </c>
      <c r="J2538" s="12" t="s">
        <v>1778</v>
      </c>
    </row>
    <row r="2539" ht="22.5" customHeight="1">
      <c r="A2539" s="2" t="s">
        <v>79</v>
      </c>
      <c r="B2539" s="2" t="s">
        <v>268</v>
      </c>
      <c r="C2539" s="2" t="s">
        <v>269</v>
      </c>
      <c r="D2539" s="8">
        <v>36.0</v>
      </c>
      <c r="E2539" s="9" t="s">
        <v>18</v>
      </c>
      <c r="F2539" s="33">
        <v>1.0</v>
      </c>
      <c r="G2539" s="33">
        <v>1990.0</v>
      </c>
      <c r="H2539" s="35">
        <v>46168.0</v>
      </c>
      <c r="I2539" s="2" t="s">
        <v>14</v>
      </c>
      <c r="J2539" s="2"/>
    </row>
    <row r="2540" ht="22.5" customHeight="1">
      <c r="A2540" s="2" t="s">
        <v>326</v>
      </c>
      <c r="B2540" s="2" t="s">
        <v>1199</v>
      </c>
      <c r="C2540" s="2" t="s">
        <v>1200</v>
      </c>
      <c r="D2540" s="8" t="s">
        <v>22</v>
      </c>
      <c r="E2540" s="9" t="s">
        <v>13</v>
      </c>
      <c r="F2540" s="33">
        <v>1.0</v>
      </c>
      <c r="G2540" s="33">
        <v>725.0</v>
      </c>
      <c r="H2540" s="35">
        <v>46169.0</v>
      </c>
      <c r="I2540" s="2" t="s">
        <v>1183</v>
      </c>
      <c r="J2540" s="12" t="s">
        <v>1812</v>
      </c>
    </row>
    <row r="2541" ht="22.5" customHeight="1">
      <c r="A2541" s="2" t="s">
        <v>326</v>
      </c>
      <c r="B2541" s="2" t="s">
        <v>1201</v>
      </c>
      <c r="C2541" s="2" t="s">
        <v>1202</v>
      </c>
      <c r="D2541" s="8" t="s">
        <v>22</v>
      </c>
      <c r="E2541" s="9" t="s">
        <v>13</v>
      </c>
      <c r="F2541" s="33">
        <v>1.0</v>
      </c>
      <c r="G2541" s="33">
        <v>725.0</v>
      </c>
      <c r="H2541" s="35">
        <v>46169.0</v>
      </c>
      <c r="I2541" s="2" t="s">
        <v>473</v>
      </c>
      <c r="J2541" s="12" t="s">
        <v>1812</v>
      </c>
    </row>
    <row r="2542" ht="22.5" customHeight="1">
      <c r="A2542" s="2" t="s">
        <v>1949</v>
      </c>
      <c r="B2542" s="2" t="s">
        <v>440</v>
      </c>
      <c r="C2542" s="2" t="s">
        <v>441</v>
      </c>
      <c r="D2542" s="8" t="s">
        <v>46</v>
      </c>
      <c r="E2542" s="9" t="s">
        <v>18</v>
      </c>
      <c r="F2542" s="33">
        <v>1.0</v>
      </c>
      <c r="G2542" s="33">
        <v>1200.0</v>
      </c>
      <c r="H2542" s="35">
        <v>46172.0</v>
      </c>
      <c r="I2542" s="2" t="s">
        <v>473</v>
      </c>
      <c r="J2542" s="12" t="s">
        <v>1950</v>
      </c>
    </row>
    <row r="2543" ht="22.5" customHeight="1">
      <c r="A2543" s="2" t="s">
        <v>1786</v>
      </c>
      <c r="B2543" s="2" t="s">
        <v>762</v>
      </c>
      <c r="C2543" s="2" t="s">
        <v>763</v>
      </c>
      <c r="D2543" s="8" t="s">
        <v>46</v>
      </c>
      <c r="E2543" s="9" t="s">
        <v>1951</v>
      </c>
      <c r="F2543" s="33">
        <v>1.0</v>
      </c>
      <c r="G2543" s="33">
        <v>4800.0</v>
      </c>
      <c r="H2543" s="35">
        <v>46172.0</v>
      </c>
      <c r="I2543" s="2" t="s">
        <v>1183</v>
      </c>
      <c r="J2543" s="12" t="s">
        <v>1787</v>
      </c>
    </row>
    <row r="2544" ht="22.5" customHeight="1">
      <c r="A2544" s="2" t="s">
        <v>37</v>
      </c>
      <c r="B2544" s="2" t="s">
        <v>1852</v>
      </c>
      <c r="C2544" s="2">
        <v>9930.0</v>
      </c>
      <c r="D2544" s="8" t="s">
        <v>12</v>
      </c>
      <c r="E2544" s="9" t="s">
        <v>58</v>
      </c>
      <c r="F2544" s="33">
        <v>1.0</v>
      </c>
      <c r="G2544" s="33">
        <v>2350.0</v>
      </c>
      <c r="H2544" s="35">
        <v>46172.0</v>
      </c>
      <c r="I2544" s="2" t="s">
        <v>1183</v>
      </c>
      <c r="J2544" s="12" t="s">
        <v>1952</v>
      </c>
    </row>
    <row r="2545" ht="22.5" customHeight="1">
      <c r="A2545" s="2" t="s">
        <v>311</v>
      </c>
      <c r="B2545" s="2" t="s">
        <v>1852</v>
      </c>
      <c r="C2545" s="2">
        <v>9930.0</v>
      </c>
      <c r="D2545" s="8" t="s">
        <v>75</v>
      </c>
      <c r="E2545" s="9" t="s">
        <v>58</v>
      </c>
      <c r="F2545" s="33">
        <v>1.0</v>
      </c>
      <c r="G2545" s="33">
        <v>2350.0</v>
      </c>
      <c r="H2545" s="35">
        <v>46172.0</v>
      </c>
      <c r="I2545" s="2" t="s">
        <v>1183</v>
      </c>
      <c r="J2545" s="12" t="s">
        <v>1953</v>
      </c>
    </row>
    <row r="2546" ht="22.5" customHeight="1">
      <c r="A2546" s="2" t="s">
        <v>1954</v>
      </c>
      <c r="B2546" s="2" t="s">
        <v>1852</v>
      </c>
      <c r="C2546" s="2">
        <v>9930.0</v>
      </c>
      <c r="D2546" s="8" t="s">
        <v>75</v>
      </c>
      <c r="E2546" s="9" t="s">
        <v>58</v>
      </c>
      <c r="F2546" s="33">
        <v>1.0</v>
      </c>
      <c r="G2546" s="33">
        <v>2350.0</v>
      </c>
      <c r="H2546" s="35">
        <v>46172.0</v>
      </c>
      <c r="I2546" s="2" t="s">
        <v>1183</v>
      </c>
      <c r="J2546" s="12" t="s">
        <v>1955</v>
      </c>
    </row>
    <row r="2547" ht="22.5" customHeight="1">
      <c r="A2547" s="2" t="s">
        <v>1956</v>
      </c>
      <c r="B2547" s="2" t="s">
        <v>1852</v>
      </c>
      <c r="C2547" s="2">
        <v>9930.0</v>
      </c>
      <c r="D2547" s="8" t="s">
        <v>22</v>
      </c>
      <c r="E2547" s="9" t="s">
        <v>58</v>
      </c>
      <c r="F2547" s="33">
        <v>1.0</v>
      </c>
      <c r="G2547" s="33">
        <v>2350.0</v>
      </c>
      <c r="H2547" s="35">
        <v>46172.0</v>
      </c>
      <c r="I2547" s="2" t="s">
        <v>1183</v>
      </c>
      <c r="J2547" s="12" t="s">
        <v>1957</v>
      </c>
    </row>
    <row r="2548" ht="22.5" customHeight="1">
      <c r="A2548" s="2" t="s">
        <v>71</v>
      </c>
      <c r="B2548" s="2" t="s">
        <v>1852</v>
      </c>
      <c r="C2548" s="2">
        <v>9930.0</v>
      </c>
      <c r="D2548" s="8" t="s">
        <v>22</v>
      </c>
      <c r="E2548" s="9" t="s">
        <v>58</v>
      </c>
      <c r="F2548" s="33">
        <v>1.0</v>
      </c>
      <c r="G2548" s="33">
        <v>2350.0</v>
      </c>
      <c r="H2548" s="35">
        <v>46172.0</v>
      </c>
      <c r="I2548" s="2" t="s">
        <v>1183</v>
      </c>
      <c r="J2548" s="12" t="s">
        <v>955</v>
      </c>
    </row>
    <row r="2549" ht="22.5" customHeight="1">
      <c r="A2549" s="2" t="s">
        <v>297</v>
      </c>
      <c r="B2549" s="2" t="s">
        <v>1852</v>
      </c>
      <c r="C2549" s="2">
        <v>9930.0</v>
      </c>
      <c r="D2549" s="8" t="s">
        <v>22</v>
      </c>
      <c r="E2549" s="9" t="s">
        <v>58</v>
      </c>
      <c r="F2549" s="33">
        <v>1.0</v>
      </c>
      <c r="G2549" s="33">
        <v>2350.0</v>
      </c>
      <c r="H2549" s="35">
        <v>46172.0</v>
      </c>
      <c r="I2549" s="2" t="s">
        <v>1183</v>
      </c>
      <c r="J2549" s="12" t="s">
        <v>1958</v>
      </c>
    </row>
    <row r="2550" ht="22.5" customHeight="1">
      <c r="A2550" s="2" t="s">
        <v>1959</v>
      </c>
      <c r="B2550" s="2" t="s">
        <v>1852</v>
      </c>
      <c r="C2550" s="2">
        <v>9930.0</v>
      </c>
      <c r="D2550" s="8" t="s">
        <v>75</v>
      </c>
      <c r="E2550" s="9" t="s">
        <v>58</v>
      </c>
      <c r="F2550" s="33">
        <v>1.0</v>
      </c>
      <c r="G2550" s="33">
        <v>2350.0</v>
      </c>
      <c r="H2550" s="35">
        <v>46172.0</v>
      </c>
      <c r="I2550" s="2" t="s">
        <v>1183</v>
      </c>
      <c r="J2550" s="12" t="s">
        <v>1960</v>
      </c>
    </row>
    <row r="2551" ht="22.5" customHeight="1">
      <c r="A2551" s="2" t="s">
        <v>1961</v>
      </c>
      <c r="B2551" s="2" t="s">
        <v>1852</v>
      </c>
      <c r="C2551" s="2">
        <v>9930.0</v>
      </c>
      <c r="D2551" s="8" t="s">
        <v>12</v>
      </c>
      <c r="E2551" s="9" t="s">
        <v>58</v>
      </c>
      <c r="F2551" s="33">
        <v>1.0</v>
      </c>
      <c r="G2551" s="33">
        <v>2350.0</v>
      </c>
      <c r="H2551" s="35">
        <v>46172.0</v>
      </c>
      <c r="I2551" s="2" t="s">
        <v>1183</v>
      </c>
      <c r="J2551" s="12" t="s">
        <v>1962</v>
      </c>
    </row>
    <row r="2552" ht="22.5" customHeight="1">
      <c r="A2552" s="2" t="s">
        <v>1138</v>
      </c>
      <c r="B2552" s="2" t="s">
        <v>1852</v>
      </c>
      <c r="C2552" s="2">
        <v>9930.0</v>
      </c>
      <c r="D2552" s="8" t="s">
        <v>75</v>
      </c>
      <c r="E2552" s="9" t="s">
        <v>58</v>
      </c>
      <c r="F2552" s="33">
        <v>1.0</v>
      </c>
      <c r="G2552" s="33">
        <v>2350.0</v>
      </c>
      <c r="H2552" s="35">
        <v>46172.0</v>
      </c>
      <c r="I2552" s="2" t="s">
        <v>1183</v>
      </c>
      <c r="J2552" s="12" t="s">
        <v>1963</v>
      </c>
    </row>
    <row r="2553" ht="22.5" customHeight="1">
      <c r="A2553" s="2" t="s">
        <v>1584</v>
      </c>
      <c r="B2553" s="2" t="s">
        <v>1852</v>
      </c>
      <c r="C2553" s="2">
        <v>9930.0</v>
      </c>
      <c r="D2553" s="8" t="s">
        <v>12</v>
      </c>
      <c r="E2553" s="9" t="s">
        <v>58</v>
      </c>
      <c r="F2553" s="33">
        <v>1.0</v>
      </c>
      <c r="G2553" s="33">
        <v>2350.0</v>
      </c>
      <c r="H2553" s="35">
        <v>46172.0</v>
      </c>
      <c r="I2553" s="2" t="s">
        <v>1183</v>
      </c>
      <c r="J2553" s="12" t="s">
        <v>1585</v>
      </c>
    </row>
    <row r="2554" ht="22.5" customHeight="1">
      <c r="A2554" s="2" t="s">
        <v>934</v>
      </c>
      <c r="B2554" s="2" t="s">
        <v>1852</v>
      </c>
      <c r="C2554" s="2">
        <v>9930.0</v>
      </c>
      <c r="D2554" s="8" t="s">
        <v>22</v>
      </c>
      <c r="E2554" s="9" t="s">
        <v>58</v>
      </c>
      <c r="F2554" s="33">
        <v>1.0</v>
      </c>
      <c r="G2554" s="33">
        <v>2350.0</v>
      </c>
      <c r="H2554" s="35">
        <v>46172.0</v>
      </c>
      <c r="I2554" s="2" t="s">
        <v>1183</v>
      </c>
      <c r="J2554" s="12" t="s">
        <v>1964</v>
      </c>
    </row>
    <row r="2555" ht="22.5" customHeight="1">
      <c r="A2555" s="2" t="s">
        <v>1651</v>
      </c>
      <c r="B2555" s="2" t="s">
        <v>1852</v>
      </c>
      <c r="C2555" s="2">
        <v>9930.0</v>
      </c>
      <c r="D2555" s="8" t="s">
        <v>12</v>
      </c>
      <c r="E2555" s="9" t="s">
        <v>58</v>
      </c>
      <c r="F2555" s="33">
        <v>1.0</v>
      </c>
      <c r="G2555" s="33">
        <v>2350.0</v>
      </c>
      <c r="H2555" s="35">
        <v>46172.0</v>
      </c>
      <c r="I2555" s="2" t="s">
        <v>1183</v>
      </c>
      <c r="J2555" s="12" t="s">
        <v>1652</v>
      </c>
    </row>
    <row r="2556" ht="22.5" customHeight="1">
      <c r="A2556" s="2" t="s">
        <v>1965</v>
      </c>
      <c r="B2556" s="2" t="s">
        <v>1852</v>
      </c>
      <c r="C2556" s="2">
        <v>9930.0</v>
      </c>
      <c r="D2556" s="8" t="s">
        <v>75</v>
      </c>
      <c r="E2556" s="9" t="s">
        <v>58</v>
      </c>
      <c r="F2556" s="33">
        <v>1.0</v>
      </c>
      <c r="G2556" s="33">
        <v>2350.0</v>
      </c>
      <c r="H2556" s="35">
        <v>46172.0</v>
      </c>
      <c r="I2556" s="2" t="s">
        <v>1183</v>
      </c>
      <c r="J2556" s="12" t="s">
        <v>1966</v>
      </c>
    </row>
    <row r="2557" ht="22.5" customHeight="1">
      <c r="A2557" s="2" t="s">
        <v>1967</v>
      </c>
      <c r="B2557" s="2" t="s">
        <v>1852</v>
      </c>
      <c r="C2557" s="2">
        <v>9930.0</v>
      </c>
      <c r="D2557" s="8" t="s">
        <v>75</v>
      </c>
      <c r="E2557" s="9" t="s">
        <v>58</v>
      </c>
      <c r="F2557" s="33">
        <v>1.0</v>
      </c>
      <c r="G2557" s="33">
        <v>2350.0</v>
      </c>
      <c r="H2557" s="35">
        <v>46172.0</v>
      </c>
      <c r="I2557" s="2" t="s">
        <v>1183</v>
      </c>
      <c r="J2557" s="12" t="s">
        <v>1968</v>
      </c>
    </row>
    <row r="2558" ht="22.5" customHeight="1">
      <c r="A2558" s="2" t="s">
        <v>127</v>
      </c>
      <c r="B2558" s="2" t="s">
        <v>1852</v>
      </c>
      <c r="C2558" s="2">
        <v>9930.0</v>
      </c>
      <c r="D2558" s="8" t="s">
        <v>12</v>
      </c>
      <c r="E2558" s="9" t="s">
        <v>58</v>
      </c>
      <c r="F2558" s="33">
        <v>1.0</v>
      </c>
      <c r="G2558" s="33">
        <v>2350.0</v>
      </c>
      <c r="H2558" s="35">
        <v>46172.0</v>
      </c>
      <c r="I2558" s="2" t="s">
        <v>1183</v>
      </c>
      <c r="J2558" s="12" t="s">
        <v>1969</v>
      </c>
    </row>
    <row r="2559" ht="22.5" customHeight="1">
      <c r="A2559" s="2" t="s">
        <v>1913</v>
      </c>
      <c r="B2559" s="2" t="s">
        <v>1852</v>
      </c>
      <c r="C2559" s="2">
        <v>9930.0</v>
      </c>
      <c r="D2559" s="8" t="s">
        <v>12</v>
      </c>
      <c r="E2559" s="9" t="s">
        <v>58</v>
      </c>
      <c r="F2559" s="33">
        <v>1.0</v>
      </c>
      <c r="G2559" s="33">
        <v>2350.0</v>
      </c>
      <c r="H2559" s="35">
        <v>46172.0</v>
      </c>
      <c r="I2559" s="2" t="s">
        <v>1183</v>
      </c>
      <c r="J2559" s="12" t="s">
        <v>1914</v>
      </c>
    </row>
    <row r="2560" ht="22.5" customHeight="1">
      <c r="A2560" s="2" t="s">
        <v>65</v>
      </c>
      <c r="B2560" s="2" t="s">
        <v>1852</v>
      </c>
      <c r="C2560" s="2">
        <v>9930.0</v>
      </c>
      <c r="D2560" s="8" t="s">
        <v>22</v>
      </c>
      <c r="E2560" s="9" t="s">
        <v>58</v>
      </c>
      <c r="F2560" s="33">
        <v>1.0</v>
      </c>
      <c r="G2560" s="33">
        <v>2350.0</v>
      </c>
      <c r="H2560" s="35">
        <v>46172.0</v>
      </c>
      <c r="I2560" s="2" t="s">
        <v>1183</v>
      </c>
      <c r="J2560" s="12" t="s">
        <v>1778</v>
      </c>
    </row>
    <row r="2561" ht="22.5" customHeight="1">
      <c r="A2561" s="2" t="s">
        <v>1970</v>
      </c>
      <c r="B2561" s="2" t="s">
        <v>1852</v>
      </c>
      <c r="C2561" s="2">
        <v>9930.0</v>
      </c>
      <c r="D2561" s="8" t="s">
        <v>12</v>
      </c>
      <c r="E2561" s="9" t="s">
        <v>58</v>
      </c>
      <c r="F2561" s="33">
        <v>1.0</v>
      </c>
      <c r="G2561" s="33">
        <v>2350.0</v>
      </c>
      <c r="H2561" s="35">
        <v>46172.0</v>
      </c>
      <c r="I2561" s="2" t="s">
        <v>1183</v>
      </c>
      <c r="J2561" s="12" t="s">
        <v>1971</v>
      </c>
    </row>
    <row r="2562" ht="22.5" customHeight="1">
      <c r="A2562" s="2" t="s">
        <v>1972</v>
      </c>
      <c r="B2562" s="2" t="s">
        <v>1852</v>
      </c>
      <c r="C2562" s="2">
        <v>9930.0</v>
      </c>
      <c r="D2562" s="8" t="s">
        <v>12</v>
      </c>
      <c r="E2562" s="9" t="s">
        <v>58</v>
      </c>
      <c r="F2562" s="33">
        <v>1.0</v>
      </c>
      <c r="G2562" s="33">
        <v>2350.0</v>
      </c>
      <c r="H2562" s="35">
        <v>46172.0</v>
      </c>
      <c r="I2562" s="2" t="s">
        <v>1183</v>
      </c>
      <c r="J2562" s="12" t="s">
        <v>1973</v>
      </c>
    </row>
    <row r="2563" ht="22.5" customHeight="1">
      <c r="A2563" s="2" t="s">
        <v>1974</v>
      </c>
      <c r="B2563" s="2" t="s">
        <v>1852</v>
      </c>
      <c r="C2563" s="2">
        <v>9930.0</v>
      </c>
      <c r="D2563" s="8" t="s">
        <v>22</v>
      </c>
      <c r="E2563" s="9" t="s">
        <v>58</v>
      </c>
      <c r="F2563" s="33">
        <v>1.0</v>
      </c>
      <c r="G2563" s="33">
        <v>2350.0</v>
      </c>
      <c r="H2563" s="35">
        <v>46172.0</v>
      </c>
      <c r="I2563" s="2" t="s">
        <v>1183</v>
      </c>
      <c r="J2563" s="12" t="s">
        <v>1975</v>
      </c>
    </row>
    <row r="2564" ht="22.5" customHeight="1">
      <c r="A2564" s="2" t="s">
        <v>590</v>
      </c>
      <c r="B2564" s="2" t="s">
        <v>1852</v>
      </c>
      <c r="C2564" s="2">
        <v>9930.0</v>
      </c>
      <c r="D2564" s="8" t="s">
        <v>75</v>
      </c>
      <c r="E2564" s="9" t="s">
        <v>58</v>
      </c>
      <c r="F2564" s="33">
        <v>1.0</v>
      </c>
      <c r="G2564" s="33">
        <v>2350.0</v>
      </c>
      <c r="H2564" s="35">
        <v>46172.0</v>
      </c>
      <c r="I2564" s="2" t="s">
        <v>1183</v>
      </c>
      <c r="J2564" s="12" t="s">
        <v>1976</v>
      </c>
    </row>
    <row r="2565" ht="22.5" customHeight="1">
      <c r="A2565" s="2" t="s">
        <v>1977</v>
      </c>
      <c r="B2565" s="2" t="s">
        <v>1852</v>
      </c>
      <c r="C2565" s="2">
        <v>9930.0</v>
      </c>
      <c r="D2565" s="8" t="s">
        <v>12</v>
      </c>
      <c r="E2565" s="9" t="s">
        <v>58</v>
      </c>
      <c r="F2565" s="33">
        <v>1.0</v>
      </c>
      <c r="G2565" s="33">
        <v>2350.0</v>
      </c>
      <c r="H2565" s="35">
        <v>46172.0</v>
      </c>
      <c r="I2565" s="2" t="s">
        <v>1183</v>
      </c>
      <c r="J2565" s="12" t="s">
        <v>1978</v>
      </c>
    </row>
    <row r="2566" ht="22.5" customHeight="1">
      <c r="A2566" s="2" t="s">
        <v>1979</v>
      </c>
      <c r="B2566" s="2" t="s">
        <v>1852</v>
      </c>
      <c r="C2566" s="2">
        <v>9930.0</v>
      </c>
      <c r="D2566" s="8" t="s">
        <v>12</v>
      </c>
      <c r="E2566" s="9" t="s">
        <v>58</v>
      </c>
      <c r="F2566" s="33">
        <v>1.0</v>
      </c>
      <c r="G2566" s="33">
        <v>2350.0</v>
      </c>
      <c r="H2566" s="35">
        <v>46172.0</v>
      </c>
      <c r="I2566" s="2" t="s">
        <v>1183</v>
      </c>
      <c r="J2566" s="12" t="s">
        <v>1980</v>
      </c>
    </row>
    <row r="2567" ht="22.5" customHeight="1">
      <c r="A2567" s="2" t="s">
        <v>123</v>
      </c>
      <c r="B2567" s="2" t="s">
        <v>1852</v>
      </c>
      <c r="C2567" s="2">
        <v>9930.0</v>
      </c>
      <c r="D2567" s="8" t="s">
        <v>12</v>
      </c>
      <c r="E2567" s="9" t="s">
        <v>58</v>
      </c>
      <c r="F2567" s="33">
        <v>1.0</v>
      </c>
      <c r="G2567" s="33">
        <v>2350.0</v>
      </c>
      <c r="H2567" s="35">
        <v>46172.0</v>
      </c>
      <c r="I2567" s="2" t="s">
        <v>1183</v>
      </c>
      <c r="J2567" s="12" t="s">
        <v>1667</v>
      </c>
    </row>
    <row r="2568" ht="22.5" customHeight="1">
      <c r="A2568" s="2" t="s">
        <v>1981</v>
      </c>
      <c r="B2568" s="2" t="s">
        <v>1852</v>
      </c>
      <c r="C2568" s="2">
        <v>9930.0</v>
      </c>
      <c r="D2568" s="8" t="s">
        <v>22</v>
      </c>
      <c r="E2568" s="9" t="s">
        <v>58</v>
      </c>
      <c r="F2568" s="33">
        <v>1.0</v>
      </c>
      <c r="G2568" s="33">
        <v>2350.0</v>
      </c>
      <c r="H2568" s="35">
        <v>46172.0</v>
      </c>
      <c r="I2568" s="2" t="s">
        <v>1183</v>
      </c>
      <c r="J2568" s="12" t="s">
        <v>1982</v>
      </c>
    </row>
    <row r="2569" ht="22.5" customHeight="1">
      <c r="A2569" s="2" t="s">
        <v>104</v>
      </c>
      <c r="B2569" s="2" t="s">
        <v>1852</v>
      </c>
      <c r="C2569" s="2">
        <v>9930.0</v>
      </c>
      <c r="D2569" s="8" t="s">
        <v>12</v>
      </c>
      <c r="E2569" s="9" t="s">
        <v>58</v>
      </c>
      <c r="F2569" s="33">
        <v>1.0</v>
      </c>
      <c r="G2569" s="33">
        <v>2350.0</v>
      </c>
      <c r="H2569" s="35">
        <v>46172.0</v>
      </c>
      <c r="I2569" s="2" t="s">
        <v>1183</v>
      </c>
      <c r="J2569" s="12" t="s">
        <v>1675</v>
      </c>
    </row>
    <row r="2570" ht="22.5" customHeight="1">
      <c r="A2570" s="2" t="s">
        <v>1983</v>
      </c>
      <c r="B2570" s="2" t="s">
        <v>1852</v>
      </c>
      <c r="C2570" s="2">
        <v>9930.0</v>
      </c>
      <c r="D2570" s="8" t="s">
        <v>12</v>
      </c>
      <c r="E2570" s="9" t="s">
        <v>58</v>
      </c>
      <c r="F2570" s="33">
        <v>1.0</v>
      </c>
      <c r="G2570" s="33">
        <v>2350.0</v>
      </c>
      <c r="H2570" s="35">
        <v>46172.0</v>
      </c>
      <c r="I2570" s="2" t="s">
        <v>1183</v>
      </c>
      <c r="J2570" s="12" t="s">
        <v>1984</v>
      </c>
    </row>
    <row r="2571" ht="22.5" customHeight="1">
      <c r="A2571" s="2" t="s">
        <v>1985</v>
      </c>
      <c r="B2571" s="2" t="s">
        <v>1852</v>
      </c>
      <c r="C2571" s="2">
        <v>9930.0</v>
      </c>
      <c r="D2571" s="8" t="s">
        <v>22</v>
      </c>
      <c r="E2571" s="9" t="s">
        <v>58</v>
      </c>
      <c r="F2571" s="33">
        <v>1.0</v>
      </c>
      <c r="G2571" s="33">
        <v>2350.0</v>
      </c>
      <c r="H2571" s="35">
        <v>46172.0</v>
      </c>
      <c r="I2571" s="2" t="s">
        <v>1183</v>
      </c>
      <c r="J2571" s="12" t="s">
        <v>1986</v>
      </c>
    </row>
    <row r="2572" ht="22.5" customHeight="1">
      <c r="A2572" s="2" t="s">
        <v>358</v>
      </c>
      <c r="B2572" s="2" t="s">
        <v>1852</v>
      </c>
      <c r="C2572" s="2">
        <v>9930.0</v>
      </c>
      <c r="D2572" s="8" t="s">
        <v>12</v>
      </c>
      <c r="E2572" s="9" t="s">
        <v>58</v>
      </c>
      <c r="F2572" s="33">
        <v>1.0</v>
      </c>
      <c r="G2572" s="33">
        <v>2350.0</v>
      </c>
      <c r="H2572" s="35">
        <v>46172.0</v>
      </c>
      <c r="I2572" s="2" t="s">
        <v>1183</v>
      </c>
      <c r="J2572" s="12" t="s">
        <v>1440</v>
      </c>
    </row>
    <row r="2573" ht="22.5" customHeight="1">
      <c r="A2573" s="2" t="s">
        <v>720</v>
      </c>
      <c r="B2573" s="2" t="s">
        <v>1852</v>
      </c>
      <c r="C2573" s="2">
        <v>9930.0</v>
      </c>
      <c r="D2573" s="8" t="s">
        <v>12</v>
      </c>
      <c r="E2573" s="9" t="s">
        <v>58</v>
      </c>
      <c r="F2573" s="33">
        <v>1.0</v>
      </c>
      <c r="G2573" s="33">
        <v>2350.0</v>
      </c>
      <c r="H2573" s="35">
        <v>46172.0</v>
      </c>
      <c r="I2573" s="2" t="s">
        <v>1183</v>
      </c>
      <c r="J2573" s="12" t="s">
        <v>1746</v>
      </c>
    </row>
    <row r="2574" ht="22.5" customHeight="1">
      <c r="A2574" s="2" t="s">
        <v>390</v>
      </c>
      <c r="B2574" s="2" t="s">
        <v>1852</v>
      </c>
      <c r="C2574" s="2">
        <v>9930.0</v>
      </c>
      <c r="D2574" s="8" t="s">
        <v>12</v>
      </c>
      <c r="E2574" s="9" t="s">
        <v>58</v>
      </c>
      <c r="F2574" s="33">
        <v>1.0</v>
      </c>
      <c r="G2574" s="33">
        <v>2350.0</v>
      </c>
      <c r="H2574" s="35">
        <v>46172.0</v>
      </c>
      <c r="I2574" s="2" t="s">
        <v>1183</v>
      </c>
      <c r="J2574" s="12" t="s">
        <v>1987</v>
      </c>
    </row>
    <row r="2575" ht="22.5" customHeight="1">
      <c r="A2575" s="2" t="s">
        <v>1251</v>
      </c>
      <c r="B2575" s="2" t="s">
        <v>1852</v>
      </c>
      <c r="C2575" s="2">
        <v>9930.0</v>
      </c>
      <c r="D2575" s="8" t="s">
        <v>75</v>
      </c>
      <c r="E2575" s="9" t="s">
        <v>58</v>
      </c>
      <c r="F2575" s="33">
        <v>1.0</v>
      </c>
      <c r="G2575" s="33">
        <v>2350.0</v>
      </c>
      <c r="H2575" s="35">
        <v>46172.0</v>
      </c>
      <c r="I2575" s="2" t="s">
        <v>1183</v>
      </c>
      <c r="J2575" s="12" t="s">
        <v>1754</v>
      </c>
    </row>
    <row r="2576" ht="22.5" customHeight="1">
      <c r="A2576" s="2" t="s">
        <v>1988</v>
      </c>
      <c r="B2576" s="2" t="s">
        <v>1852</v>
      </c>
      <c r="C2576" s="2">
        <v>9930.0</v>
      </c>
      <c r="D2576" s="8" t="s">
        <v>22</v>
      </c>
      <c r="E2576" s="9" t="s">
        <v>58</v>
      </c>
      <c r="F2576" s="33">
        <v>1.0</v>
      </c>
      <c r="G2576" s="33">
        <v>2350.0</v>
      </c>
      <c r="H2576" s="35">
        <v>46172.0</v>
      </c>
      <c r="I2576" s="2" t="s">
        <v>1183</v>
      </c>
      <c r="J2576" s="12" t="s">
        <v>1989</v>
      </c>
    </row>
    <row r="2577" ht="22.5" customHeight="1">
      <c r="A2577" s="2" t="s">
        <v>684</v>
      </c>
      <c r="B2577" s="2" t="s">
        <v>1852</v>
      </c>
      <c r="C2577" s="2">
        <v>9930.0</v>
      </c>
      <c r="D2577" s="8" t="s">
        <v>22</v>
      </c>
      <c r="E2577" s="9" t="s">
        <v>58</v>
      </c>
      <c r="F2577" s="33">
        <v>1.0</v>
      </c>
      <c r="G2577" s="33">
        <v>2350.0</v>
      </c>
      <c r="H2577" s="35">
        <v>46172.0</v>
      </c>
      <c r="I2577" s="2" t="s">
        <v>1183</v>
      </c>
      <c r="J2577" s="12" t="s">
        <v>1990</v>
      </c>
    </row>
    <row r="2578" ht="22.5" customHeight="1">
      <c r="A2578" s="2" t="s">
        <v>48</v>
      </c>
      <c r="B2578" s="2" t="s">
        <v>1991</v>
      </c>
      <c r="C2578" s="2" t="s">
        <v>1992</v>
      </c>
      <c r="D2578" s="8" t="s">
        <v>22</v>
      </c>
      <c r="E2578" s="9" t="s">
        <v>1993</v>
      </c>
      <c r="F2578" s="33">
        <v>1.0</v>
      </c>
      <c r="G2578" s="33">
        <v>1200.0</v>
      </c>
      <c r="H2578" s="35">
        <v>46173.0</v>
      </c>
      <c r="I2578" s="2" t="s">
        <v>1183</v>
      </c>
      <c r="J2578" s="12" t="s">
        <v>1994</v>
      </c>
    </row>
    <row r="2579" ht="22.5" customHeight="1">
      <c r="A2579" s="2" t="s">
        <v>48</v>
      </c>
      <c r="B2579" s="2" t="s">
        <v>1991</v>
      </c>
      <c r="C2579" s="2" t="s">
        <v>1992</v>
      </c>
      <c r="D2579" s="8" t="s">
        <v>22</v>
      </c>
      <c r="E2579" s="9" t="s">
        <v>1995</v>
      </c>
      <c r="F2579" s="33">
        <v>1.0</v>
      </c>
      <c r="G2579" s="33">
        <v>1200.0</v>
      </c>
      <c r="H2579" s="35">
        <v>46173.0</v>
      </c>
      <c r="I2579" s="2" t="s">
        <v>1183</v>
      </c>
      <c r="J2579" s="12" t="s">
        <v>1994</v>
      </c>
    </row>
    <row r="2580" ht="22.5" customHeight="1">
      <c r="A2580" s="2" t="s">
        <v>50</v>
      </c>
      <c r="B2580" s="2" t="s">
        <v>1991</v>
      </c>
      <c r="C2580" s="2" t="s">
        <v>1992</v>
      </c>
      <c r="D2580" s="8" t="s">
        <v>75</v>
      </c>
      <c r="E2580" s="9" t="s">
        <v>1996</v>
      </c>
      <c r="F2580" s="33">
        <v>1.0</v>
      </c>
      <c r="G2580" s="33">
        <v>1200.0</v>
      </c>
      <c r="H2580" s="35">
        <v>46173.0</v>
      </c>
      <c r="I2580" s="2" t="s">
        <v>1183</v>
      </c>
      <c r="J2580" s="12" t="s">
        <v>1997</v>
      </c>
    </row>
    <row r="2581" ht="22.5" customHeight="1">
      <c r="A2581" s="2" t="s">
        <v>635</v>
      </c>
      <c r="B2581" s="2" t="s">
        <v>1991</v>
      </c>
      <c r="C2581" s="2" t="s">
        <v>1992</v>
      </c>
      <c r="D2581" s="8" t="s">
        <v>22</v>
      </c>
      <c r="E2581" s="9" t="s">
        <v>1996</v>
      </c>
      <c r="F2581" s="33">
        <v>1.0</v>
      </c>
      <c r="G2581" s="33">
        <v>1200.0</v>
      </c>
      <c r="H2581" s="35">
        <v>46173.0</v>
      </c>
      <c r="I2581" s="2" t="s">
        <v>1183</v>
      </c>
      <c r="J2581" s="12" t="s">
        <v>1998</v>
      </c>
    </row>
    <row r="2582" ht="22.5" customHeight="1">
      <c r="A2582" s="2" t="s">
        <v>635</v>
      </c>
      <c r="B2582" s="2" t="s">
        <v>1991</v>
      </c>
      <c r="C2582" s="2" t="s">
        <v>1992</v>
      </c>
      <c r="D2582" s="8" t="s">
        <v>22</v>
      </c>
      <c r="E2582" s="9" t="s">
        <v>1993</v>
      </c>
      <c r="F2582" s="33">
        <v>2.0</v>
      </c>
      <c r="G2582" s="33">
        <v>1200.0</v>
      </c>
      <c r="H2582" s="35">
        <v>46173.0</v>
      </c>
      <c r="I2582" s="2" t="s">
        <v>1183</v>
      </c>
      <c r="J2582" s="12" t="s">
        <v>1998</v>
      </c>
    </row>
    <row r="2583" ht="22.5" customHeight="1">
      <c r="A2583" s="2" t="s">
        <v>635</v>
      </c>
      <c r="B2583" s="2" t="s">
        <v>1991</v>
      </c>
      <c r="C2583" s="2" t="s">
        <v>1992</v>
      </c>
      <c r="D2583" s="8" t="s">
        <v>22</v>
      </c>
      <c r="E2583" s="9" t="s">
        <v>1999</v>
      </c>
      <c r="F2583" s="33">
        <v>1.0</v>
      </c>
      <c r="G2583" s="33">
        <v>1200.0</v>
      </c>
      <c r="H2583" s="35">
        <v>46173.0</v>
      </c>
      <c r="I2583" s="2" t="s">
        <v>1183</v>
      </c>
      <c r="J2583" s="12" t="s">
        <v>1998</v>
      </c>
    </row>
    <row r="2584" ht="22.5" customHeight="1">
      <c r="A2584" s="2" t="s">
        <v>50</v>
      </c>
      <c r="B2584" s="2" t="s">
        <v>1991</v>
      </c>
      <c r="C2584" s="2" t="s">
        <v>1992</v>
      </c>
      <c r="D2584" s="8" t="s">
        <v>75</v>
      </c>
      <c r="E2584" s="9" t="s">
        <v>1993</v>
      </c>
      <c r="F2584" s="33">
        <v>1.0</v>
      </c>
      <c r="G2584" s="33">
        <v>1200.0</v>
      </c>
      <c r="H2584" s="35">
        <v>46173.0</v>
      </c>
      <c r="I2584" s="2" t="s">
        <v>1183</v>
      </c>
      <c r="J2584" s="12" t="s">
        <v>1997</v>
      </c>
    </row>
    <row r="2585" ht="22.5" customHeight="1">
      <c r="A2585" s="2" t="s">
        <v>159</v>
      </c>
      <c r="B2585" s="2" t="s">
        <v>1622</v>
      </c>
      <c r="C2585" s="2" t="s">
        <v>1623</v>
      </c>
      <c r="D2585" s="8" t="s">
        <v>989</v>
      </c>
      <c r="E2585" s="9" t="s">
        <v>18</v>
      </c>
      <c r="F2585" s="33">
        <v>1.0</v>
      </c>
      <c r="G2585" s="33">
        <v>1200.0</v>
      </c>
      <c r="H2585" s="35">
        <v>46173.0</v>
      </c>
      <c r="I2585" s="2" t="s">
        <v>1183</v>
      </c>
      <c r="J2585" s="12" t="s">
        <v>1751</v>
      </c>
    </row>
    <row r="2586" ht="22.5" customHeight="1">
      <c r="A2586" s="2" t="s">
        <v>159</v>
      </c>
      <c r="B2586" s="2" t="s">
        <v>1622</v>
      </c>
      <c r="C2586" s="2" t="s">
        <v>1623</v>
      </c>
      <c r="D2586" s="8" t="s">
        <v>989</v>
      </c>
      <c r="E2586" s="9" t="s">
        <v>13</v>
      </c>
      <c r="F2586" s="33">
        <v>1.0</v>
      </c>
      <c r="G2586" s="33">
        <v>1200.0</v>
      </c>
      <c r="H2586" s="35">
        <v>46173.0</v>
      </c>
      <c r="I2586" s="2" t="s">
        <v>1183</v>
      </c>
      <c r="J2586" s="12" t="s">
        <v>1751</v>
      </c>
    </row>
    <row r="2587" ht="22.5" customHeight="1">
      <c r="A2587" s="2" t="s">
        <v>2000</v>
      </c>
      <c r="B2587" s="2" t="s">
        <v>1991</v>
      </c>
      <c r="C2587" s="2" t="s">
        <v>1992</v>
      </c>
      <c r="D2587" s="8" t="s">
        <v>989</v>
      </c>
      <c r="E2587" s="9" t="s">
        <v>1993</v>
      </c>
      <c r="F2587" s="33">
        <v>1.0</v>
      </c>
      <c r="G2587" s="33">
        <v>1200.0</v>
      </c>
      <c r="H2587" s="35">
        <v>46173.0</v>
      </c>
      <c r="I2587" s="2" t="s">
        <v>1183</v>
      </c>
      <c r="J2587" s="12" t="s">
        <v>2001</v>
      </c>
    </row>
    <row r="2588" ht="22.5" customHeight="1">
      <c r="A2588" s="2" t="s">
        <v>2000</v>
      </c>
      <c r="B2588" s="2" t="s">
        <v>1991</v>
      </c>
      <c r="C2588" s="2" t="s">
        <v>1992</v>
      </c>
      <c r="D2588" s="8" t="s">
        <v>989</v>
      </c>
      <c r="E2588" s="9" t="s">
        <v>1995</v>
      </c>
      <c r="F2588" s="33">
        <v>1.0</v>
      </c>
      <c r="G2588" s="33">
        <v>1200.0</v>
      </c>
      <c r="H2588" s="35">
        <v>46173.0</v>
      </c>
      <c r="I2588" s="2" t="s">
        <v>1183</v>
      </c>
      <c r="J2588" s="12" t="s">
        <v>2001</v>
      </c>
    </row>
    <row r="2589" ht="22.5" customHeight="1">
      <c r="A2589" s="2" t="s">
        <v>1747</v>
      </c>
      <c r="B2589" s="2" t="s">
        <v>1991</v>
      </c>
      <c r="C2589" s="2" t="s">
        <v>1992</v>
      </c>
      <c r="D2589" s="8" t="s">
        <v>22</v>
      </c>
      <c r="E2589" s="9" t="s">
        <v>1993</v>
      </c>
      <c r="F2589" s="33">
        <v>1.0</v>
      </c>
      <c r="G2589" s="33">
        <v>1200.0</v>
      </c>
      <c r="H2589" s="35">
        <v>46173.0</v>
      </c>
      <c r="I2589" s="2" t="s">
        <v>1183</v>
      </c>
      <c r="J2589" s="12" t="s">
        <v>2002</v>
      </c>
    </row>
    <row r="2590" ht="22.5" customHeight="1">
      <c r="A2590" s="2" t="s">
        <v>1747</v>
      </c>
      <c r="B2590" s="2" t="s">
        <v>1991</v>
      </c>
      <c r="C2590" s="2" t="s">
        <v>1992</v>
      </c>
      <c r="D2590" s="8" t="s">
        <v>22</v>
      </c>
      <c r="E2590" s="9" t="s">
        <v>1996</v>
      </c>
      <c r="F2590" s="33">
        <v>1.0</v>
      </c>
      <c r="G2590" s="33">
        <v>1200.0</v>
      </c>
      <c r="H2590" s="35">
        <v>46173.0</v>
      </c>
      <c r="I2590" s="2" t="s">
        <v>1183</v>
      </c>
      <c r="J2590" s="12" t="s">
        <v>2002</v>
      </c>
    </row>
    <row r="2591" ht="22.5" customHeight="1">
      <c r="A2591" s="2" t="s">
        <v>468</v>
      </c>
      <c r="B2591" s="2" t="s">
        <v>1991</v>
      </c>
      <c r="C2591" s="2" t="s">
        <v>1992</v>
      </c>
      <c r="D2591" s="8" t="s">
        <v>22</v>
      </c>
      <c r="E2591" s="9" t="s">
        <v>1996</v>
      </c>
      <c r="F2591" s="33">
        <v>1.0</v>
      </c>
      <c r="G2591" s="33">
        <v>1200.0</v>
      </c>
      <c r="H2591" s="35">
        <v>46173.0</v>
      </c>
      <c r="I2591" s="2" t="s">
        <v>1183</v>
      </c>
      <c r="J2591" s="12" t="s">
        <v>2003</v>
      </c>
    </row>
    <row r="2592" ht="22.5" customHeight="1">
      <c r="A2592" s="2" t="s">
        <v>468</v>
      </c>
      <c r="B2592" s="2" t="s">
        <v>1991</v>
      </c>
      <c r="C2592" s="2" t="s">
        <v>1992</v>
      </c>
      <c r="D2592" s="8" t="s">
        <v>22</v>
      </c>
      <c r="E2592" s="9" t="s">
        <v>1999</v>
      </c>
      <c r="F2592" s="33">
        <v>1.0</v>
      </c>
      <c r="G2592" s="33">
        <v>1200.0</v>
      </c>
      <c r="H2592" s="35">
        <v>46173.0</v>
      </c>
      <c r="I2592" s="2" t="s">
        <v>1183</v>
      </c>
      <c r="J2592" s="12" t="s">
        <v>2003</v>
      </c>
    </row>
    <row r="2593" ht="22.5" customHeight="1">
      <c r="A2593" s="2" t="s">
        <v>2004</v>
      </c>
      <c r="B2593" s="2" t="s">
        <v>1991</v>
      </c>
      <c r="C2593" s="2" t="s">
        <v>1992</v>
      </c>
      <c r="D2593" s="8" t="s">
        <v>75</v>
      </c>
      <c r="E2593" s="9" t="s">
        <v>1993</v>
      </c>
      <c r="F2593" s="33">
        <v>1.0</v>
      </c>
      <c r="G2593" s="33">
        <v>1200.0</v>
      </c>
      <c r="H2593" s="35">
        <v>46173.0</v>
      </c>
      <c r="I2593" s="2" t="s">
        <v>1183</v>
      </c>
      <c r="J2593" s="12" t="s">
        <v>2005</v>
      </c>
    </row>
    <row r="2594" ht="22.5" customHeight="1">
      <c r="A2594" s="2" t="s">
        <v>2004</v>
      </c>
      <c r="B2594" s="2" t="s">
        <v>1991</v>
      </c>
      <c r="C2594" s="2" t="s">
        <v>1992</v>
      </c>
      <c r="D2594" s="8" t="s">
        <v>75</v>
      </c>
      <c r="E2594" s="9" t="s">
        <v>1993</v>
      </c>
      <c r="F2594" s="33">
        <v>1.0</v>
      </c>
      <c r="G2594" s="33">
        <v>1200.0</v>
      </c>
      <c r="H2594" s="35">
        <v>46173.0</v>
      </c>
      <c r="I2594" s="2" t="s">
        <v>1183</v>
      </c>
      <c r="J2594" s="12" t="s">
        <v>2005</v>
      </c>
    </row>
    <row r="2595" ht="22.5" customHeight="1">
      <c r="A2595" s="2" t="s">
        <v>2006</v>
      </c>
      <c r="B2595" s="2" t="s">
        <v>1991</v>
      </c>
      <c r="C2595" s="2" t="s">
        <v>1992</v>
      </c>
      <c r="D2595" s="8" t="s">
        <v>989</v>
      </c>
      <c r="E2595" s="9" t="s">
        <v>1993</v>
      </c>
      <c r="F2595" s="33">
        <v>1.0</v>
      </c>
      <c r="G2595" s="33">
        <v>1200.0</v>
      </c>
      <c r="H2595" s="35">
        <v>46173.0</v>
      </c>
      <c r="I2595" s="2" t="s">
        <v>1183</v>
      </c>
      <c r="J2595" s="12" t="s">
        <v>2007</v>
      </c>
    </row>
    <row r="2596" ht="22.5" customHeight="1">
      <c r="A2596" s="2" t="s">
        <v>2006</v>
      </c>
      <c r="B2596" s="2" t="s">
        <v>1991</v>
      </c>
      <c r="C2596" s="2" t="s">
        <v>1992</v>
      </c>
      <c r="D2596" s="8" t="s">
        <v>989</v>
      </c>
      <c r="E2596" s="9" t="s">
        <v>1996</v>
      </c>
      <c r="F2596" s="33">
        <v>1.0</v>
      </c>
      <c r="G2596" s="33">
        <v>1200.0</v>
      </c>
      <c r="H2596" s="35">
        <v>46173.0</v>
      </c>
      <c r="I2596" s="2" t="s">
        <v>1183</v>
      </c>
      <c r="J2596" s="12" t="s">
        <v>2007</v>
      </c>
    </row>
    <row r="2597" ht="22.5" customHeight="1">
      <c r="A2597" s="2" t="s">
        <v>246</v>
      </c>
      <c r="B2597" s="2" t="s">
        <v>1991</v>
      </c>
      <c r="C2597" s="2" t="s">
        <v>1992</v>
      </c>
      <c r="D2597" s="8" t="s">
        <v>989</v>
      </c>
      <c r="E2597" s="9" t="s">
        <v>1993</v>
      </c>
      <c r="F2597" s="33">
        <v>1.0</v>
      </c>
      <c r="G2597" s="33">
        <v>1200.0</v>
      </c>
      <c r="H2597" s="35">
        <v>46173.0</v>
      </c>
      <c r="I2597" s="2" t="s">
        <v>1183</v>
      </c>
      <c r="J2597" s="12" t="s">
        <v>2008</v>
      </c>
    </row>
    <row r="2598" ht="22.5" customHeight="1">
      <c r="A2598" s="2" t="s">
        <v>246</v>
      </c>
      <c r="B2598" s="2" t="s">
        <v>1991</v>
      </c>
      <c r="C2598" s="2" t="s">
        <v>1992</v>
      </c>
      <c r="D2598" s="8" t="s">
        <v>989</v>
      </c>
      <c r="E2598" s="9" t="s">
        <v>1995</v>
      </c>
      <c r="F2598" s="33">
        <v>1.0</v>
      </c>
      <c r="G2598" s="33">
        <v>1200.0</v>
      </c>
      <c r="H2598" s="35">
        <v>46173.0</v>
      </c>
      <c r="I2598" s="2" t="s">
        <v>1183</v>
      </c>
      <c r="J2598" s="12" t="s">
        <v>2008</v>
      </c>
    </row>
    <row r="2599" ht="22.5" customHeight="1">
      <c r="A2599" s="2" t="s">
        <v>2009</v>
      </c>
      <c r="B2599" s="2" t="s">
        <v>1991</v>
      </c>
      <c r="C2599" s="2" t="s">
        <v>1992</v>
      </c>
      <c r="D2599" s="8" t="s">
        <v>75</v>
      </c>
      <c r="E2599" s="9" t="s">
        <v>1993</v>
      </c>
      <c r="F2599" s="33">
        <v>1.0</v>
      </c>
      <c r="G2599" s="33">
        <v>1200.0</v>
      </c>
      <c r="H2599" s="35">
        <v>46173.0</v>
      </c>
      <c r="I2599" s="2" t="s">
        <v>1183</v>
      </c>
      <c r="J2599" s="12" t="s">
        <v>2010</v>
      </c>
    </row>
    <row r="2600" ht="22.5" customHeight="1">
      <c r="A2600" s="2" t="s">
        <v>2009</v>
      </c>
      <c r="B2600" s="2" t="s">
        <v>1991</v>
      </c>
      <c r="C2600" s="2" t="s">
        <v>1992</v>
      </c>
      <c r="D2600" s="8" t="s">
        <v>75</v>
      </c>
      <c r="E2600" s="9" t="s">
        <v>1995</v>
      </c>
      <c r="F2600" s="33">
        <v>1.0</v>
      </c>
      <c r="G2600" s="33">
        <v>1200.0</v>
      </c>
      <c r="H2600" s="35">
        <v>46173.0</v>
      </c>
      <c r="I2600" s="2" t="s">
        <v>1183</v>
      </c>
      <c r="J2600" s="12" t="s">
        <v>2010</v>
      </c>
    </row>
    <row r="2601" ht="22.5" customHeight="1">
      <c r="A2601" s="2" t="s">
        <v>2011</v>
      </c>
      <c r="B2601" s="2" t="s">
        <v>1991</v>
      </c>
      <c r="C2601" s="2" t="s">
        <v>1992</v>
      </c>
      <c r="D2601" s="8" t="s">
        <v>22</v>
      </c>
      <c r="E2601" s="9" t="s">
        <v>1993</v>
      </c>
      <c r="F2601" s="33">
        <v>1.0</v>
      </c>
      <c r="G2601" s="33">
        <v>1200.0</v>
      </c>
      <c r="H2601" s="35">
        <v>46173.0</v>
      </c>
      <c r="I2601" s="2" t="s">
        <v>1183</v>
      </c>
      <c r="J2601" s="12" t="s">
        <v>2012</v>
      </c>
    </row>
    <row r="2602" ht="22.5" customHeight="1">
      <c r="A2602" s="2" t="s">
        <v>2011</v>
      </c>
      <c r="B2602" s="2" t="s">
        <v>1991</v>
      </c>
      <c r="C2602" s="2" t="s">
        <v>1992</v>
      </c>
      <c r="D2602" s="8" t="s">
        <v>22</v>
      </c>
      <c r="E2602" s="9" t="s">
        <v>1993</v>
      </c>
      <c r="F2602" s="33">
        <v>1.0</v>
      </c>
      <c r="G2602" s="33">
        <v>1200.0</v>
      </c>
      <c r="H2602" s="35">
        <v>46173.0</v>
      </c>
      <c r="I2602" s="2" t="s">
        <v>1183</v>
      </c>
      <c r="J2602" s="12" t="s">
        <v>2012</v>
      </c>
    </row>
    <row r="2603" ht="22.5" customHeight="1">
      <c r="A2603" s="2" t="s">
        <v>738</v>
      </c>
      <c r="B2603" s="2" t="s">
        <v>1991</v>
      </c>
      <c r="C2603" s="2" t="s">
        <v>1992</v>
      </c>
      <c r="D2603" s="8" t="s">
        <v>75</v>
      </c>
      <c r="E2603" s="9" t="s">
        <v>1993</v>
      </c>
      <c r="F2603" s="33">
        <v>1.0</v>
      </c>
      <c r="G2603" s="33">
        <v>1200.0</v>
      </c>
      <c r="H2603" s="35">
        <v>46173.0</v>
      </c>
      <c r="I2603" s="2" t="s">
        <v>1183</v>
      </c>
      <c r="J2603" s="12" t="s">
        <v>1910</v>
      </c>
    </row>
    <row r="2604" ht="22.5" customHeight="1">
      <c r="A2604" s="2" t="s">
        <v>738</v>
      </c>
      <c r="B2604" s="2" t="s">
        <v>1991</v>
      </c>
      <c r="C2604" s="2" t="s">
        <v>1992</v>
      </c>
      <c r="D2604" s="8" t="s">
        <v>75</v>
      </c>
      <c r="E2604" s="9" t="s">
        <v>1996</v>
      </c>
      <c r="F2604" s="33">
        <v>1.0</v>
      </c>
      <c r="G2604" s="33">
        <v>1200.0</v>
      </c>
      <c r="H2604" s="35">
        <v>46173.0</v>
      </c>
      <c r="I2604" s="2" t="s">
        <v>1183</v>
      </c>
      <c r="J2604" s="12" t="s">
        <v>1910</v>
      </c>
    </row>
    <row r="2605" ht="22.5" customHeight="1">
      <c r="A2605" s="2" t="s">
        <v>1869</v>
      </c>
      <c r="B2605" s="2" t="s">
        <v>1991</v>
      </c>
      <c r="C2605" s="2" t="s">
        <v>1992</v>
      </c>
      <c r="D2605" s="8" t="s">
        <v>75</v>
      </c>
      <c r="E2605" s="9" t="s">
        <v>1995</v>
      </c>
      <c r="F2605" s="33">
        <v>1.0</v>
      </c>
      <c r="G2605" s="33">
        <v>1200.0</v>
      </c>
      <c r="H2605" s="35">
        <v>46173.0</v>
      </c>
      <c r="I2605" s="2" t="s">
        <v>1183</v>
      </c>
      <c r="J2605" s="12" t="s">
        <v>2013</v>
      </c>
    </row>
    <row r="2606" ht="22.5" customHeight="1">
      <c r="A2606" s="2" t="s">
        <v>1869</v>
      </c>
      <c r="B2606" s="2" t="s">
        <v>1991</v>
      </c>
      <c r="C2606" s="2" t="s">
        <v>1992</v>
      </c>
      <c r="D2606" s="8" t="s">
        <v>75</v>
      </c>
      <c r="E2606" s="9" t="s">
        <v>1993</v>
      </c>
      <c r="F2606" s="33">
        <v>1.0</v>
      </c>
      <c r="G2606" s="33">
        <v>1200.0</v>
      </c>
      <c r="H2606" s="35">
        <v>46173.0</v>
      </c>
      <c r="I2606" s="2" t="s">
        <v>1183</v>
      </c>
      <c r="J2606" s="12" t="s">
        <v>2013</v>
      </c>
    </row>
    <row r="2607" ht="22.5" customHeight="1">
      <c r="A2607" s="2" t="s">
        <v>969</v>
      </c>
      <c r="B2607" s="2" t="s">
        <v>1991</v>
      </c>
      <c r="C2607" s="2" t="s">
        <v>1992</v>
      </c>
      <c r="D2607" s="8" t="s">
        <v>75</v>
      </c>
      <c r="E2607" s="9" t="s">
        <v>1993</v>
      </c>
      <c r="F2607" s="33">
        <v>1.0</v>
      </c>
      <c r="G2607" s="33">
        <v>1200.0</v>
      </c>
      <c r="H2607" s="35">
        <v>46173.0</v>
      </c>
      <c r="I2607" s="2" t="s">
        <v>1183</v>
      </c>
      <c r="J2607" s="12" t="s">
        <v>2014</v>
      </c>
    </row>
    <row r="2608" ht="22.5" customHeight="1">
      <c r="A2608" s="2" t="s">
        <v>969</v>
      </c>
      <c r="B2608" s="2" t="s">
        <v>1991</v>
      </c>
      <c r="C2608" s="2" t="s">
        <v>1992</v>
      </c>
      <c r="D2608" s="8" t="s">
        <v>75</v>
      </c>
      <c r="E2608" s="9" t="s">
        <v>1996</v>
      </c>
      <c r="F2608" s="33">
        <v>1.0</v>
      </c>
      <c r="G2608" s="33">
        <v>1200.0</v>
      </c>
      <c r="H2608" s="35">
        <v>46173.0</v>
      </c>
      <c r="I2608" s="2" t="s">
        <v>1183</v>
      </c>
      <c r="J2608" s="12" t="s">
        <v>2014</v>
      </c>
    </row>
    <row r="2609" ht="22.5" customHeight="1">
      <c r="A2609" s="2" t="s">
        <v>2015</v>
      </c>
      <c r="B2609" s="2" t="s">
        <v>1991</v>
      </c>
      <c r="C2609" s="2" t="s">
        <v>1992</v>
      </c>
      <c r="D2609" s="8" t="s">
        <v>75</v>
      </c>
      <c r="E2609" s="9" t="s">
        <v>1993</v>
      </c>
      <c r="F2609" s="33">
        <v>1.0</v>
      </c>
      <c r="G2609" s="33">
        <v>1200.0</v>
      </c>
      <c r="H2609" s="35">
        <v>46173.0</v>
      </c>
      <c r="I2609" s="2" t="s">
        <v>1183</v>
      </c>
      <c r="J2609" s="12" t="s">
        <v>2016</v>
      </c>
    </row>
    <row r="2610" ht="22.5" customHeight="1">
      <c r="A2610" s="2" t="s">
        <v>2015</v>
      </c>
      <c r="B2610" s="2" t="s">
        <v>1991</v>
      </c>
      <c r="C2610" s="2" t="s">
        <v>1992</v>
      </c>
      <c r="D2610" s="8" t="s">
        <v>75</v>
      </c>
      <c r="E2610" s="9" t="s">
        <v>1996</v>
      </c>
      <c r="F2610" s="33">
        <v>1.0</v>
      </c>
      <c r="G2610" s="33">
        <v>1200.0</v>
      </c>
      <c r="H2610" s="35">
        <v>46173.0</v>
      </c>
      <c r="I2610" s="2" t="s">
        <v>1183</v>
      </c>
      <c r="J2610" s="12" t="s">
        <v>2016</v>
      </c>
    </row>
    <row r="2611" ht="22.5" customHeight="1">
      <c r="A2611" s="2" t="s">
        <v>1764</v>
      </c>
      <c r="B2611" s="2" t="s">
        <v>1991</v>
      </c>
      <c r="C2611" s="2" t="s">
        <v>1992</v>
      </c>
      <c r="D2611" s="8" t="s">
        <v>75</v>
      </c>
      <c r="E2611" s="9" t="s">
        <v>1993</v>
      </c>
      <c r="F2611" s="33">
        <v>1.0</v>
      </c>
      <c r="G2611" s="33">
        <v>1200.0</v>
      </c>
      <c r="H2611" s="35">
        <v>46173.0</v>
      </c>
      <c r="I2611" s="2" t="s">
        <v>1183</v>
      </c>
      <c r="J2611" s="12" t="s">
        <v>1765</v>
      </c>
    </row>
    <row r="2612" ht="22.5" customHeight="1">
      <c r="A2612" s="2" t="s">
        <v>1764</v>
      </c>
      <c r="B2612" s="2" t="s">
        <v>1991</v>
      </c>
      <c r="C2612" s="2" t="s">
        <v>1992</v>
      </c>
      <c r="D2612" s="8" t="s">
        <v>75</v>
      </c>
      <c r="E2612" s="9" t="s">
        <v>1996</v>
      </c>
      <c r="F2612" s="33">
        <v>1.0</v>
      </c>
      <c r="G2612" s="33">
        <v>1200.0</v>
      </c>
      <c r="H2612" s="35">
        <v>46173.0</v>
      </c>
      <c r="I2612" s="2" t="s">
        <v>1183</v>
      </c>
      <c r="J2612" s="12" t="s">
        <v>1765</v>
      </c>
    </row>
    <row r="2613" ht="22.5" customHeight="1">
      <c r="A2613" s="2" t="s">
        <v>2017</v>
      </c>
      <c r="B2613" s="2" t="s">
        <v>762</v>
      </c>
      <c r="C2613" s="2" t="s">
        <v>763</v>
      </c>
      <c r="D2613" s="8">
        <v>37.0</v>
      </c>
      <c r="E2613" s="9" t="s">
        <v>2018</v>
      </c>
      <c r="F2613" s="33">
        <v>1.0</v>
      </c>
      <c r="G2613" s="33">
        <v>1.0</v>
      </c>
      <c r="H2613" s="35">
        <v>46174.0</v>
      </c>
      <c r="I2613" s="2" t="s">
        <v>14</v>
      </c>
      <c r="J2613" s="2"/>
    </row>
    <row r="2614" ht="22.5" customHeight="1">
      <c r="A2614" s="2" t="s">
        <v>813</v>
      </c>
      <c r="B2614" s="2" t="s">
        <v>1254</v>
      </c>
      <c r="C2614" s="2" t="s">
        <v>1255</v>
      </c>
      <c r="D2614" s="8" t="s">
        <v>22</v>
      </c>
      <c r="E2614" s="9" t="s">
        <v>1258</v>
      </c>
      <c r="F2614" s="33">
        <v>1.0</v>
      </c>
      <c r="G2614" s="33">
        <v>1200.0</v>
      </c>
      <c r="H2614" s="35">
        <v>46174.0</v>
      </c>
      <c r="I2614" s="2" t="s">
        <v>1645</v>
      </c>
      <c r="J2614" s="12" t="s">
        <v>2019</v>
      </c>
    </row>
    <row r="2615" ht="22.5" customHeight="1">
      <c r="A2615" s="2" t="s">
        <v>813</v>
      </c>
      <c r="B2615" s="2" t="s">
        <v>1671</v>
      </c>
      <c r="C2615" s="2" t="s">
        <v>1672</v>
      </c>
      <c r="D2615" s="8" t="s">
        <v>46</v>
      </c>
      <c r="E2615" s="9" t="s">
        <v>47</v>
      </c>
      <c r="F2615" s="33">
        <v>1.0</v>
      </c>
      <c r="G2615" s="33">
        <v>1200.0</v>
      </c>
      <c r="H2615" s="35">
        <v>46174.0</v>
      </c>
      <c r="I2615" s="2" t="s">
        <v>1183</v>
      </c>
      <c r="J2615" s="12" t="s">
        <v>2019</v>
      </c>
    </row>
    <row r="2616" ht="22.5" customHeight="1">
      <c r="A2616" s="2" t="s">
        <v>317</v>
      </c>
      <c r="B2616" s="2" t="s">
        <v>963</v>
      </c>
      <c r="C2616" s="2">
        <v>8610.0</v>
      </c>
      <c r="D2616" s="8" t="s">
        <v>12</v>
      </c>
      <c r="E2616" s="9" t="s">
        <v>18</v>
      </c>
      <c r="F2616" s="33">
        <v>1.0</v>
      </c>
      <c r="G2616" s="33">
        <v>1190.0</v>
      </c>
      <c r="H2616" s="35">
        <v>46174.0</v>
      </c>
      <c r="I2616" s="2" t="s">
        <v>1183</v>
      </c>
      <c r="J2616" s="12" t="s">
        <v>2020</v>
      </c>
    </row>
    <row r="2617" ht="22.5" customHeight="1">
      <c r="A2617" s="2" t="s">
        <v>317</v>
      </c>
      <c r="B2617" s="2" t="s">
        <v>963</v>
      </c>
      <c r="C2617" s="2">
        <v>8610.0</v>
      </c>
      <c r="D2617" s="8" t="s">
        <v>12</v>
      </c>
      <c r="E2617" s="9" t="s">
        <v>13</v>
      </c>
      <c r="F2617" s="33">
        <v>1.0</v>
      </c>
      <c r="G2617" s="33">
        <v>1190.0</v>
      </c>
      <c r="H2617" s="35">
        <v>46174.0</v>
      </c>
      <c r="I2617" s="2" t="s">
        <v>1183</v>
      </c>
      <c r="J2617" s="12" t="s">
        <v>2020</v>
      </c>
    </row>
    <row r="2618" ht="22.5" customHeight="1">
      <c r="A2618" s="2" t="s">
        <v>317</v>
      </c>
      <c r="B2618" s="2" t="s">
        <v>963</v>
      </c>
      <c r="C2618" s="2">
        <v>8610.0</v>
      </c>
      <c r="D2618" s="8" t="s">
        <v>22</v>
      </c>
      <c r="E2618" s="9" t="s">
        <v>18</v>
      </c>
      <c r="F2618" s="33">
        <v>1.0</v>
      </c>
      <c r="G2618" s="33">
        <v>1190.0</v>
      </c>
      <c r="H2618" s="35">
        <v>46174.0</v>
      </c>
      <c r="I2618" s="2" t="s">
        <v>1183</v>
      </c>
      <c r="J2618" s="12" t="s">
        <v>2020</v>
      </c>
    </row>
    <row r="2619" ht="22.5" customHeight="1">
      <c r="A2619" s="2" t="s">
        <v>317</v>
      </c>
      <c r="B2619" s="2" t="s">
        <v>963</v>
      </c>
      <c r="C2619" s="2">
        <v>8610.0</v>
      </c>
      <c r="D2619" s="8" t="s">
        <v>22</v>
      </c>
      <c r="E2619" s="9" t="s">
        <v>26</v>
      </c>
      <c r="F2619" s="33">
        <v>1.0</v>
      </c>
      <c r="G2619" s="33">
        <v>1190.0</v>
      </c>
      <c r="H2619" s="35">
        <v>46174.0</v>
      </c>
      <c r="I2619" s="2" t="s">
        <v>1183</v>
      </c>
      <c r="J2619" s="12" t="s">
        <v>2020</v>
      </c>
    </row>
    <row r="2620" ht="22.5" customHeight="1">
      <c r="A2620" s="2" t="s">
        <v>317</v>
      </c>
      <c r="B2620" s="2" t="s">
        <v>2021</v>
      </c>
      <c r="C2620" s="2">
        <v>9158.0</v>
      </c>
      <c r="D2620" s="8" t="s">
        <v>22</v>
      </c>
      <c r="E2620" s="9" t="s">
        <v>13</v>
      </c>
      <c r="F2620" s="33">
        <v>1.0</v>
      </c>
      <c r="G2620" s="33">
        <v>1250.0</v>
      </c>
      <c r="H2620" s="35">
        <v>46174.0</v>
      </c>
      <c r="I2620" s="2" t="s">
        <v>1183</v>
      </c>
      <c r="J2620" s="12" t="s">
        <v>2020</v>
      </c>
    </row>
    <row r="2621" ht="22.5" customHeight="1">
      <c r="A2621" s="2" t="s">
        <v>317</v>
      </c>
      <c r="B2621" s="2" t="s">
        <v>377</v>
      </c>
      <c r="C2621" s="2" t="s">
        <v>378</v>
      </c>
      <c r="D2621" s="8" t="s">
        <v>46</v>
      </c>
      <c r="E2621" s="9" t="s">
        <v>13</v>
      </c>
      <c r="F2621" s="33">
        <v>1.0</v>
      </c>
      <c r="G2621" s="33">
        <v>750.0</v>
      </c>
      <c r="H2621" s="35">
        <v>46174.0</v>
      </c>
      <c r="I2621" s="2" t="s">
        <v>1183</v>
      </c>
      <c r="J2621" s="12" t="s">
        <v>2020</v>
      </c>
    </row>
    <row r="2622" ht="22.5" customHeight="1">
      <c r="A2622" s="2" t="s">
        <v>317</v>
      </c>
      <c r="B2622" s="2" t="s">
        <v>377</v>
      </c>
      <c r="C2622" s="2" t="s">
        <v>378</v>
      </c>
      <c r="D2622" s="8" t="s">
        <v>46</v>
      </c>
      <c r="E2622" s="9" t="s">
        <v>18</v>
      </c>
      <c r="F2622" s="33">
        <v>1.0</v>
      </c>
      <c r="G2622" s="33">
        <v>750.0</v>
      </c>
      <c r="H2622" s="35">
        <v>46174.0</v>
      </c>
      <c r="I2622" s="2" t="s">
        <v>1183</v>
      </c>
      <c r="J2622" s="12" t="s">
        <v>2020</v>
      </c>
    </row>
    <row r="2623" ht="22.5" customHeight="1">
      <c r="A2623" s="2" t="s">
        <v>317</v>
      </c>
      <c r="B2623" s="2" t="s">
        <v>1199</v>
      </c>
      <c r="C2623" s="2" t="s">
        <v>1200</v>
      </c>
      <c r="D2623" s="8" t="s">
        <v>75</v>
      </c>
      <c r="E2623" s="9" t="s">
        <v>47</v>
      </c>
      <c r="F2623" s="33">
        <v>1.0</v>
      </c>
      <c r="G2623" s="33">
        <v>725.0</v>
      </c>
      <c r="H2623" s="35">
        <v>46174.0</v>
      </c>
      <c r="I2623" s="2" t="s">
        <v>1183</v>
      </c>
      <c r="J2623" s="12" t="s">
        <v>2020</v>
      </c>
    </row>
    <row r="2624" ht="22.5" customHeight="1">
      <c r="A2624" s="2" t="s">
        <v>1823</v>
      </c>
      <c r="B2624" s="2" t="s">
        <v>2021</v>
      </c>
      <c r="C2624" s="2">
        <v>9158.0</v>
      </c>
      <c r="D2624" s="8" t="s">
        <v>22</v>
      </c>
      <c r="E2624" s="9" t="s">
        <v>18</v>
      </c>
      <c r="F2624" s="33">
        <v>1.0</v>
      </c>
      <c r="G2624" s="33">
        <v>1250.0</v>
      </c>
      <c r="H2624" s="35">
        <v>46174.0</v>
      </c>
      <c r="I2624" s="2" t="s">
        <v>1183</v>
      </c>
      <c r="J2624" s="12" t="s">
        <v>1824</v>
      </c>
    </row>
    <row r="2625" ht="22.5" customHeight="1">
      <c r="A2625" s="2" t="s">
        <v>1823</v>
      </c>
      <c r="B2625" s="2" t="s">
        <v>2021</v>
      </c>
      <c r="C2625" s="2">
        <v>9158.0</v>
      </c>
      <c r="D2625" s="8" t="s">
        <v>22</v>
      </c>
      <c r="E2625" s="9" t="s">
        <v>13</v>
      </c>
      <c r="F2625" s="33">
        <v>1.0</v>
      </c>
      <c r="G2625" s="33">
        <v>1250.0</v>
      </c>
      <c r="H2625" s="35">
        <v>46174.0</v>
      </c>
      <c r="I2625" s="2" t="s">
        <v>1183</v>
      </c>
      <c r="J2625" s="12" t="s">
        <v>1824</v>
      </c>
    </row>
    <row r="2626" ht="22.5" customHeight="1">
      <c r="A2626" s="2" t="s">
        <v>207</v>
      </c>
      <c r="B2626" s="2" t="s">
        <v>1894</v>
      </c>
      <c r="C2626" s="2" t="s">
        <v>1895</v>
      </c>
      <c r="D2626" s="8" t="s">
        <v>46</v>
      </c>
      <c r="E2626" s="9" t="s">
        <v>914</v>
      </c>
      <c r="F2626" s="33">
        <v>1.0</v>
      </c>
      <c r="G2626" s="33">
        <v>1550.0</v>
      </c>
      <c r="H2626" s="35">
        <v>46174.0</v>
      </c>
      <c r="I2626" s="2" t="s">
        <v>1183</v>
      </c>
      <c r="J2626" s="12" t="s">
        <v>2022</v>
      </c>
    </row>
    <row r="2627" ht="22.5" customHeight="1">
      <c r="A2627" s="2" t="s">
        <v>207</v>
      </c>
      <c r="B2627" s="2" t="s">
        <v>440</v>
      </c>
      <c r="C2627" s="2" t="s">
        <v>1879</v>
      </c>
      <c r="D2627" s="8" t="s">
        <v>46</v>
      </c>
      <c r="E2627" s="9" t="s">
        <v>58</v>
      </c>
      <c r="F2627" s="33">
        <v>1.0</v>
      </c>
      <c r="G2627" s="33">
        <v>1200.0</v>
      </c>
      <c r="H2627" s="35">
        <v>46174.0</v>
      </c>
      <c r="I2627" s="2" t="s">
        <v>1183</v>
      </c>
      <c r="J2627" s="12" t="s">
        <v>2022</v>
      </c>
    </row>
    <row r="2628" ht="22.5" customHeight="1">
      <c r="A2628" s="2" t="s">
        <v>2023</v>
      </c>
      <c r="B2628" s="2" t="s">
        <v>1199</v>
      </c>
      <c r="C2628" s="2" t="s">
        <v>2024</v>
      </c>
      <c r="D2628" s="8" t="s">
        <v>22</v>
      </c>
      <c r="E2628" s="9" t="s">
        <v>47</v>
      </c>
      <c r="F2628" s="33">
        <v>1.0</v>
      </c>
      <c r="G2628" s="33">
        <v>725.0</v>
      </c>
      <c r="H2628" s="35">
        <v>46174.0</v>
      </c>
      <c r="I2628" s="2" t="s">
        <v>1183</v>
      </c>
      <c r="J2628" s="12" t="s">
        <v>2025</v>
      </c>
    </row>
    <row r="2629" ht="22.5" customHeight="1">
      <c r="A2629" s="2" t="s">
        <v>2023</v>
      </c>
      <c r="B2629" s="2" t="s">
        <v>912</v>
      </c>
      <c r="C2629" s="2" t="s">
        <v>913</v>
      </c>
      <c r="D2629" s="8" t="s">
        <v>46</v>
      </c>
      <c r="E2629" s="9" t="s">
        <v>23</v>
      </c>
      <c r="F2629" s="33">
        <v>1.0</v>
      </c>
      <c r="G2629" s="33">
        <v>1650.0</v>
      </c>
      <c r="H2629" s="35">
        <v>46174.0</v>
      </c>
      <c r="I2629" s="2" t="s">
        <v>1645</v>
      </c>
      <c r="J2629" s="12" t="s">
        <v>2025</v>
      </c>
    </row>
    <row r="2630" ht="22.5" customHeight="1">
      <c r="A2630" s="2" t="s">
        <v>903</v>
      </c>
      <c r="B2630" s="2" t="s">
        <v>1894</v>
      </c>
      <c r="C2630" s="2" t="s">
        <v>1895</v>
      </c>
      <c r="D2630" s="8" t="s">
        <v>46</v>
      </c>
      <c r="E2630" s="9" t="s">
        <v>914</v>
      </c>
      <c r="F2630" s="33">
        <v>1.0</v>
      </c>
      <c r="G2630" s="33">
        <v>1550.0</v>
      </c>
      <c r="H2630" s="35">
        <v>46174.0</v>
      </c>
      <c r="I2630" s="2" t="s">
        <v>1183</v>
      </c>
      <c r="J2630" s="12" t="s">
        <v>2026</v>
      </c>
    </row>
    <row r="2631" ht="22.5" customHeight="1">
      <c r="A2631" s="2" t="s">
        <v>903</v>
      </c>
      <c r="B2631" s="2" t="s">
        <v>1232</v>
      </c>
      <c r="C2631" s="2" t="s">
        <v>2027</v>
      </c>
      <c r="D2631" s="8" t="s">
        <v>46</v>
      </c>
      <c r="E2631" s="9" t="s">
        <v>13</v>
      </c>
      <c r="F2631" s="33">
        <v>1.0</v>
      </c>
      <c r="G2631" s="33">
        <v>1550.0</v>
      </c>
      <c r="H2631" s="35">
        <v>46174.0</v>
      </c>
      <c r="I2631" s="2" t="s">
        <v>473</v>
      </c>
      <c r="J2631" s="12" t="s">
        <v>2026</v>
      </c>
    </row>
    <row r="2632" ht="22.5" customHeight="1">
      <c r="A2632" s="2" t="s">
        <v>941</v>
      </c>
      <c r="B2632" s="2" t="s">
        <v>1894</v>
      </c>
      <c r="C2632" s="2" t="s">
        <v>1895</v>
      </c>
      <c r="D2632" s="8" t="s">
        <v>46</v>
      </c>
      <c r="E2632" s="9" t="s">
        <v>914</v>
      </c>
      <c r="F2632" s="33">
        <v>1.0</v>
      </c>
      <c r="G2632" s="33">
        <v>1550.0</v>
      </c>
      <c r="H2632" s="35">
        <v>46174.0</v>
      </c>
      <c r="I2632" s="2" t="s">
        <v>1183</v>
      </c>
      <c r="J2632" s="12" t="s">
        <v>2028</v>
      </c>
    </row>
    <row r="2633" ht="22.5" customHeight="1">
      <c r="A2633" s="2" t="s">
        <v>813</v>
      </c>
      <c r="B2633" s="2" t="s">
        <v>1601</v>
      </c>
      <c r="C2633" s="2" t="s">
        <v>2029</v>
      </c>
      <c r="D2633" s="8">
        <v>35.0</v>
      </c>
      <c r="E2633" s="9" t="s">
        <v>18</v>
      </c>
      <c r="F2633" s="33">
        <v>1.0</v>
      </c>
      <c r="G2633" s="33">
        <v>1790.0</v>
      </c>
      <c r="H2633" s="35">
        <v>46174.0</v>
      </c>
      <c r="I2633" s="2" t="s">
        <v>1183</v>
      </c>
      <c r="J2633" s="12" t="s">
        <v>2019</v>
      </c>
    </row>
    <row r="2634" ht="22.5" customHeight="1">
      <c r="A2634" s="2" t="s">
        <v>828</v>
      </c>
      <c r="B2634" s="2" t="s">
        <v>961</v>
      </c>
      <c r="C2634" s="2">
        <v>6612.0</v>
      </c>
      <c r="D2634" s="8" t="s">
        <v>46</v>
      </c>
      <c r="E2634" s="9">
        <v>2.0</v>
      </c>
      <c r="F2634" s="33">
        <v>1.0</v>
      </c>
      <c r="G2634" s="33">
        <v>850.0</v>
      </c>
      <c r="H2634" s="35">
        <v>46174.0</v>
      </c>
      <c r="I2634" s="2" t="s">
        <v>473</v>
      </c>
      <c r="J2634" s="12" t="s">
        <v>1809</v>
      </c>
    </row>
    <row r="2635" ht="22.5" customHeight="1">
      <c r="A2635" s="2" t="s">
        <v>828</v>
      </c>
      <c r="B2635" s="2" t="s">
        <v>961</v>
      </c>
      <c r="C2635" s="2">
        <v>6612.0</v>
      </c>
      <c r="D2635" s="8" t="s">
        <v>46</v>
      </c>
      <c r="E2635" s="9">
        <v>3.0</v>
      </c>
      <c r="F2635" s="33">
        <v>1.0</v>
      </c>
      <c r="G2635" s="33">
        <v>850.0</v>
      </c>
      <c r="H2635" s="35">
        <v>46174.0</v>
      </c>
      <c r="I2635" s="2" t="s">
        <v>1183</v>
      </c>
      <c r="J2635" s="12" t="s">
        <v>1809</v>
      </c>
    </row>
    <row r="2636" ht="22.5" customHeight="1">
      <c r="A2636" s="2" t="s">
        <v>2030</v>
      </c>
      <c r="B2636" s="2" t="s">
        <v>762</v>
      </c>
      <c r="C2636" s="2" t="s">
        <v>763</v>
      </c>
      <c r="D2636" s="8" t="s">
        <v>46</v>
      </c>
      <c r="E2636" s="9" t="s">
        <v>2031</v>
      </c>
      <c r="F2636" s="33">
        <v>1.0</v>
      </c>
      <c r="G2636" s="33">
        <v>1990.0</v>
      </c>
      <c r="H2636" s="35">
        <v>46174.0</v>
      </c>
      <c r="I2636" s="2" t="s">
        <v>1183</v>
      </c>
      <c r="J2636" s="12" t="s">
        <v>2032</v>
      </c>
    </row>
    <row r="2637" ht="22.5" customHeight="1">
      <c r="A2637" s="2" t="s">
        <v>2030</v>
      </c>
      <c r="B2637" s="2" t="s">
        <v>1894</v>
      </c>
      <c r="C2637" s="2" t="s">
        <v>1895</v>
      </c>
      <c r="D2637" s="8" t="s">
        <v>46</v>
      </c>
      <c r="E2637" s="9" t="s">
        <v>914</v>
      </c>
      <c r="F2637" s="33">
        <v>1.0</v>
      </c>
      <c r="G2637" s="33">
        <v>1550.0</v>
      </c>
      <c r="H2637" s="35">
        <v>46174.0</v>
      </c>
      <c r="I2637" s="2" t="s">
        <v>1183</v>
      </c>
      <c r="J2637" s="12" t="s">
        <v>2032</v>
      </c>
    </row>
    <row r="2638" ht="22.5" customHeight="1">
      <c r="A2638" s="2" t="s">
        <v>2030</v>
      </c>
      <c r="B2638" s="2" t="s">
        <v>1991</v>
      </c>
      <c r="C2638" s="2" t="s">
        <v>1992</v>
      </c>
      <c r="D2638" s="8" t="s">
        <v>22</v>
      </c>
      <c r="E2638" s="9" t="s">
        <v>1999</v>
      </c>
      <c r="F2638" s="33">
        <v>1.0</v>
      </c>
      <c r="G2638" s="33">
        <v>1200.0</v>
      </c>
      <c r="H2638" s="35">
        <v>46174.0</v>
      </c>
      <c r="I2638" s="2" t="s">
        <v>1183</v>
      </c>
      <c r="J2638" s="12" t="s">
        <v>2032</v>
      </c>
    </row>
    <row r="2639" ht="22.5" customHeight="1">
      <c r="A2639" s="2" t="s">
        <v>2030</v>
      </c>
      <c r="B2639" s="2" t="s">
        <v>1991</v>
      </c>
      <c r="C2639" s="2" t="s">
        <v>1992</v>
      </c>
      <c r="D2639" s="8" t="s">
        <v>22</v>
      </c>
      <c r="E2639" s="9" t="s">
        <v>1995</v>
      </c>
      <c r="F2639" s="33">
        <v>1.0</v>
      </c>
      <c r="G2639" s="33">
        <v>1200.0</v>
      </c>
      <c r="H2639" s="35">
        <v>46174.0</v>
      </c>
      <c r="I2639" s="2" t="s">
        <v>1183</v>
      </c>
      <c r="J2639" s="12" t="s">
        <v>2032</v>
      </c>
    </row>
    <row r="2640" ht="22.5" customHeight="1">
      <c r="A2640" s="2" t="s">
        <v>2033</v>
      </c>
      <c r="B2640" s="2" t="s">
        <v>1991</v>
      </c>
      <c r="C2640" s="2" t="s">
        <v>1992</v>
      </c>
      <c r="D2640" s="8" t="s">
        <v>22</v>
      </c>
      <c r="E2640" s="9" t="s">
        <v>1996</v>
      </c>
      <c r="F2640" s="33">
        <v>1.0</v>
      </c>
      <c r="G2640" s="33">
        <v>1200.0</v>
      </c>
      <c r="H2640" s="35">
        <v>46174.0</v>
      </c>
      <c r="I2640" s="2" t="s">
        <v>1183</v>
      </c>
      <c r="J2640" s="12" t="s">
        <v>2034</v>
      </c>
    </row>
    <row r="2641" ht="22.5" customHeight="1">
      <c r="A2641" s="2" t="s">
        <v>2033</v>
      </c>
      <c r="B2641" s="2" t="s">
        <v>1991</v>
      </c>
      <c r="C2641" s="2" t="s">
        <v>1992</v>
      </c>
      <c r="D2641" s="8" t="s">
        <v>22</v>
      </c>
      <c r="E2641" s="9" t="s">
        <v>1993</v>
      </c>
      <c r="F2641" s="33">
        <v>1.0</v>
      </c>
      <c r="G2641" s="33">
        <v>1200.0</v>
      </c>
      <c r="H2641" s="35">
        <v>46174.0</v>
      </c>
      <c r="I2641" s="2" t="s">
        <v>1183</v>
      </c>
      <c r="J2641" s="12" t="s">
        <v>2034</v>
      </c>
    </row>
    <row r="2642" ht="22.5" customHeight="1">
      <c r="A2642" s="2" t="s">
        <v>1159</v>
      </c>
      <c r="B2642" s="2" t="s">
        <v>1991</v>
      </c>
      <c r="C2642" s="2" t="s">
        <v>1992</v>
      </c>
      <c r="D2642" s="8" t="s">
        <v>1037</v>
      </c>
      <c r="E2642" s="9" t="s">
        <v>1996</v>
      </c>
      <c r="F2642" s="33">
        <v>1.0</v>
      </c>
      <c r="G2642" s="33">
        <v>1200.0</v>
      </c>
      <c r="H2642" s="35">
        <v>46174.0</v>
      </c>
      <c r="I2642" s="2" t="s">
        <v>1183</v>
      </c>
      <c r="J2642" s="12" t="s">
        <v>2035</v>
      </c>
    </row>
    <row r="2643" ht="22.5" customHeight="1">
      <c r="A2643" s="2" t="s">
        <v>1159</v>
      </c>
      <c r="B2643" s="2" t="s">
        <v>1991</v>
      </c>
      <c r="C2643" s="2" t="s">
        <v>1992</v>
      </c>
      <c r="D2643" s="8" t="s">
        <v>1037</v>
      </c>
      <c r="E2643" s="9" t="s">
        <v>1993</v>
      </c>
      <c r="F2643" s="33">
        <v>1.0</v>
      </c>
      <c r="G2643" s="33">
        <v>1200.0</v>
      </c>
      <c r="H2643" s="35">
        <v>46174.0</v>
      </c>
      <c r="I2643" s="2" t="s">
        <v>1183</v>
      </c>
      <c r="J2643" s="12" t="s">
        <v>2035</v>
      </c>
    </row>
    <row r="2644" ht="22.5" customHeight="1">
      <c r="A2644" s="2" t="s">
        <v>1159</v>
      </c>
      <c r="B2644" s="2" t="s">
        <v>1894</v>
      </c>
      <c r="C2644" s="2" t="s">
        <v>1895</v>
      </c>
      <c r="D2644" s="8" t="s">
        <v>46</v>
      </c>
      <c r="E2644" s="9" t="s">
        <v>914</v>
      </c>
      <c r="F2644" s="33">
        <v>1.0</v>
      </c>
      <c r="G2644" s="33">
        <v>1550.0</v>
      </c>
      <c r="H2644" s="35">
        <v>46174.0</v>
      </c>
      <c r="I2644" s="2" t="s">
        <v>1183</v>
      </c>
      <c r="J2644" s="12" t="s">
        <v>2035</v>
      </c>
    </row>
    <row r="2645" ht="22.5" customHeight="1">
      <c r="A2645" s="2" t="s">
        <v>712</v>
      </c>
      <c r="B2645" s="2" t="s">
        <v>1619</v>
      </c>
      <c r="C2645" s="2" t="s">
        <v>1620</v>
      </c>
      <c r="D2645" s="8" t="s">
        <v>22</v>
      </c>
      <c r="E2645" s="9" t="s">
        <v>914</v>
      </c>
      <c r="F2645" s="33">
        <v>1.0</v>
      </c>
      <c r="G2645" s="33">
        <v>1650.0</v>
      </c>
      <c r="H2645" s="35">
        <v>46174.0</v>
      </c>
      <c r="I2645" s="2" t="s">
        <v>1183</v>
      </c>
      <c r="J2645" s="12" t="s">
        <v>2036</v>
      </c>
    </row>
    <row r="2646" ht="22.5" customHeight="1">
      <c r="A2646" s="2" t="s">
        <v>575</v>
      </c>
      <c r="B2646" s="2" t="s">
        <v>1622</v>
      </c>
      <c r="C2646" s="2" t="s">
        <v>1623</v>
      </c>
      <c r="D2646" s="8" t="s">
        <v>75</v>
      </c>
      <c r="E2646" s="9" t="s">
        <v>18</v>
      </c>
      <c r="F2646" s="33">
        <v>1.0</v>
      </c>
      <c r="G2646" s="33">
        <v>1200.0</v>
      </c>
      <c r="H2646" s="35">
        <v>46174.0</v>
      </c>
      <c r="I2646" s="2" t="s">
        <v>1645</v>
      </c>
      <c r="J2646" s="12" t="s">
        <v>1060</v>
      </c>
    </row>
    <row r="2647" ht="22.5" customHeight="1">
      <c r="A2647" s="2" t="s">
        <v>575</v>
      </c>
      <c r="B2647" s="2" t="s">
        <v>1622</v>
      </c>
      <c r="C2647" s="2" t="s">
        <v>1623</v>
      </c>
      <c r="D2647" s="8" t="s">
        <v>75</v>
      </c>
      <c r="E2647" s="9" t="s">
        <v>23</v>
      </c>
      <c r="F2647" s="33">
        <v>1.0</v>
      </c>
      <c r="G2647" s="33">
        <v>1200.0</v>
      </c>
      <c r="H2647" s="35">
        <v>46174.0</v>
      </c>
      <c r="I2647" s="2" t="s">
        <v>1183</v>
      </c>
      <c r="J2647" s="12" t="s">
        <v>1060</v>
      </c>
    </row>
    <row r="2648" ht="22.5" customHeight="1">
      <c r="A2648" s="2" t="s">
        <v>575</v>
      </c>
      <c r="B2648" s="2" t="s">
        <v>1622</v>
      </c>
      <c r="C2648" s="2" t="s">
        <v>1623</v>
      </c>
      <c r="D2648" s="8" t="s">
        <v>75</v>
      </c>
      <c r="E2648" s="9" t="s">
        <v>58</v>
      </c>
      <c r="F2648" s="33">
        <v>1.0</v>
      </c>
      <c r="G2648" s="33">
        <v>1200.0</v>
      </c>
      <c r="H2648" s="35">
        <v>46174.0</v>
      </c>
      <c r="I2648" s="2" t="s">
        <v>1183</v>
      </c>
      <c r="J2648" s="12" t="s">
        <v>1060</v>
      </c>
    </row>
    <row r="2649" ht="22.5" customHeight="1">
      <c r="A2649" s="2" t="s">
        <v>2037</v>
      </c>
      <c r="B2649" s="2" t="s">
        <v>1991</v>
      </c>
      <c r="C2649" s="2" t="s">
        <v>1992</v>
      </c>
      <c r="D2649" s="8" t="s">
        <v>1037</v>
      </c>
      <c r="E2649" s="9" t="s">
        <v>1993</v>
      </c>
      <c r="F2649" s="33">
        <v>1.0</v>
      </c>
      <c r="G2649" s="33">
        <v>1200.0</v>
      </c>
      <c r="H2649" s="35">
        <v>46174.0</v>
      </c>
      <c r="I2649" s="2" t="s">
        <v>1183</v>
      </c>
      <c r="J2649" s="12" t="s">
        <v>2038</v>
      </c>
    </row>
    <row r="2650" ht="22.5" customHeight="1">
      <c r="A2650" s="2" t="s">
        <v>2037</v>
      </c>
      <c r="B2650" s="2" t="s">
        <v>1991</v>
      </c>
      <c r="C2650" s="2" t="s">
        <v>1992</v>
      </c>
      <c r="D2650" s="8" t="s">
        <v>1037</v>
      </c>
      <c r="E2650" s="9" t="s">
        <v>1996</v>
      </c>
      <c r="F2650" s="33">
        <v>1.0</v>
      </c>
      <c r="G2650" s="33">
        <v>1200.0</v>
      </c>
      <c r="H2650" s="35">
        <v>46174.0</v>
      </c>
      <c r="I2650" s="2" t="s">
        <v>1183</v>
      </c>
      <c r="J2650" s="12" t="s">
        <v>2038</v>
      </c>
    </row>
    <row r="2651" ht="22.5" customHeight="1">
      <c r="A2651" s="2" t="s">
        <v>2039</v>
      </c>
      <c r="B2651" s="2" t="s">
        <v>1894</v>
      </c>
      <c r="C2651" s="2" t="s">
        <v>1895</v>
      </c>
      <c r="D2651" s="8" t="s">
        <v>46</v>
      </c>
      <c r="E2651" s="9" t="s">
        <v>914</v>
      </c>
      <c r="F2651" s="33">
        <v>1.0</v>
      </c>
      <c r="G2651" s="33">
        <v>1550.0</v>
      </c>
      <c r="H2651" s="35">
        <v>46174.0</v>
      </c>
      <c r="I2651" s="2" t="s">
        <v>1183</v>
      </c>
      <c r="J2651" s="12" t="s">
        <v>2040</v>
      </c>
    </row>
    <row r="2652" ht="22.5" customHeight="1">
      <c r="A2652" s="2" t="s">
        <v>2041</v>
      </c>
      <c r="B2652" s="2" t="s">
        <v>1852</v>
      </c>
      <c r="C2652" s="2">
        <v>9930.0</v>
      </c>
      <c r="D2652" s="8" t="s">
        <v>22</v>
      </c>
      <c r="E2652" s="9" t="s">
        <v>58</v>
      </c>
      <c r="F2652" s="33">
        <v>1.0</v>
      </c>
      <c r="G2652" s="33">
        <v>2350.0</v>
      </c>
      <c r="H2652" s="35">
        <v>46175.0</v>
      </c>
      <c r="I2652" s="2" t="s">
        <v>1183</v>
      </c>
      <c r="J2652" s="12" t="s">
        <v>2042</v>
      </c>
    </row>
    <row r="2653" ht="22.5" customHeight="1">
      <c r="A2653" s="2" t="s">
        <v>2043</v>
      </c>
      <c r="B2653" s="2" t="s">
        <v>1991</v>
      </c>
      <c r="C2653" s="2" t="s">
        <v>1992</v>
      </c>
      <c r="D2653" s="8" t="s">
        <v>989</v>
      </c>
      <c r="E2653" s="9" t="s">
        <v>1996</v>
      </c>
      <c r="F2653" s="33">
        <v>1.0</v>
      </c>
      <c r="G2653" s="33">
        <v>1200.0</v>
      </c>
      <c r="H2653" s="35">
        <v>46175.0</v>
      </c>
      <c r="I2653" s="2" t="s">
        <v>1183</v>
      </c>
      <c r="J2653" s="12" t="s">
        <v>2044</v>
      </c>
    </row>
    <row r="2654" ht="22.5" customHeight="1">
      <c r="A2654" s="2" t="s">
        <v>2043</v>
      </c>
      <c r="B2654" s="2" t="s">
        <v>1991</v>
      </c>
      <c r="C2654" s="2" t="s">
        <v>1992</v>
      </c>
      <c r="D2654" s="8" t="s">
        <v>989</v>
      </c>
      <c r="E2654" s="9" t="s">
        <v>1993</v>
      </c>
      <c r="F2654" s="33">
        <v>1.0</v>
      </c>
      <c r="G2654" s="33">
        <v>1200.0</v>
      </c>
      <c r="H2654" s="35">
        <v>46175.0</v>
      </c>
      <c r="I2654" s="2" t="s">
        <v>1183</v>
      </c>
      <c r="J2654" s="12" t="s">
        <v>2044</v>
      </c>
    </row>
    <row r="2655" ht="22.5" customHeight="1">
      <c r="A2655" s="2" t="s">
        <v>2045</v>
      </c>
      <c r="B2655" s="2" t="s">
        <v>440</v>
      </c>
      <c r="C2655" s="2" t="s">
        <v>441</v>
      </c>
      <c r="D2655" s="8" t="s">
        <v>46</v>
      </c>
      <c r="E2655" s="9" t="s">
        <v>447</v>
      </c>
      <c r="F2655" s="33">
        <v>1.0</v>
      </c>
      <c r="G2655" s="33">
        <v>1200.0</v>
      </c>
      <c r="H2655" s="35">
        <v>46175.0</v>
      </c>
      <c r="I2655" s="2" t="s">
        <v>1183</v>
      </c>
      <c r="J2655" s="12" t="s">
        <v>2046</v>
      </c>
    </row>
    <row r="2656" ht="22.5" customHeight="1">
      <c r="A2656" s="2" t="s">
        <v>2045</v>
      </c>
      <c r="B2656" s="2" t="s">
        <v>1470</v>
      </c>
      <c r="C2656" s="2" t="s">
        <v>1471</v>
      </c>
      <c r="D2656" s="8" t="s">
        <v>46</v>
      </c>
      <c r="E2656" s="9" t="s">
        <v>338</v>
      </c>
      <c r="F2656" s="33">
        <v>1.0</v>
      </c>
      <c r="G2656" s="33">
        <v>990.0</v>
      </c>
      <c r="H2656" s="35">
        <v>46175.0</v>
      </c>
      <c r="I2656" s="2" t="s">
        <v>473</v>
      </c>
      <c r="J2656" s="12" t="s">
        <v>2046</v>
      </c>
    </row>
    <row r="2657" ht="22.5" customHeight="1">
      <c r="A2657" s="2" t="s">
        <v>2047</v>
      </c>
      <c r="B2657" s="2" t="s">
        <v>762</v>
      </c>
      <c r="C2657" s="2" t="s">
        <v>763</v>
      </c>
      <c r="D2657" s="8" t="s">
        <v>46</v>
      </c>
      <c r="E2657" s="9" t="s">
        <v>2048</v>
      </c>
      <c r="F2657" s="33">
        <v>1.0</v>
      </c>
      <c r="G2657" s="33">
        <v>2300.0</v>
      </c>
      <c r="H2657" s="35">
        <v>46175.0</v>
      </c>
      <c r="I2657" s="2" t="s">
        <v>1183</v>
      </c>
      <c r="J2657" s="2"/>
    </row>
    <row r="2658" ht="22.5" customHeight="1">
      <c r="A2658" s="2" t="s">
        <v>2023</v>
      </c>
      <c r="B2658" s="2" t="s">
        <v>1203</v>
      </c>
      <c r="C2658" s="2" t="s">
        <v>1204</v>
      </c>
      <c r="D2658" s="8" t="s">
        <v>22</v>
      </c>
      <c r="E2658" s="9" t="s">
        <v>47</v>
      </c>
      <c r="F2658" s="33">
        <v>1.0</v>
      </c>
      <c r="G2658" s="33">
        <v>725.0</v>
      </c>
      <c r="H2658" s="35">
        <v>46175.0</v>
      </c>
      <c r="I2658" s="2" t="s">
        <v>1183</v>
      </c>
      <c r="J2658" s="12" t="s">
        <v>2025</v>
      </c>
    </row>
    <row r="2659" ht="22.5" customHeight="1">
      <c r="A2659" s="2" t="s">
        <v>1175</v>
      </c>
      <c r="B2659" s="2" t="s">
        <v>1232</v>
      </c>
      <c r="C2659" s="2" t="s">
        <v>1233</v>
      </c>
      <c r="D2659" s="8" t="s">
        <v>46</v>
      </c>
      <c r="E2659" s="9" t="s">
        <v>13</v>
      </c>
      <c r="F2659" s="33">
        <v>1.0</v>
      </c>
      <c r="G2659" s="33">
        <v>1550.0</v>
      </c>
      <c r="H2659" s="35">
        <v>46175.0</v>
      </c>
      <c r="I2659" s="2" t="s">
        <v>14</v>
      </c>
      <c r="J2659" s="12" t="s">
        <v>1177</v>
      </c>
    </row>
    <row r="2660" ht="22.5" customHeight="1">
      <c r="A2660" s="2" t="s">
        <v>1175</v>
      </c>
      <c r="B2660" s="2" t="s">
        <v>1894</v>
      </c>
      <c r="C2660" s="2" t="s">
        <v>1895</v>
      </c>
      <c r="D2660" s="8" t="s">
        <v>46</v>
      </c>
      <c r="E2660" s="9" t="s">
        <v>914</v>
      </c>
      <c r="F2660" s="33">
        <v>1.0</v>
      </c>
      <c r="G2660" s="33">
        <v>1550.0</v>
      </c>
      <c r="H2660" s="35">
        <v>46175.0</v>
      </c>
      <c r="I2660" s="2" t="s">
        <v>1183</v>
      </c>
      <c r="J2660" s="12" t="s">
        <v>1177</v>
      </c>
    </row>
    <row r="2661" ht="22.5" customHeight="1">
      <c r="A2661" s="2" t="s">
        <v>600</v>
      </c>
      <c r="B2661" s="2" t="s">
        <v>1232</v>
      </c>
      <c r="C2661" s="2" t="s">
        <v>1233</v>
      </c>
      <c r="D2661" s="8" t="s">
        <v>46</v>
      </c>
      <c r="E2661" s="9" t="s">
        <v>13</v>
      </c>
      <c r="F2661" s="33">
        <v>1.0</v>
      </c>
      <c r="G2661" s="33">
        <v>1550.0</v>
      </c>
      <c r="H2661" s="35">
        <v>46175.0</v>
      </c>
      <c r="I2661" s="2" t="s">
        <v>473</v>
      </c>
      <c r="J2661" s="12" t="s">
        <v>2049</v>
      </c>
    </row>
    <row r="2662" ht="22.5" customHeight="1">
      <c r="A2662" s="2" t="s">
        <v>600</v>
      </c>
      <c r="B2662" s="2" t="s">
        <v>1894</v>
      </c>
      <c r="C2662" s="2" t="s">
        <v>1895</v>
      </c>
      <c r="D2662" s="8" t="s">
        <v>46</v>
      </c>
      <c r="E2662" s="9" t="s">
        <v>914</v>
      </c>
      <c r="F2662" s="33">
        <v>1.0</v>
      </c>
      <c r="G2662" s="33">
        <v>1550.0</v>
      </c>
      <c r="H2662" s="35">
        <v>46175.0</v>
      </c>
      <c r="I2662" s="2" t="s">
        <v>1183</v>
      </c>
      <c r="J2662" s="12" t="s">
        <v>2049</v>
      </c>
    </row>
    <row r="2663" ht="22.5" customHeight="1">
      <c r="A2663" s="2" t="s">
        <v>73</v>
      </c>
      <c r="B2663" s="2" t="s">
        <v>1232</v>
      </c>
      <c r="C2663" s="2" t="s">
        <v>1233</v>
      </c>
      <c r="D2663" s="8" t="s">
        <v>46</v>
      </c>
      <c r="E2663" s="9" t="s">
        <v>13</v>
      </c>
      <c r="F2663" s="33">
        <v>1.0</v>
      </c>
      <c r="G2663" s="33">
        <v>1550.0</v>
      </c>
      <c r="H2663" s="35">
        <v>46175.0</v>
      </c>
      <c r="I2663" s="2" t="s">
        <v>1183</v>
      </c>
      <c r="J2663" s="12" t="s">
        <v>2050</v>
      </c>
    </row>
    <row r="2664" ht="22.5" customHeight="1">
      <c r="A2664" s="2" t="s">
        <v>73</v>
      </c>
      <c r="B2664" s="2" t="s">
        <v>1894</v>
      </c>
      <c r="C2664" s="2" t="s">
        <v>1895</v>
      </c>
      <c r="D2664" s="8" t="s">
        <v>46</v>
      </c>
      <c r="E2664" s="9" t="s">
        <v>914</v>
      </c>
      <c r="F2664" s="33">
        <v>1.0</v>
      </c>
      <c r="G2664" s="33">
        <v>1550.0</v>
      </c>
      <c r="H2664" s="35">
        <v>46175.0</v>
      </c>
      <c r="I2664" s="2" t="s">
        <v>1183</v>
      </c>
      <c r="J2664" s="12" t="s">
        <v>2050</v>
      </c>
    </row>
    <row r="2665" ht="22.5" customHeight="1">
      <c r="A2665" s="2" t="s">
        <v>202</v>
      </c>
      <c r="B2665" s="2" t="s">
        <v>1894</v>
      </c>
      <c r="C2665" s="2" t="s">
        <v>1895</v>
      </c>
      <c r="D2665" s="8" t="s">
        <v>46</v>
      </c>
      <c r="E2665" s="9" t="s">
        <v>914</v>
      </c>
      <c r="F2665" s="33">
        <v>1.0</v>
      </c>
      <c r="G2665" s="33">
        <v>1550.0</v>
      </c>
      <c r="H2665" s="35">
        <v>46175.0</v>
      </c>
      <c r="I2665" s="2" t="s">
        <v>1183</v>
      </c>
      <c r="J2665" s="12" t="s">
        <v>2051</v>
      </c>
    </row>
    <row r="2666" ht="22.5" customHeight="1">
      <c r="A2666" s="2" t="s">
        <v>769</v>
      </c>
      <c r="B2666" s="2" t="s">
        <v>1894</v>
      </c>
      <c r="C2666" s="2" t="s">
        <v>1895</v>
      </c>
      <c r="D2666" s="8" t="s">
        <v>46</v>
      </c>
      <c r="E2666" s="9" t="s">
        <v>914</v>
      </c>
      <c r="F2666" s="33">
        <v>1.0</v>
      </c>
      <c r="G2666" s="33">
        <v>1550.0</v>
      </c>
      <c r="H2666" s="35">
        <v>46175.0</v>
      </c>
      <c r="I2666" s="2" t="s">
        <v>1183</v>
      </c>
      <c r="J2666" s="12" t="s">
        <v>1793</v>
      </c>
    </row>
    <row r="2667" ht="22.5" customHeight="1">
      <c r="A2667" s="2" t="s">
        <v>1728</v>
      </c>
      <c r="B2667" s="2" t="s">
        <v>1232</v>
      </c>
      <c r="C2667" s="2" t="s">
        <v>1233</v>
      </c>
      <c r="D2667" s="8" t="s">
        <v>46</v>
      </c>
      <c r="E2667" s="9" t="s">
        <v>13</v>
      </c>
      <c r="F2667" s="33">
        <v>1.0</v>
      </c>
      <c r="G2667" s="33">
        <v>1550.0</v>
      </c>
      <c r="H2667" s="35">
        <v>46175.0</v>
      </c>
      <c r="I2667" s="2" t="s">
        <v>1183</v>
      </c>
      <c r="J2667" s="12" t="s">
        <v>1729</v>
      </c>
    </row>
    <row r="2668" ht="22.5" customHeight="1">
      <c r="A2668" s="2" t="s">
        <v>570</v>
      </c>
      <c r="B2668" s="2" t="s">
        <v>1894</v>
      </c>
      <c r="C2668" s="2" t="s">
        <v>1895</v>
      </c>
      <c r="D2668" s="8" t="s">
        <v>46</v>
      </c>
      <c r="E2668" s="9" t="s">
        <v>914</v>
      </c>
      <c r="F2668" s="33">
        <v>1.0</v>
      </c>
      <c r="G2668" s="33">
        <v>1550.0</v>
      </c>
      <c r="H2668" s="35">
        <v>46175.0</v>
      </c>
      <c r="I2668" s="2" t="s">
        <v>1183</v>
      </c>
      <c r="J2668" s="2"/>
    </row>
    <row r="2669" ht="22.5" customHeight="1">
      <c r="A2669" s="2" t="s">
        <v>2052</v>
      </c>
      <c r="B2669" s="2" t="s">
        <v>1232</v>
      </c>
      <c r="C2669" s="2" t="s">
        <v>1233</v>
      </c>
      <c r="D2669" s="8" t="s">
        <v>46</v>
      </c>
      <c r="E2669" s="9" t="s">
        <v>13</v>
      </c>
      <c r="F2669" s="33">
        <v>1.0</v>
      </c>
      <c r="G2669" s="33">
        <v>1550.0</v>
      </c>
      <c r="H2669" s="35">
        <v>46175.0</v>
      </c>
      <c r="I2669" s="2" t="s">
        <v>1183</v>
      </c>
      <c r="J2669" s="12" t="s">
        <v>2053</v>
      </c>
    </row>
    <row r="2670" ht="22.5" customHeight="1">
      <c r="A2670" s="2" t="s">
        <v>1799</v>
      </c>
      <c r="B2670" s="2" t="s">
        <v>1232</v>
      </c>
      <c r="C2670" s="2" t="s">
        <v>1233</v>
      </c>
      <c r="D2670" s="8" t="s">
        <v>46</v>
      </c>
      <c r="E2670" s="9" t="s">
        <v>13</v>
      </c>
      <c r="F2670" s="33">
        <v>1.0</v>
      </c>
      <c r="G2670" s="33">
        <v>1550.0</v>
      </c>
      <c r="H2670" s="35">
        <v>46175.0</v>
      </c>
      <c r="I2670" s="2" t="s">
        <v>1183</v>
      </c>
      <c r="J2670" s="12" t="s">
        <v>1800</v>
      </c>
    </row>
    <row r="2671" ht="22.5" customHeight="1">
      <c r="A2671" s="2" t="s">
        <v>2017</v>
      </c>
      <c r="B2671" s="2" t="s">
        <v>1232</v>
      </c>
      <c r="C2671" s="2" t="s">
        <v>1233</v>
      </c>
      <c r="D2671" s="8" t="s">
        <v>46</v>
      </c>
      <c r="E2671" s="9" t="s">
        <v>13</v>
      </c>
      <c r="F2671" s="33">
        <v>1.0</v>
      </c>
      <c r="G2671" s="33">
        <v>1550.0</v>
      </c>
      <c r="H2671" s="35">
        <v>46175.0</v>
      </c>
      <c r="I2671" s="2" t="s">
        <v>1183</v>
      </c>
      <c r="J2671" s="2"/>
    </row>
    <row r="2672" ht="22.5" customHeight="1">
      <c r="A2672" s="2" t="s">
        <v>400</v>
      </c>
      <c r="B2672" s="2" t="s">
        <v>1232</v>
      </c>
      <c r="C2672" s="2" t="s">
        <v>1233</v>
      </c>
      <c r="D2672" s="8" t="s">
        <v>46</v>
      </c>
      <c r="E2672" s="9" t="s">
        <v>13</v>
      </c>
      <c r="F2672" s="33">
        <v>1.0</v>
      </c>
      <c r="G2672" s="33">
        <v>1550.0</v>
      </c>
      <c r="H2672" s="35">
        <v>46175.0</v>
      </c>
      <c r="I2672" s="2" t="s">
        <v>1183</v>
      </c>
      <c r="J2672" s="12" t="s">
        <v>1577</v>
      </c>
    </row>
    <row r="2673" ht="22.5" customHeight="1">
      <c r="A2673" s="2" t="s">
        <v>2054</v>
      </c>
      <c r="B2673" s="2" t="s">
        <v>1232</v>
      </c>
      <c r="C2673" s="2" t="s">
        <v>1233</v>
      </c>
      <c r="D2673" s="8" t="s">
        <v>46</v>
      </c>
      <c r="E2673" s="9" t="s">
        <v>13</v>
      </c>
      <c r="F2673" s="33">
        <v>1.0</v>
      </c>
      <c r="G2673" s="33">
        <v>1550.0</v>
      </c>
      <c r="H2673" s="35">
        <v>46175.0</v>
      </c>
      <c r="I2673" s="2" t="s">
        <v>1183</v>
      </c>
      <c r="J2673" s="12" t="s">
        <v>2055</v>
      </c>
    </row>
    <row r="2674" ht="22.5" customHeight="1">
      <c r="A2674" s="2" t="s">
        <v>351</v>
      </c>
      <c r="B2674" s="2" t="s">
        <v>1935</v>
      </c>
      <c r="C2674" s="2">
        <v>9831.0</v>
      </c>
      <c r="D2674" s="8" t="s">
        <v>22</v>
      </c>
      <c r="E2674" s="9" t="s">
        <v>58</v>
      </c>
      <c r="F2674" s="33">
        <v>1.0</v>
      </c>
      <c r="G2674" s="33">
        <v>2590.0</v>
      </c>
      <c r="H2674" s="35">
        <v>46175.0</v>
      </c>
      <c r="I2674" s="2" t="s">
        <v>1183</v>
      </c>
      <c r="J2674" s="12" t="s">
        <v>2056</v>
      </c>
    </row>
    <row r="2675" ht="22.5" customHeight="1">
      <c r="A2675" s="2" t="s">
        <v>409</v>
      </c>
      <c r="B2675" s="2" t="s">
        <v>1935</v>
      </c>
      <c r="C2675" s="2">
        <v>9831.0</v>
      </c>
      <c r="D2675" s="8" t="s">
        <v>75</v>
      </c>
      <c r="E2675" s="9" t="s">
        <v>58</v>
      </c>
      <c r="F2675" s="33">
        <v>1.0</v>
      </c>
      <c r="G2675" s="33">
        <v>2590.0</v>
      </c>
      <c r="H2675" s="35">
        <v>46175.0</v>
      </c>
      <c r="I2675" s="2" t="s">
        <v>1183</v>
      </c>
      <c r="J2675" s="12" t="s">
        <v>2057</v>
      </c>
    </row>
    <row r="2676" ht="22.5" customHeight="1">
      <c r="A2676" s="2" t="s">
        <v>48</v>
      </c>
      <c r="B2676" s="2" t="s">
        <v>2058</v>
      </c>
      <c r="C2676" s="2" t="s">
        <v>2059</v>
      </c>
      <c r="D2676" s="8" t="s">
        <v>46</v>
      </c>
      <c r="E2676" s="9" t="s">
        <v>16</v>
      </c>
      <c r="F2676" s="33">
        <v>1.0</v>
      </c>
      <c r="G2676" s="33">
        <v>1550.0</v>
      </c>
      <c r="H2676" s="35">
        <v>46175.0</v>
      </c>
      <c r="I2676" s="2" t="s">
        <v>1183</v>
      </c>
      <c r="J2676" s="12" t="s">
        <v>1994</v>
      </c>
    </row>
    <row r="2677" ht="22.5" customHeight="1">
      <c r="A2677" s="2" t="s">
        <v>2060</v>
      </c>
      <c r="B2677" s="2" t="s">
        <v>2058</v>
      </c>
      <c r="C2677" s="2" t="s">
        <v>2059</v>
      </c>
      <c r="D2677" s="8" t="s">
        <v>46</v>
      </c>
      <c r="E2677" s="9" t="s">
        <v>16</v>
      </c>
      <c r="F2677" s="33">
        <v>1.0</v>
      </c>
      <c r="G2677" s="33">
        <v>1550.0</v>
      </c>
      <c r="H2677" s="35">
        <v>46175.0</v>
      </c>
      <c r="I2677" s="2" t="s">
        <v>1183</v>
      </c>
      <c r="J2677" s="12" t="s">
        <v>2061</v>
      </c>
    </row>
    <row r="2678" ht="22.5" customHeight="1">
      <c r="A2678" s="2" t="s">
        <v>875</v>
      </c>
      <c r="B2678" s="2" t="s">
        <v>2058</v>
      </c>
      <c r="C2678" s="2" t="s">
        <v>2059</v>
      </c>
      <c r="D2678" s="8" t="s">
        <v>46</v>
      </c>
      <c r="E2678" s="9" t="s">
        <v>16</v>
      </c>
      <c r="F2678" s="33">
        <v>1.0</v>
      </c>
      <c r="G2678" s="33">
        <v>1550.0</v>
      </c>
      <c r="H2678" s="35">
        <v>46175.0</v>
      </c>
      <c r="I2678" s="2" t="s">
        <v>1183</v>
      </c>
      <c r="J2678" s="12" t="s">
        <v>2062</v>
      </c>
    </row>
    <row r="2679" ht="22.5" customHeight="1">
      <c r="A2679" s="2" t="s">
        <v>267</v>
      </c>
      <c r="B2679" s="2" t="s">
        <v>2058</v>
      </c>
      <c r="C2679" s="2" t="s">
        <v>2059</v>
      </c>
      <c r="D2679" s="8" t="s">
        <v>46</v>
      </c>
      <c r="E2679" s="9" t="s">
        <v>16</v>
      </c>
      <c r="F2679" s="33">
        <v>1.0</v>
      </c>
      <c r="G2679" s="33">
        <v>1550.0</v>
      </c>
      <c r="H2679" s="35">
        <v>46175.0</v>
      </c>
      <c r="I2679" s="2" t="s">
        <v>1183</v>
      </c>
      <c r="J2679" s="12" t="s">
        <v>2063</v>
      </c>
    </row>
    <row r="2680" ht="22.5" customHeight="1">
      <c r="A2680" s="2" t="s">
        <v>1747</v>
      </c>
      <c r="B2680" s="2" t="s">
        <v>2058</v>
      </c>
      <c r="C2680" s="2" t="s">
        <v>2059</v>
      </c>
      <c r="D2680" s="8" t="s">
        <v>46</v>
      </c>
      <c r="E2680" s="9" t="s">
        <v>16</v>
      </c>
      <c r="F2680" s="33">
        <v>1.0</v>
      </c>
      <c r="G2680" s="33">
        <v>1550.0</v>
      </c>
      <c r="H2680" s="35">
        <v>46175.0</v>
      </c>
      <c r="I2680" s="2" t="s">
        <v>1183</v>
      </c>
      <c r="J2680" s="12" t="s">
        <v>2002</v>
      </c>
    </row>
    <row r="2681" ht="22.5" customHeight="1">
      <c r="A2681" s="2" t="s">
        <v>1918</v>
      </c>
      <c r="B2681" s="2" t="s">
        <v>2058</v>
      </c>
      <c r="C2681" s="2" t="s">
        <v>2059</v>
      </c>
      <c r="D2681" s="8" t="s">
        <v>46</v>
      </c>
      <c r="E2681" s="9" t="s">
        <v>16</v>
      </c>
      <c r="F2681" s="33">
        <v>1.0</v>
      </c>
      <c r="G2681" s="33">
        <v>1550.0</v>
      </c>
      <c r="H2681" s="35">
        <v>46175.0</v>
      </c>
      <c r="I2681" s="2" t="s">
        <v>1183</v>
      </c>
      <c r="J2681" s="12" t="s">
        <v>1919</v>
      </c>
    </row>
    <row r="2682" ht="22.5" customHeight="1">
      <c r="A2682" s="2" t="s">
        <v>2064</v>
      </c>
      <c r="B2682" s="2" t="s">
        <v>2058</v>
      </c>
      <c r="C2682" s="2" t="s">
        <v>2059</v>
      </c>
      <c r="D2682" s="8" t="s">
        <v>46</v>
      </c>
      <c r="E2682" s="9" t="s">
        <v>16</v>
      </c>
      <c r="F2682" s="33">
        <v>1.0</v>
      </c>
      <c r="G2682" s="33">
        <v>1550.0</v>
      </c>
      <c r="H2682" s="35">
        <v>46175.0</v>
      </c>
      <c r="I2682" s="2" t="s">
        <v>1183</v>
      </c>
      <c r="J2682" s="12" t="s">
        <v>2065</v>
      </c>
    </row>
    <row r="2683" ht="22.5" customHeight="1">
      <c r="A2683" s="2" t="s">
        <v>103</v>
      </c>
      <c r="B2683" s="2" t="s">
        <v>2058</v>
      </c>
      <c r="C2683" s="2" t="s">
        <v>2059</v>
      </c>
      <c r="D2683" s="8" t="s">
        <v>46</v>
      </c>
      <c r="E2683" s="9" t="s">
        <v>16</v>
      </c>
      <c r="F2683" s="33">
        <v>1.0</v>
      </c>
      <c r="G2683" s="33">
        <v>1550.0</v>
      </c>
      <c r="H2683" s="35">
        <v>46175.0</v>
      </c>
      <c r="I2683" s="2" t="s">
        <v>1183</v>
      </c>
      <c r="J2683" s="12" t="s">
        <v>2066</v>
      </c>
    </row>
    <row r="2684" ht="22.5" customHeight="1">
      <c r="A2684" s="2" t="s">
        <v>2067</v>
      </c>
      <c r="B2684" s="2" t="s">
        <v>2058</v>
      </c>
      <c r="C2684" s="2" t="s">
        <v>2059</v>
      </c>
      <c r="D2684" s="8" t="s">
        <v>46</v>
      </c>
      <c r="E2684" s="9" t="s">
        <v>16</v>
      </c>
      <c r="F2684" s="33">
        <v>1.0</v>
      </c>
      <c r="G2684" s="33">
        <v>1550.0</v>
      </c>
      <c r="H2684" s="35">
        <v>46175.0</v>
      </c>
      <c r="I2684" s="2" t="s">
        <v>1183</v>
      </c>
      <c r="J2684" s="12" t="s">
        <v>2068</v>
      </c>
    </row>
    <row r="2685" ht="22.5" customHeight="1">
      <c r="A2685" s="2" t="s">
        <v>549</v>
      </c>
      <c r="B2685" s="2" t="s">
        <v>2058</v>
      </c>
      <c r="C2685" s="2" t="s">
        <v>2059</v>
      </c>
      <c r="D2685" s="8" t="s">
        <v>46</v>
      </c>
      <c r="E2685" s="9" t="s">
        <v>16</v>
      </c>
      <c r="F2685" s="33">
        <v>1.0</v>
      </c>
      <c r="G2685" s="33">
        <v>1550.0</v>
      </c>
      <c r="H2685" s="35">
        <v>46175.0</v>
      </c>
      <c r="I2685" s="2" t="s">
        <v>1183</v>
      </c>
      <c r="J2685" s="12" t="s">
        <v>2069</v>
      </c>
    </row>
    <row r="2686" ht="22.5" customHeight="1">
      <c r="A2686" s="2" t="s">
        <v>779</v>
      </c>
      <c r="B2686" s="2" t="s">
        <v>2058</v>
      </c>
      <c r="C2686" s="2" t="s">
        <v>2059</v>
      </c>
      <c r="D2686" s="8" t="s">
        <v>46</v>
      </c>
      <c r="E2686" s="9" t="s">
        <v>16</v>
      </c>
      <c r="F2686" s="33">
        <v>1.0</v>
      </c>
      <c r="G2686" s="33">
        <v>1550.0</v>
      </c>
      <c r="H2686" s="35">
        <v>46175.0</v>
      </c>
      <c r="I2686" s="2" t="s">
        <v>1183</v>
      </c>
      <c r="J2686" s="12" t="s">
        <v>2070</v>
      </c>
    </row>
    <row r="2687" ht="22.5" customHeight="1">
      <c r="A2687" s="2" t="s">
        <v>2071</v>
      </c>
      <c r="B2687" s="2" t="s">
        <v>2058</v>
      </c>
      <c r="C2687" s="2" t="s">
        <v>2059</v>
      </c>
      <c r="D2687" s="8" t="s">
        <v>46</v>
      </c>
      <c r="E2687" s="9" t="s">
        <v>16</v>
      </c>
      <c r="F2687" s="33">
        <v>1.0</v>
      </c>
      <c r="G2687" s="33">
        <v>1550.0</v>
      </c>
      <c r="H2687" s="35">
        <v>46175.0</v>
      </c>
      <c r="I2687" s="2" t="s">
        <v>1183</v>
      </c>
      <c r="J2687" s="12" t="s">
        <v>2072</v>
      </c>
    </row>
    <row r="2688" ht="22.5" customHeight="1">
      <c r="A2688" s="2" t="s">
        <v>2073</v>
      </c>
      <c r="B2688" s="2" t="s">
        <v>2058</v>
      </c>
      <c r="C2688" s="2" t="s">
        <v>2059</v>
      </c>
      <c r="D2688" s="8" t="s">
        <v>46</v>
      </c>
      <c r="E2688" s="9" t="s">
        <v>16</v>
      </c>
      <c r="F2688" s="33">
        <v>1.0</v>
      </c>
      <c r="G2688" s="33">
        <v>1550.0</v>
      </c>
      <c r="H2688" s="35">
        <v>46175.0</v>
      </c>
      <c r="I2688" s="2" t="s">
        <v>1183</v>
      </c>
      <c r="J2688" s="12" t="s">
        <v>2074</v>
      </c>
    </row>
    <row r="2689" ht="22.5" customHeight="1">
      <c r="A2689" s="2" t="s">
        <v>2075</v>
      </c>
      <c r="B2689" s="2" t="s">
        <v>2058</v>
      </c>
      <c r="C2689" s="2" t="s">
        <v>2059</v>
      </c>
      <c r="D2689" s="8" t="s">
        <v>46</v>
      </c>
      <c r="E2689" s="9" t="s">
        <v>16</v>
      </c>
      <c r="F2689" s="33">
        <v>1.0</v>
      </c>
      <c r="G2689" s="33">
        <v>1550.0</v>
      </c>
      <c r="H2689" s="35">
        <v>46175.0</v>
      </c>
      <c r="I2689" s="2" t="s">
        <v>1183</v>
      </c>
      <c r="J2689" s="12" t="s">
        <v>2076</v>
      </c>
    </row>
    <row r="2690" ht="22.5" customHeight="1">
      <c r="A2690" s="2" t="s">
        <v>2077</v>
      </c>
      <c r="B2690" s="2" t="s">
        <v>2058</v>
      </c>
      <c r="C2690" s="2" t="s">
        <v>2059</v>
      </c>
      <c r="D2690" s="8" t="s">
        <v>46</v>
      </c>
      <c r="E2690" s="9" t="s">
        <v>16</v>
      </c>
      <c r="F2690" s="33">
        <v>2.0</v>
      </c>
      <c r="G2690" s="33">
        <v>1550.0</v>
      </c>
      <c r="H2690" s="35">
        <v>46175.0</v>
      </c>
      <c r="I2690" s="2" t="s">
        <v>1183</v>
      </c>
      <c r="J2690" s="12" t="s">
        <v>2078</v>
      </c>
    </row>
    <row r="2691" ht="22.5" customHeight="1">
      <c r="A2691" s="2" t="s">
        <v>2060</v>
      </c>
      <c r="B2691" s="2" t="s">
        <v>2058</v>
      </c>
      <c r="C2691" s="2" t="s">
        <v>2059</v>
      </c>
      <c r="D2691" s="8" t="s">
        <v>46</v>
      </c>
      <c r="E2691" s="9" t="s">
        <v>16</v>
      </c>
      <c r="F2691" s="33">
        <v>1.0</v>
      </c>
      <c r="G2691" s="33">
        <v>1550.0</v>
      </c>
      <c r="H2691" s="35">
        <v>46175.0</v>
      </c>
      <c r="I2691" s="2" t="s">
        <v>1183</v>
      </c>
      <c r="J2691" s="12" t="s">
        <v>2061</v>
      </c>
    </row>
    <row r="2692" ht="22.5" customHeight="1">
      <c r="A2692" s="2" t="s">
        <v>2079</v>
      </c>
      <c r="B2692" s="2" t="s">
        <v>2058</v>
      </c>
      <c r="C2692" s="2" t="s">
        <v>2059</v>
      </c>
      <c r="D2692" s="8" t="s">
        <v>46</v>
      </c>
      <c r="E2692" s="9" t="s">
        <v>16</v>
      </c>
      <c r="F2692" s="33">
        <v>1.0</v>
      </c>
      <c r="G2692" s="33">
        <v>1550.0</v>
      </c>
      <c r="H2692" s="35">
        <v>46175.0</v>
      </c>
      <c r="I2692" s="2" t="s">
        <v>1183</v>
      </c>
      <c r="J2692" s="12" t="s">
        <v>2080</v>
      </c>
    </row>
    <row r="2693" ht="22.5" customHeight="1">
      <c r="A2693" s="2" t="s">
        <v>2081</v>
      </c>
      <c r="B2693" s="2" t="s">
        <v>2058</v>
      </c>
      <c r="C2693" s="2" t="s">
        <v>2059</v>
      </c>
      <c r="D2693" s="8" t="s">
        <v>46</v>
      </c>
      <c r="E2693" s="9" t="s">
        <v>16</v>
      </c>
      <c r="F2693" s="33">
        <v>1.0</v>
      </c>
      <c r="G2693" s="33">
        <v>1550.0</v>
      </c>
      <c r="H2693" s="35">
        <v>46175.0</v>
      </c>
      <c r="I2693" s="2" t="s">
        <v>1183</v>
      </c>
      <c r="J2693" s="12" t="s">
        <v>2082</v>
      </c>
    </row>
    <row r="2694" ht="22.5" customHeight="1">
      <c r="A2694" s="2" t="s">
        <v>2083</v>
      </c>
      <c r="B2694" s="2" t="s">
        <v>2058</v>
      </c>
      <c r="C2694" s="2" t="s">
        <v>2059</v>
      </c>
      <c r="D2694" s="8" t="s">
        <v>46</v>
      </c>
      <c r="E2694" s="9" t="s">
        <v>16</v>
      </c>
      <c r="F2694" s="33">
        <v>1.0</v>
      </c>
      <c r="G2694" s="33">
        <v>1550.0</v>
      </c>
      <c r="H2694" s="35">
        <v>46175.0</v>
      </c>
      <c r="I2694" s="2" t="s">
        <v>1183</v>
      </c>
      <c r="J2694" s="12" t="s">
        <v>2084</v>
      </c>
    </row>
    <row r="2695" ht="22.5" customHeight="1">
      <c r="A2695" s="2" t="s">
        <v>2085</v>
      </c>
      <c r="B2695" s="2" t="s">
        <v>2058</v>
      </c>
      <c r="C2695" s="2" t="s">
        <v>2059</v>
      </c>
      <c r="D2695" s="8" t="s">
        <v>46</v>
      </c>
      <c r="E2695" s="9" t="s">
        <v>16</v>
      </c>
      <c r="F2695" s="33">
        <v>1.0</v>
      </c>
      <c r="G2695" s="33">
        <v>1550.0</v>
      </c>
      <c r="H2695" s="35">
        <v>46175.0</v>
      </c>
      <c r="I2695" s="2" t="s">
        <v>1183</v>
      </c>
      <c r="J2695" s="12" t="s">
        <v>2086</v>
      </c>
    </row>
    <row r="2696" ht="22.5" customHeight="1">
      <c r="A2696" s="2" t="s">
        <v>2087</v>
      </c>
      <c r="B2696" s="2" t="s">
        <v>2058</v>
      </c>
      <c r="C2696" s="2" t="s">
        <v>2059</v>
      </c>
      <c r="D2696" s="8" t="s">
        <v>46</v>
      </c>
      <c r="E2696" s="9" t="s">
        <v>16</v>
      </c>
      <c r="F2696" s="33">
        <v>1.0</v>
      </c>
      <c r="G2696" s="33">
        <v>1550.0</v>
      </c>
      <c r="H2696" s="35">
        <v>46175.0</v>
      </c>
      <c r="I2696" s="2" t="s">
        <v>1183</v>
      </c>
      <c r="J2696" s="12" t="s">
        <v>2088</v>
      </c>
    </row>
    <row r="2697" ht="22.5" customHeight="1">
      <c r="A2697" s="2" t="s">
        <v>2089</v>
      </c>
      <c r="B2697" s="2" t="s">
        <v>2058</v>
      </c>
      <c r="C2697" s="2" t="s">
        <v>2059</v>
      </c>
      <c r="D2697" s="8" t="s">
        <v>46</v>
      </c>
      <c r="E2697" s="9" t="s">
        <v>16</v>
      </c>
      <c r="F2697" s="33">
        <v>1.0</v>
      </c>
      <c r="G2697" s="33">
        <v>1550.0</v>
      </c>
      <c r="H2697" s="35">
        <v>46175.0</v>
      </c>
      <c r="I2697" s="2" t="s">
        <v>1183</v>
      </c>
      <c r="J2697" s="12" t="s">
        <v>2090</v>
      </c>
    </row>
    <row r="2698" ht="22.5" customHeight="1">
      <c r="A2698" s="2" t="s">
        <v>2091</v>
      </c>
      <c r="B2698" s="2" t="s">
        <v>2058</v>
      </c>
      <c r="C2698" s="2" t="s">
        <v>2059</v>
      </c>
      <c r="D2698" s="8" t="s">
        <v>46</v>
      </c>
      <c r="E2698" s="9" t="s">
        <v>16</v>
      </c>
      <c r="F2698" s="33">
        <v>1.0</v>
      </c>
      <c r="G2698" s="33">
        <v>1550.0</v>
      </c>
      <c r="H2698" s="35">
        <v>46175.0</v>
      </c>
      <c r="I2698" s="2" t="s">
        <v>1183</v>
      </c>
      <c r="J2698" s="12" t="s">
        <v>2092</v>
      </c>
    </row>
    <row r="2699" ht="22.5" customHeight="1">
      <c r="A2699" s="2" t="s">
        <v>326</v>
      </c>
      <c r="B2699" s="2" t="s">
        <v>2058</v>
      </c>
      <c r="C2699" s="2" t="s">
        <v>2059</v>
      </c>
      <c r="D2699" s="8" t="s">
        <v>46</v>
      </c>
      <c r="E2699" s="9" t="s">
        <v>16</v>
      </c>
      <c r="F2699" s="33">
        <v>1.0</v>
      </c>
      <c r="G2699" s="33">
        <v>1550.0</v>
      </c>
      <c r="H2699" s="35">
        <v>46175.0</v>
      </c>
      <c r="I2699" s="2" t="s">
        <v>1183</v>
      </c>
      <c r="J2699" s="12" t="s">
        <v>1812</v>
      </c>
    </row>
    <row r="2700" ht="22.5" customHeight="1">
      <c r="A2700" s="2" t="s">
        <v>2093</v>
      </c>
      <c r="B2700" s="2" t="s">
        <v>2058</v>
      </c>
      <c r="C2700" s="2" t="s">
        <v>2059</v>
      </c>
      <c r="D2700" s="8" t="s">
        <v>46</v>
      </c>
      <c r="E2700" s="9" t="s">
        <v>16</v>
      </c>
      <c r="F2700" s="33">
        <v>1.0</v>
      </c>
      <c r="G2700" s="33">
        <v>1550.0</v>
      </c>
      <c r="H2700" s="35">
        <v>46175.0</v>
      </c>
      <c r="I2700" s="2" t="s">
        <v>1183</v>
      </c>
      <c r="J2700" s="12" t="s">
        <v>2094</v>
      </c>
    </row>
    <row r="2701" ht="22.5" customHeight="1">
      <c r="A2701" s="2" t="s">
        <v>1843</v>
      </c>
      <c r="B2701" s="2" t="s">
        <v>2058</v>
      </c>
      <c r="C2701" s="2" t="s">
        <v>2059</v>
      </c>
      <c r="D2701" s="8" t="s">
        <v>46</v>
      </c>
      <c r="E2701" s="9" t="s">
        <v>16</v>
      </c>
      <c r="F2701" s="33">
        <v>1.0</v>
      </c>
      <c r="G2701" s="33">
        <v>1550.0</v>
      </c>
      <c r="H2701" s="35">
        <v>46175.0</v>
      </c>
      <c r="I2701" s="2" t="s">
        <v>1183</v>
      </c>
      <c r="J2701" s="12" t="s">
        <v>1844</v>
      </c>
    </row>
    <row r="2702" ht="22.5" customHeight="1">
      <c r="A2702" s="2" t="s">
        <v>2095</v>
      </c>
      <c r="B2702" s="2" t="s">
        <v>2058</v>
      </c>
      <c r="C2702" s="2" t="s">
        <v>2059</v>
      </c>
      <c r="D2702" s="8" t="s">
        <v>46</v>
      </c>
      <c r="E2702" s="9" t="s">
        <v>16</v>
      </c>
      <c r="F2702" s="33">
        <v>1.0</v>
      </c>
      <c r="G2702" s="33">
        <v>1550.0</v>
      </c>
      <c r="H2702" s="35">
        <v>46175.0</v>
      </c>
      <c r="I2702" s="2" t="s">
        <v>1183</v>
      </c>
      <c r="J2702" s="12" t="s">
        <v>2096</v>
      </c>
    </row>
    <row r="2703" ht="22.5" customHeight="1">
      <c r="A2703" s="2" t="s">
        <v>2097</v>
      </c>
      <c r="B2703" s="2" t="s">
        <v>2058</v>
      </c>
      <c r="C2703" s="2" t="s">
        <v>2059</v>
      </c>
      <c r="D2703" s="8" t="s">
        <v>46</v>
      </c>
      <c r="E2703" s="9" t="s">
        <v>16</v>
      </c>
      <c r="F2703" s="33">
        <v>1.0</v>
      </c>
      <c r="G2703" s="33">
        <v>1550.0</v>
      </c>
      <c r="H2703" s="35">
        <v>46175.0</v>
      </c>
      <c r="I2703" s="2" t="s">
        <v>1183</v>
      </c>
      <c r="J2703" s="12" t="s">
        <v>2098</v>
      </c>
    </row>
    <row r="2704" ht="22.5" customHeight="1">
      <c r="A2704" s="2" t="s">
        <v>1217</v>
      </c>
      <c r="B2704" s="2" t="s">
        <v>2058</v>
      </c>
      <c r="C2704" s="2" t="s">
        <v>2059</v>
      </c>
      <c r="D2704" s="8" t="s">
        <v>46</v>
      </c>
      <c r="E2704" s="9" t="s">
        <v>16</v>
      </c>
      <c r="F2704" s="33">
        <v>1.0</v>
      </c>
      <c r="G2704" s="33">
        <v>1550.0</v>
      </c>
      <c r="H2704" s="35">
        <v>46175.0</v>
      </c>
      <c r="I2704" s="2" t="s">
        <v>1183</v>
      </c>
      <c r="J2704" s="12" t="s">
        <v>2099</v>
      </c>
    </row>
    <row r="2705" ht="22.5" customHeight="1">
      <c r="A2705" s="2" t="s">
        <v>2100</v>
      </c>
      <c r="B2705" s="2" t="s">
        <v>2058</v>
      </c>
      <c r="C2705" s="2" t="s">
        <v>2059</v>
      </c>
      <c r="D2705" s="8" t="s">
        <v>46</v>
      </c>
      <c r="E2705" s="9" t="s">
        <v>16</v>
      </c>
      <c r="F2705" s="33">
        <v>1.0</v>
      </c>
      <c r="G2705" s="33">
        <v>1550.0</v>
      </c>
      <c r="H2705" s="35">
        <v>46175.0</v>
      </c>
      <c r="I2705" s="2" t="s">
        <v>1183</v>
      </c>
      <c r="J2705" s="12" t="s">
        <v>2101</v>
      </c>
    </row>
    <row r="2706" ht="22.5" customHeight="1">
      <c r="A2706" s="2" t="s">
        <v>2102</v>
      </c>
      <c r="B2706" s="2" t="s">
        <v>2058</v>
      </c>
      <c r="C2706" s="2" t="s">
        <v>2059</v>
      </c>
      <c r="D2706" s="8" t="s">
        <v>46</v>
      </c>
      <c r="E2706" s="9" t="s">
        <v>16</v>
      </c>
      <c r="F2706" s="33">
        <v>1.0</v>
      </c>
      <c r="G2706" s="33">
        <v>1550.0</v>
      </c>
      <c r="H2706" s="35">
        <v>46175.0</v>
      </c>
      <c r="I2706" s="2" t="s">
        <v>1183</v>
      </c>
      <c r="J2706" s="12" t="s">
        <v>2103</v>
      </c>
    </row>
    <row r="2707" ht="22.5" customHeight="1">
      <c r="A2707" s="2" t="s">
        <v>2104</v>
      </c>
      <c r="B2707" s="2" t="s">
        <v>2058</v>
      </c>
      <c r="C2707" s="2" t="s">
        <v>2059</v>
      </c>
      <c r="D2707" s="8" t="s">
        <v>46</v>
      </c>
      <c r="E2707" s="9" t="s">
        <v>16</v>
      </c>
      <c r="F2707" s="33">
        <v>1.0</v>
      </c>
      <c r="G2707" s="33">
        <v>1550.0</v>
      </c>
      <c r="H2707" s="35">
        <v>46175.0</v>
      </c>
      <c r="I2707" s="2" t="s">
        <v>1183</v>
      </c>
      <c r="J2707" s="12" t="s">
        <v>2105</v>
      </c>
    </row>
    <row r="2708" ht="22.5" customHeight="1">
      <c r="A2708" s="2" t="s">
        <v>2106</v>
      </c>
      <c r="B2708" s="2" t="s">
        <v>2058</v>
      </c>
      <c r="C2708" s="2" t="s">
        <v>2059</v>
      </c>
      <c r="D2708" s="8" t="s">
        <v>46</v>
      </c>
      <c r="E2708" s="9" t="s">
        <v>16</v>
      </c>
      <c r="F2708" s="33">
        <v>1.0</v>
      </c>
      <c r="G2708" s="33">
        <v>1550.0</v>
      </c>
      <c r="H2708" s="35">
        <v>46175.0</v>
      </c>
      <c r="I2708" s="2" t="s">
        <v>1183</v>
      </c>
      <c r="J2708" s="12" t="s">
        <v>2107</v>
      </c>
    </row>
    <row r="2709" ht="22.5" customHeight="1">
      <c r="A2709" s="2" t="s">
        <v>2108</v>
      </c>
      <c r="B2709" s="2" t="s">
        <v>2058</v>
      </c>
      <c r="C2709" s="2" t="s">
        <v>2059</v>
      </c>
      <c r="D2709" s="8" t="s">
        <v>46</v>
      </c>
      <c r="E2709" s="9" t="s">
        <v>16</v>
      </c>
      <c r="F2709" s="33">
        <v>1.0</v>
      </c>
      <c r="G2709" s="33">
        <v>1550.0</v>
      </c>
      <c r="H2709" s="35">
        <v>46175.0</v>
      </c>
      <c r="I2709" s="2" t="s">
        <v>1183</v>
      </c>
      <c r="J2709" s="12" t="s">
        <v>2109</v>
      </c>
    </row>
    <row r="2710" ht="22.5" customHeight="1">
      <c r="A2710" s="2" t="s">
        <v>2041</v>
      </c>
      <c r="B2710" s="2" t="s">
        <v>2058</v>
      </c>
      <c r="C2710" s="2" t="s">
        <v>2059</v>
      </c>
      <c r="D2710" s="8" t="s">
        <v>46</v>
      </c>
      <c r="E2710" s="9" t="s">
        <v>16</v>
      </c>
      <c r="F2710" s="33">
        <v>1.0</v>
      </c>
      <c r="G2710" s="33">
        <v>1550.0</v>
      </c>
      <c r="H2710" s="35">
        <v>46175.0</v>
      </c>
      <c r="I2710" s="2" t="s">
        <v>1183</v>
      </c>
      <c r="J2710" s="12" t="s">
        <v>2042</v>
      </c>
    </row>
    <row r="2711" ht="22.5" customHeight="1">
      <c r="A2711" s="2" t="s">
        <v>1397</v>
      </c>
      <c r="B2711" s="2" t="s">
        <v>2058</v>
      </c>
      <c r="C2711" s="2" t="s">
        <v>2059</v>
      </c>
      <c r="D2711" s="8" t="s">
        <v>46</v>
      </c>
      <c r="E2711" s="9" t="s">
        <v>16</v>
      </c>
      <c r="F2711" s="33">
        <v>1.0</v>
      </c>
      <c r="G2711" s="33">
        <v>1550.0</v>
      </c>
      <c r="H2711" s="35">
        <v>46175.0</v>
      </c>
      <c r="I2711" s="2" t="s">
        <v>1183</v>
      </c>
      <c r="J2711" s="12" t="s">
        <v>1398</v>
      </c>
    </row>
    <row r="2712" ht="22.5" customHeight="1">
      <c r="A2712" s="2" t="s">
        <v>2110</v>
      </c>
      <c r="B2712" s="2" t="s">
        <v>2058</v>
      </c>
      <c r="C2712" s="2" t="s">
        <v>2059</v>
      </c>
      <c r="D2712" s="8" t="s">
        <v>46</v>
      </c>
      <c r="E2712" s="9" t="s">
        <v>16</v>
      </c>
      <c r="F2712" s="33">
        <v>1.0</v>
      </c>
      <c r="G2712" s="33">
        <v>1550.0</v>
      </c>
      <c r="H2712" s="35">
        <v>46175.0</v>
      </c>
      <c r="I2712" s="2" t="s">
        <v>1183</v>
      </c>
      <c r="J2712" s="12" t="s">
        <v>2111</v>
      </c>
    </row>
    <row r="2713" ht="22.5" customHeight="1">
      <c r="A2713" s="2" t="s">
        <v>159</v>
      </c>
      <c r="B2713" s="2" t="s">
        <v>2058</v>
      </c>
      <c r="C2713" s="2" t="s">
        <v>2059</v>
      </c>
      <c r="D2713" s="8" t="s">
        <v>46</v>
      </c>
      <c r="E2713" s="9" t="s">
        <v>16</v>
      </c>
      <c r="F2713" s="33">
        <v>1.0</v>
      </c>
      <c r="G2713" s="33">
        <v>1550.0</v>
      </c>
      <c r="H2713" s="35">
        <v>46175.0</v>
      </c>
      <c r="I2713" s="2" t="s">
        <v>1183</v>
      </c>
      <c r="J2713" s="12" t="s">
        <v>1751</v>
      </c>
    </row>
    <row r="2714" ht="22.5" customHeight="1">
      <c r="A2714" s="2" t="s">
        <v>476</v>
      </c>
      <c r="B2714" s="2" t="s">
        <v>2058</v>
      </c>
      <c r="C2714" s="2" t="s">
        <v>2059</v>
      </c>
      <c r="D2714" s="8" t="s">
        <v>46</v>
      </c>
      <c r="E2714" s="9" t="s">
        <v>16</v>
      </c>
      <c r="F2714" s="33">
        <v>1.0</v>
      </c>
      <c r="G2714" s="33">
        <v>1550.0</v>
      </c>
      <c r="H2714" s="35">
        <v>46175.0</v>
      </c>
      <c r="I2714" s="2" t="s">
        <v>1183</v>
      </c>
      <c r="J2714" s="12" t="s">
        <v>2112</v>
      </c>
    </row>
    <row r="2715" ht="22.5" customHeight="1">
      <c r="A2715" s="2" t="s">
        <v>707</v>
      </c>
      <c r="B2715" s="2" t="s">
        <v>2058</v>
      </c>
      <c r="C2715" s="2" t="s">
        <v>2059</v>
      </c>
      <c r="D2715" s="8" t="s">
        <v>46</v>
      </c>
      <c r="E2715" s="9" t="s">
        <v>16</v>
      </c>
      <c r="F2715" s="33">
        <v>1.0</v>
      </c>
      <c r="G2715" s="33">
        <v>1550.0</v>
      </c>
      <c r="H2715" s="35">
        <v>46175.0</v>
      </c>
      <c r="I2715" s="2" t="s">
        <v>1183</v>
      </c>
      <c r="J2715" s="12" t="s">
        <v>1881</v>
      </c>
    </row>
    <row r="2716" ht="22.5" customHeight="1">
      <c r="A2716" s="2" t="s">
        <v>312</v>
      </c>
      <c r="B2716" s="2" t="s">
        <v>2058</v>
      </c>
      <c r="C2716" s="2" t="s">
        <v>2059</v>
      </c>
      <c r="D2716" s="8" t="s">
        <v>46</v>
      </c>
      <c r="E2716" s="9" t="s">
        <v>16</v>
      </c>
      <c r="F2716" s="33">
        <v>1.0</v>
      </c>
      <c r="G2716" s="33">
        <v>1550.0</v>
      </c>
      <c r="H2716" s="35">
        <v>46175.0</v>
      </c>
      <c r="I2716" s="2" t="s">
        <v>1183</v>
      </c>
      <c r="J2716" s="12" t="s">
        <v>2113</v>
      </c>
    </row>
    <row r="2717" ht="22.5" customHeight="1">
      <c r="A2717" s="2" t="s">
        <v>1715</v>
      </c>
      <c r="B2717" s="2" t="s">
        <v>2058</v>
      </c>
      <c r="C2717" s="2" t="s">
        <v>2059</v>
      </c>
      <c r="D2717" s="8" t="s">
        <v>46</v>
      </c>
      <c r="E2717" s="9" t="s">
        <v>16</v>
      </c>
      <c r="F2717" s="33">
        <v>1.0</v>
      </c>
      <c r="G2717" s="33">
        <v>1550.0</v>
      </c>
      <c r="H2717" s="35">
        <v>46175.0</v>
      </c>
      <c r="I2717" s="2" t="s">
        <v>1183</v>
      </c>
      <c r="J2717" s="12" t="s">
        <v>1716</v>
      </c>
    </row>
    <row r="2718" ht="22.5" customHeight="1">
      <c r="A2718" s="2" t="s">
        <v>207</v>
      </c>
      <c r="B2718" s="2" t="s">
        <v>2058</v>
      </c>
      <c r="C2718" s="2" t="s">
        <v>2059</v>
      </c>
      <c r="D2718" s="8" t="s">
        <v>46</v>
      </c>
      <c r="E2718" s="9" t="s">
        <v>16</v>
      </c>
      <c r="F2718" s="33">
        <v>1.0</v>
      </c>
      <c r="G2718" s="33">
        <v>1550.0</v>
      </c>
      <c r="H2718" s="35">
        <v>46175.0</v>
      </c>
      <c r="I2718" s="2" t="s">
        <v>1183</v>
      </c>
      <c r="J2718" s="12" t="s">
        <v>2022</v>
      </c>
    </row>
    <row r="2719" ht="22.5" customHeight="1">
      <c r="A2719" s="2" t="s">
        <v>130</v>
      </c>
      <c r="B2719" s="2" t="s">
        <v>2058</v>
      </c>
      <c r="C2719" s="2" t="s">
        <v>2059</v>
      </c>
      <c r="D2719" s="8" t="s">
        <v>46</v>
      </c>
      <c r="E2719" s="9" t="s">
        <v>16</v>
      </c>
      <c r="F2719" s="33">
        <v>1.0</v>
      </c>
      <c r="G2719" s="33">
        <v>1550.0</v>
      </c>
      <c r="H2719" s="35">
        <v>46175.0</v>
      </c>
      <c r="I2719" s="2" t="s">
        <v>1183</v>
      </c>
      <c r="J2719" s="12" t="s">
        <v>2114</v>
      </c>
    </row>
    <row r="2720" ht="22.5" customHeight="1">
      <c r="A2720" s="2" t="s">
        <v>313</v>
      </c>
      <c r="B2720" s="2" t="s">
        <v>2058</v>
      </c>
      <c r="C2720" s="2" t="s">
        <v>2059</v>
      </c>
      <c r="D2720" s="8" t="s">
        <v>46</v>
      </c>
      <c r="E2720" s="9" t="s">
        <v>16</v>
      </c>
      <c r="F2720" s="33">
        <v>1.0</v>
      </c>
      <c r="G2720" s="33">
        <v>1550.0</v>
      </c>
      <c r="H2720" s="35">
        <v>46175.0</v>
      </c>
      <c r="I2720" s="2" t="s">
        <v>1183</v>
      </c>
      <c r="J2720" s="12" t="s">
        <v>2115</v>
      </c>
    </row>
    <row r="2721" ht="22.5" customHeight="1">
      <c r="A2721" s="2" t="s">
        <v>2116</v>
      </c>
      <c r="B2721" s="2" t="s">
        <v>2058</v>
      </c>
      <c r="C2721" s="2" t="s">
        <v>2059</v>
      </c>
      <c r="D2721" s="8" t="s">
        <v>46</v>
      </c>
      <c r="E2721" s="9" t="s">
        <v>16</v>
      </c>
      <c r="F2721" s="33">
        <v>1.0</v>
      </c>
      <c r="G2721" s="33">
        <v>1550.0</v>
      </c>
      <c r="H2721" s="35">
        <v>46175.0</v>
      </c>
      <c r="I2721" s="2" t="s">
        <v>1183</v>
      </c>
      <c r="J2721" s="12" t="s">
        <v>2117</v>
      </c>
    </row>
    <row r="2722" ht="22.5" customHeight="1">
      <c r="A2722" s="2" t="s">
        <v>2118</v>
      </c>
      <c r="B2722" s="2" t="s">
        <v>2058</v>
      </c>
      <c r="C2722" s="2" t="s">
        <v>2059</v>
      </c>
      <c r="D2722" s="8" t="s">
        <v>46</v>
      </c>
      <c r="E2722" s="9" t="s">
        <v>16</v>
      </c>
      <c r="F2722" s="33">
        <v>1.0</v>
      </c>
      <c r="G2722" s="33">
        <v>1550.0</v>
      </c>
      <c r="H2722" s="35">
        <v>46175.0</v>
      </c>
      <c r="I2722" s="2" t="s">
        <v>1183</v>
      </c>
      <c r="J2722" s="12" t="s">
        <v>2119</v>
      </c>
    </row>
    <row r="2723" ht="22.5" customHeight="1">
      <c r="A2723" s="2" t="s">
        <v>79</v>
      </c>
      <c r="B2723" s="2" t="s">
        <v>2058</v>
      </c>
      <c r="C2723" s="2" t="s">
        <v>2059</v>
      </c>
      <c r="D2723" s="8" t="s">
        <v>46</v>
      </c>
      <c r="E2723" s="9" t="s">
        <v>16</v>
      </c>
      <c r="F2723" s="33">
        <v>1.0</v>
      </c>
      <c r="G2723" s="33">
        <v>1550.0</v>
      </c>
      <c r="H2723" s="35">
        <v>46175.0</v>
      </c>
      <c r="I2723" s="2" t="s">
        <v>1183</v>
      </c>
      <c r="J2723" s="12" t="s">
        <v>2120</v>
      </c>
    </row>
    <row r="2724" ht="22.5" customHeight="1">
      <c r="A2724" s="2" t="s">
        <v>2121</v>
      </c>
      <c r="B2724" s="2" t="s">
        <v>2058</v>
      </c>
      <c r="C2724" s="2" t="s">
        <v>2059</v>
      </c>
      <c r="D2724" s="8" t="s">
        <v>46</v>
      </c>
      <c r="E2724" s="9" t="s">
        <v>16</v>
      </c>
      <c r="F2724" s="33">
        <v>1.0</v>
      </c>
      <c r="G2724" s="33">
        <v>1550.0</v>
      </c>
      <c r="H2724" s="35">
        <v>46175.0</v>
      </c>
      <c r="I2724" s="2" t="s">
        <v>1183</v>
      </c>
      <c r="J2724" s="12" t="s">
        <v>2122</v>
      </c>
    </row>
    <row r="2725" ht="22.5" customHeight="1">
      <c r="A2725" s="2" t="s">
        <v>2123</v>
      </c>
      <c r="B2725" s="2" t="s">
        <v>2058</v>
      </c>
      <c r="C2725" s="2" t="s">
        <v>2059</v>
      </c>
      <c r="D2725" s="8" t="s">
        <v>46</v>
      </c>
      <c r="E2725" s="9" t="s">
        <v>16</v>
      </c>
      <c r="F2725" s="33">
        <v>1.0</v>
      </c>
      <c r="G2725" s="33">
        <v>1550.0</v>
      </c>
      <c r="H2725" s="35">
        <v>46175.0</v>
      </c>
      <c r="I2725" s="2" t="s">
        <v>1183</v>
      </c>
      <c r="J2725" s="12" t="s">
        <v>2124</v>
      </c>
    </row>
    <row r="2726" ht="22.5" customHeight="1">
      <c r="A2726" s="2" t="s">
        <v>2125</v>
      </c>
      <c r="B2726" s="2" t="s">
        <v>2058</v>
      </c>
      <c r="C2726" s="2" t="s">
        <v>2059</v>
      </c>
      <c r="D2726" s="8" t="s">
        <v>46</v>
      </c>
      <c r="E2726" s="9" t="s">
        <v>16</v>
      </c>
      <c r="F2726" s="33">
        <v>1.0</v>
      </c>
      <c r="G2726" s="33">
        <v>1550.0</v>
      </c>
      <c r="H2726" s="35">
        <v>46175.0</v>
      </c>
      <c r="I2726" s="2" t="s">
        <v>1183</v>
      </c>
      <c r="J2726" s="12" t="s">
        <v>2126</v>
      </c>
    </row>
    <row r="2727" ht="22.5" customHeight="1">
      <c r="A2727" s="2" t="s">
        <v>2127</v>
      </c>
      <c r="B2727" s="2" t="s">
        <v>2058</v>
      </c>
      <c r="C2727" s="2" t="s">
        <v>2059</v>
      </c>
      <c r="D2727" s="8" t="s">
        <v>46</v>
      </c>
      <c r="E2727" s="9" t="s">
        <v>16</v>
      </c>
      <c r="F2727" s="33">
        <v>1.0</v>
      </c>
      <c r="G2727" s="33">
        <v>1550.0</v>
      </c>
      <c r="H2727" s="35">
        <v>46175.0</v>
      </c>
      <c r="I2727" s="2" t="s">
        <v>1183</v>
      </c>
      <c r="J2727" s="12" t="s">
        <v>2128</v>
      </c>
    </row>
    <row r="2728" ht="22.5" customHeight="1">
      <c r="A2728" s="2" t="s">
        <v>1259</v>
      </c>
      <c r="B2728" s="2" t="s">
        <v>1195</v>
      </c>
      <c r="C2728" s="2">
        <v>9031.0</v>
      </c>
      <c r="D2728" s="8" t="s">
        <v>12</v>
      </c>
      <c r="E2728" s="9" t="s">
        <v>13</v>
      </c>
      <c r="F2728" s="33">
        <v>1.0</v>
      </c>
      <c r="G2728" s="33">
        <v>1900.0</v>
      </c>
      <c r="H2728" s="35">
        <v>46175.0</v>
      </c>
      <c r="I2728" s="2" t="s">
        <v>473</v>
      </c>
      <c r="J2728" s="12" t="s">
        <v>1261</v>
      </c>
    </row>
    <row r="2729" ht="22.5" customHeight="1">
      <c r="A2729" s="2" t="s">
        <v>1707</v>
      </c>
      <c r="B2729" s="2" t="s">
        <v>440</v>
      </c>
      <c r="C2729" s="2" t="s">
        <v>1879</v>
      </c>
      <c r="D2729" s="8" t="s">
        <v>46</v>
      </c>
      <c r="E2729" s="9" t="s">
        <v>47</v>
      </c>
      <c r="F2729" s="33">
        <v>1.0</v>
      </c>
      <c r="G2729" s="33">
        <v>1200.0</v>
      </c>
      <c r="H2729" s="35">
        <v>46175.0</v>
      </c>
      <c r="I2729" s="2" t="s">
        <v>1183</v>
      </c>
      <c r="J2729" s="12" t="s">
        <v>1708</v>
      </c>
    </row>
    <row r="2730" ht="22.5" customHeight="1">
      <c r="A2730" s="2" t="s">
        <v>1253</v>
      </c>
      <c r="B2730" s="2" t="s">
        <v>762</v>
      </c>
      <c r="C2730" s="2" t="s">
        <v>763</v>
      </c>
      <c r="D2730" s="8" t="s">
        <v>46</v>
      </c>
      <c r="E2730" s="9" t="s">
        <v>2129</v>
      </c>
      <c r="F2730" s="33">
        <v>1.0</v>
      </c>
      <c r="G2730" s="33">
        <v>1850.0</v>
      </c>
      <c r="H2730" s="35">
        <v>46176.0</v>
      </c>
      <c r="I2730" s="2" t="s">
        <v>14</v>
      </c>
      <c r="J2730" s="12" t="s">
        <v>1654</v>
      </c>
    </row>
    <row r="2731" ht="22.5" customHeight="1">
      <c r="A2731" s="2" t="s">
        <v>71</v>
      </c>
      <c r="B2731" s="2" t="s">
        <v>762</v>
      </c>
      <c r="C2731" s="2" t="s">
        <v>763</v>
      </c>
      <c r="D2731" s="8" t="s">
        <v>46</v>
      </c>
      <c r="E2731" s="9" t="s">
        <v>29</v>
      </c>
      <c r="F2731" s="33">
        <v>1.0</v>
      </c>
      <c r="G2731" s="33">
        <v>1750.0</v>
      </c>
      <c r="H2731" s="35">
        <v>46176.0</v>
      </c>
      <c r="I2731" s="2" t="s">
        <v>473</v>
      </c>
      <c r="J2731" s="12" t="s">
        <v>955</v>
      </c>
    </row>
    <row r="2732" ht="22.5" customHeight="1">
      <c r="A2732" s="2" t="s">
        <v>80</v>
      </c>
      <c r="B2732" s="2" t="s">
        <v>762</v>
      </c>
      <c r="C2732" s="2" t="s">
        <v>763</v>
      </c>
      <c r="D2732" s="8" t="s">
        <v>46</v>
      </c>
      <c r="E2732" s="9" t="s">
        <v>1847</v>
      </c>
      <c r="F2732" s="33">
        <v>1.0</v>
      </c>
      <c r="G2732" s="33">
        <v>1.0</v>
      </c>
      <c r="H2732" s="35">
        <v>46176.0</v>
      </c>
      <c r="I2732" s="2" t="s">
        <v>1645</v>
      </c>
      <c r="J2732" s="12" t="s">
        <v>1237</v>
      </c>
    </row>
    <row r="2733" ht="22.5" customHeight="1">
      <c r="A2733" s="2" t="s">
        <v>1891</v>
      </c>
      <c r="B2733" s="2" t="s">
        <v>440</v>
      </c>
      <c r="C2733" s="2" t="s">
        <v>441</v>
      </c>
      <c r="D2733" s="8" t="s">
        <v>46</v>
      </c>
      <c r="E2733" s="9" t="s">
        <v>16</v>
      </c>
      <c r="F2733" s="33">
        <v>1.0</v>
      </c>
      <c r="G2733" s="33">
        <v>1200.0</v>
      </c>
      <c r="H2733" s="35">
        <v>46176.0</v>
      </c>
      <c r="I2733" s="2" t="s">
        <v>1183</v>
      </c>
      <c r="J2733" s="2"/>
    </row>
    <row r="2734" ht="22.5" customHeight="1">
      <c r="A2734" s="2" t="s">
        <v>2071</v>
      </c>
      <c r="B2734" s="2" t="s">
        <v>440</v>
      </c>
      <c r="C2734" s="2" t="s">
        <v>441</v>
      </c>
      <c r="D2734" s="8" t="s">
        <v>46</v>
      </c>
      <c r="E2734" s="9" t="s">
        <v>26</v>
      </c>
      <c r="F2734" s="33">
        <v>1.0</v>
      </c>
      <c r="G2734" s="33">
        <v>1200.0</v>
      </c>
      <c r="H2734" s="35">
        <v>46176.0</v>
      </c>
      <c r="I2734" s="2" t="s">
        <v>1183</v>
      </c>
      <c r="J2734" s="12" t="s">
        <v>2072</v>
      </c>
    </row>
    <row r="2735" ht="22.5" customHeight="1">
      <c r="A2735" s="2" t="s">
        <v>2130</v>
      </c>
      <c r="B2735" s="2" t="s">
        <v>1653</v>
      </c>
      <c r="C2735" s="2">
        <v>1653.0</v>
      </c>
      <c r="D2735" s="8" t="s">
        <v>22</v>
      </c>
      <c r="E2735" s="9" t="s">
        <v>13</v>
      </c>
      <c r="F2735" s="33">
        <v>1.0</v>
      </c>
      <c r="G2735" s="33">
        <v>2500.0</v>
      </c>
      <c r="H2735" s="35">
        <v>46176.0</v>
      </c>
      <c r="I2735" s="2" t="s">
        <v>473</v>
      </c>
      <c r="J2735" s="12" t="s">
        <v>2131</v>
      </c>
    </row>
    <row r="2736" ht="22.5" customHeight="1">
      <c r="A2736" s="2" t="s">
        <v>399</v>
      </c>
      <c r="B2736" s="2" t="s">
        <v>755</v>
      </c>
      <c r="C2736" s="2">
        <v>8558.0</v>
      </c>
      <c r="D2736" s="8" t="s">
        <v>12</v>
      </c>
      <c r="E2736" s="9" t="s">
        <v>13</v>
      </c>
      <c r="F2736" s="33">
        <v>1.0</v>
      </c>
      <c r="G2736" s="33">
        <v>1390.0</v>
      </c>
      <c r="H2736" s="35">
        <v>46176.0</v>
      </c>
      <c r="I2736" s="2" t="s">
        <v>473</v>
      </c>
      <c r="J2736" s="2"/>
    </row>
    <row r="2737" ht="22.5" customHeight="1">
      <c r="A2737" s="2" t="s">
        <v>2132</v>
      </c>
      <c r="B2737" s="2" t="s">
        <v>196</v>
      </c>
      <c r="C2737" s="2">
        <v>8876.0</v>
      </c>
      <c r="D2737" s="8" t="s">
        <v>12</v>
      </c>
      <c r="E2737" s="9" t="s">
        <v>18</v>
      </c>
      <c r="F2737" s="33">
        <v>1.0</v>
      </c>
      <c r="G2737" s="33">
        <v>990.0</v>
      </c>
      <c r="H2737" s="35">
        <v>46176.0</v>
      </c>
      <c r="I2737" s="2" t="s">
        <v>14</v>
      </c>
      <c r="J2737" s="2"/>
    </row>
    <row r="2738" ht="22.5" customHeight="1">
      <c r="A2738" s="2" t="s">
        <v>2132</v>
      </c>
      <c r="B2738" s="2" t="s">
        <v>234</v>
      </c>
      <c r="C2738" s="2">
        <v>8740.0</v>
      </c>
      <c r="D2738" s="8" t="s">
        <v>12</v>
      </c>
      <c r="E2738" s="9" t="s">
        <v>47</v>
      </c>
      <c r="F2738" s="33">
        <v>1.0</v>
      </c>
      <c r="G2738" s="33">
        <v>1600.0</v>
      </c>
      <c r="H2738" s="35">
        <v>46176.0</v>
      </c>
      <c r="I2738" s="2" t="s">
        <v>14</v>
      </c>
      <c r="J2738" s="2"/>
    </row>
    <row r="2739" ht="22.5" customHeight="1">
      <c r="A2739" s="2" t="s">
        <v>2132</v>
      </c>
      <c r="B2739" s="2" t="s">
        <v>268</v>
      </c>
      <c r="C2739" s="2" t="s">
        <v>269</v>
      </c>
      <c r="D2739" s="8">
        <v>37.0</v>
      </c>
      <c r="E2739" s="9" t="s">
        <v>18</v>
      </c>
      <c r="F2739" s="33">
        <v>1.0</v>
      </c>
      <c r="G2739" s="33">
        <v>1990.0</v>
      </c>
      <c r="H2739" s="35">
        <v>46176.0</v>
      </c>
      <c r="I2739" s="2" t="s">
        <v>14</v>
      </c>
      <c r="J2739" s="2"/>
    </row>
    <row r="2740" ht="22.5" customHeight="1">
      <c r="A2740" s="2" t="s">
        <v>2132</v>
      </c>
      <c r="B2740" s="2" t="s">
        <v>1212</v>
      </c>
      <c r="C2740" s="2">
        <v>92212.0</v>
      </c>
      <c r="D2740" s="8" t="s">
        <v>46</v>
      </c>
      <c r="E2740" s="9" t="s">
        <v>23</v>
      </c>
      <c r="F2740" s="33">
        <v>1.0</v>
      </c>
      <c r="G2740" s="33">
        <v>1700.0</v>
      </c>
      <c r="H2740" s="35">
        <v>46176.0</v>
      </c>
      <c r="I2740" s="2" t="s">
        <v>1645</v>
      </c>
      <c r="J2740" s="2"/>
    </row>
    <row r="2741" ht="22.5" customHeight="1">
      <c r="A2741" s="2" t="s">
        <v>1151</v>
      </c>
      <c r="B2741" s="2" t="s">
        <v>762</v>
      </c>
      <c r="C2741" s="2" t="s">
        <v>763</v>
      </c>
      <c r="D2741" s="8" t="s">
        <v>46</v>
      </c>
      <c r="E2741" s="9" t="s">
        <v>1152</v>
      </c>
      <c r="F2741" s="33">
        <v>1.0</v>
      </c>
      <c r="G2741" s="33">
        <v>1850.0</v>
      </c>
      <c r="H2741" s="35">
        <v>46176.0</v>
      </c>
      <c r="I2741" s="2" t="s">
        <v>14</v>
      </c>
      <c r="J2741" s="12" t="s">
        <v>1153</v>
      </c>
    </row>
    <row r="2742" ht="22.5" customHeight="1">
      <c r="A2742" s="2" t="s">
        <v>2133</v>
      </c>
      <c r="B2742" s="2" t="s">
        <v>762</v>
      </c>
      <c r="C2742" s="2" t="s">
        <v>763</v>
      </c>
      <c r="D2742" s="8" t="s">
        <v>46</v>
      </c>
      <c r="E2742" s="9" t="s">
        <v>1115</v>
      </c>
      <c r="F2742" s="33">
        <v>1.0</v>
      </c>
      <c r="G2742" s="33">
        <v>1990.0</v>
      </c>
      <c r="H2742" s="35">
        <v>46176.0</v>
      </c>
      <c r="I2742" s="2" t="s">
        <v>14</v>
      </c>
      <c r="J2742" s="2"/>
    </row>
    <row r="2743" ht="22.5" customHeight="1">
      <c r="A2743" s="2" t="s">
        <v>1162</v>
      </c>
      <c r="B2743" s="2" t="s">
        <v>762</v>
      </c>
      <c r="C2743" s="2" t="s">
        <v>763</v>
      </c>
      <c r="D2743" s="8" t="s">
        <v>46</v>
      </c>
      <c r="E2743" s="9" t="s">
        <v>1163</v>
      </c>
      <c r="F2743" s="33">
        <v>1.0</v>
      </c>
      <c r="G2743" s="33">
        <v>1.0</v>
      </c>
      <c r="H2743" s="35">
        <v>46176.0</v>
      </c>
      <c r="I2743" s="2" t="s">
        <v>14</v>
      </c>
      <c r="J2743" s="2"/>
    </row>
    <row r="2744" ht="22.5" customHeight="1">
      <c r="A2744" s="2" t="s">
        <v>280</v>
      </c>
      <c r="B2744" s="2" t="s">
        <v>346</v>
      </c>
      <c r="C2744" s="2">
        <v>8436.0</v>
      </c>
      <c r="D2744" s="8" t="s">
        <v>22</v>
      </c>
      <c r="E2744" s="9" t="s">
        <v>13</v>
      </c>
      <c r="F2744" s="33">
        <v>1.0</v>
      </c>
      <c r="G2744" s="33">
        <v>2800.0</v>
      </c>
      <c r="H2744" s="35">
        <v>46176.0</v>
      </c>
      <c r="I2744" s="2" t="s">
        <v>14</v>
      </c>
      <c r="J2744" s="2"/>
    </row>
    <row r="2745" ht="22.5" customHeight="1">
      <c r="A2745" s="2" t="s">
        <v>280</v>
      </c>
      <c r="B2745" s="2" t="s">
        <v>958</v>
      </c>
      <c r="C2745" s="2" t="s">
        <v>959</v>
      </c>
      <c r="D2745" s="8" t="s">
        <v>22</v>
      </c>
      <c r="E2745" s="9" t="s">
        <v>18</v>
      </c>
      <c r="F2745" s="33">
        <v>1.0</v>
      </c>
      <c r="G2745" s="33">
        <v>1800.0</v>
      </c>
      <c r="H2745" s="35">
        <v>46176.0</v>
      </c>
      <c r="I2745" s="2" t="s">
        <v>14</v>
      </c>
      <c r="J2745" s="2"/>
    </row>
    <row r="2746" ht="22.5" customHeight="1">
      <c r="A2746" s="2" t="s">
        <v>772</v>
      </c>
      <c r="B2746" s="2" t="s">
        <v>196</v>
      </c>
      <c r="C2746" s="2">
        <v>8876.0</v>
      </c>
      <c r="D2746" s="8" t="s">
        <v>22</v>
      </c>
      <c r="E2746" s="9" t="s">
        <v>13</v>
      </c>
      <c r="F2746" s="33">
        <v>1.0</v>
      </c>
      <c r="G2746" s="33">
        <v>990.0</v>
      </c>
      <c r="H2746" s="35">
        <v>46176.0</v>
      </c>
      <c r="I2746" s="2" t="s">
        <v>14</v>
      </c>
      <c r="J2746" s="2"/>
    </row>
    <row r="2747" ht="22.5" customHeight="1">
      <c r="A2747" s="2" t="s">
        <v>772</v>
      </c>
      <c r="B2747" s="2" t="s">
        <v>196</v>
      </c>
      <c r="C2747" s="2">
        <v>8876.0</v>
      </c>
      <c r="D2747" s="8" t="s">
        <v>22</v>
      </c>
      <c r="E2747" s="9" t="s">
        <v>16</v>
      </c>
      <c r="F2747" s="33">
        <v>1.0</v>
      </c>
      <c r="G2747" s="33">
        <v>990.0</v>
      </c>
      <c r="H2747" s="35">
        <v>46176.0</v>
      </c>
      <c r="I2747" s="2" t="s">
        <v>14</v>
      </c>
      <c r="J2747" s="2"/>
    </row>
    <row r="2748" ht="22.5" customHeight="1">
      <c r="A2748" s="2" t="s">
        <v>1786</v>
      </c>
      <c r="B2748" s="2" t="s">
        <v>961</v>
      </c>
      <c r="C2748" s="2">
        <v>6612.0</v>
      </c>
      <c r="D2748" s="8" t="s">
        <v>46</v>
      </c>
      <c r="E2748" s="9">
        <v>9.0</v>
      </c>
      <c r="F2748" s="33">
        <v>1.0</v>
      </c>
      <c r="G2748" s="33">
        <v>850.0</v>
      </c>
      <c r="H2748" s="35">
        <v>46176.0</v>
      </c>
      <c r="I2748" s="2" t="s">
        <v>14</v>
      </c>
      <c r="J2748" s="12" t="s">
        <v>1787</v>
      </c>
    </row>
    <row r="2749" ht="22.5" customHeight="1">
      <c r="A2749" s="2" t="s">
        <v>1786</v>
      </c>
      <c r="B2749" s="2" t="s">
        <v>961</v>
      </c>
      <c r="C2749" s="2">
        <v>6612.0</v>
      </c>
      <c r="D2749" s="8" t="s">
        <v>46</v>
      </c>
      <c r="E2749" s="9">
        <v>4.0</v>
      </c>
      <c r="F2749" s="33">
        <v>1.0</v>
      </c>
      <c r="G2749" s="33">
        <v>850.0</v>
      </c>
      <c r="H2749" s="35">
        <v>46176.0</v>
      </c>
      <c r="I2749" s="2" t="s">
        <v>24</v>
      </c>
      <c r="J2749" s="12" t="s">
        <v>1787</v>
      </c>
    </row>
    <row r="2750" ht="22.5" customHeight="1">
      <c r="A2750" s="2" t="s">
        <v>1786</v>
      </c>
      <c r="B2750" s="2" t="s">
        <v>961</v>
      </c>
      <c r="C2750" s="2">
        <v>6612.0</v>
      </c>
      <c r="D2750" s="8" t="s">
        <v>46</v>
      </c>
      <c r="E2750" s="9">
        <v>5.0</v>
      </c>
      <c r="F2750" s="33">
        <v>1.0</v>
      </c>
      <c r="G2750" s="33">
        <v>850.0</v>
      </c>
      <c r="H2750" s="35">
        <v>46176.0</v>
      </c>
      <c r="I2750" s="2" t="s">
        <v>14</v>
      </c>
      <c r="J2750" s="12" t="s">
        <v>1787</v>
      </c>
    </row>
    <row r="2751" ht="22.5" customHeight="1">
      <c r="A2751" s="2" t="s">
        <v>190</v>
      </c>
      <c r="B2751" s="2" t="s">
        <v>755</v>
      </c>
      <c r="C2751" s="2">
        <v>8558.0</v>
      </c>
      <c r="D2751" s="8" t="s">
        <v>22</v>
      </c>
      <c r="E2751" s="9" t="s">
        <v>16</v>
      </c>
      <c r="F2751" s="33">
        <v>1.0</v>
      </c>
      <c r="G2751" s="33">
        <v>1390.0</v>
      </c>
      <c r="H2751" s="35">
        <v>46176.0</v>
      </c>
      <c r="I2751" s="2" t="s">
        <v>14</v>
      </c>
      <c r="J2751" s="12" t="s">
        <v>2134</v>
      </c>
    </row>
    <row r="2752" ht="22.5" customHeight="1">
      <c r="A2752" s="2" t="s">
        <v>190</v>
      </c>
      <c r="B2752" s="2" t="s">
        <v>1653</v>
      </c>
      <c r="C2752" s="2">
        <v>1653.0</v>
      </c>
      <c r="D2752" s="8" t="s">
        <v>12</v>
      </c>
      <c r="E2752" s="9" t="s">
        <v>13</v>
      </c>
      <c r="F2752" s="33">
        <v>1.0</v>
      </c>
      <c r="G2752" s="33">
        <v>2500.0</v>
      </c>
      <c r="H2752" s="35">
        <v>46176.0</v>
      </c>
      <c r="I2752" s="2" t="s">
        <v>24</v>
      </c>
      <c r="J2752" s="12" t="s">
        <v>2134</v>
      </c>
    </row>
    <row r="2753" ht="22.5" customHeight="1">
      <c r="A2753" s="2" t="s">
        <v>88</v>
      </c>
      <c r="B2753" s="2" t="s">
        <v>97</v>
      </c>
      <c r="C2753" s="2">
        <v>8748.0</v>
      </c>
      <c r="D2753" s="8" t="s">
        <v>22</v>
      </c>
      <c r="E2753" s="9" t="s">
        <v>58</v>
      </c>
      <c r="F2753" s="33">
        <v>1.0</v>
      </c>
      <c r="G2753" s="33">
        <v>1800.0</v>
      </c>
      <c r="H2753" s="35">
        <v>46176.0</v>
      </c>
      <c r="I2753" s="2" t="s">
        <v>14</v>
      </c>
      <c r="J2753" s="2"/>
    </row>
    <row r="2754" ht="22.5" customHeight="1">
      <c r="A2754" s="2" t="s">
        <v>1786</v>
      </c>
      <c r="B2754" s="2" t="s">
        <v>1619</v>
      </c>
      <c r="C2754" s="2" t="s">
        <v>1620</v>
      </c>
      <c r="D2754" s="8" t="s">
        <v>22</v>
      </c>
      <c r="E2754" s="9" t="s">
        <v>47</v>
      </c>
      <c r="F2754" s="33">
        <v>1.0</v>
      </c>
      <c r="G2754" s="33">
        <v>1650.0</v>
      </c>
      <c r="H2754" s="35">
        <v>46176.0</v>
      </c>
      <c r="I2754" s="2" t="s">
        <v>14</v>
      </c>
      <c r="J2754" s="12" t="s">
        <v>1787</v>
      </c>
    </row>
    <row r="2755" ht="22.5" customHeight="1">
      <c r="A2755" s="2" t="s">
        <v>2135</v>
      </c>
      <c r="B2755" s="2" t="s">
        <v>196</v>
      </c>
      <c r="C2755" s="2">
        <v>8876.0</v>
      </c>
      <c r="D2755" s="8" t="s">
        <v>22</v>
      </c>
      <c r="E2755" s="9" t="s">
        <v>13</v>
      </c>
      <c r="F2755" s="33">
        <v>1.0</v>
      </c>
      <c r="G2755" s="33">
        <v>990.0</v>
      </c>
      <c r="H2755" s="35">
        <v>46176.0</v>
      </c>
      <c r="I2755" s="2" t="s">
        <v>14</v>
      </c>
      <c r="J2755" s="12" t="s">
        <v>2136</v>
      </c>
    </row>
    <row r="2756" ht="22.5" customHeight="1">
      <c r="A2756" s="2" t="s">
        <v>2135</v>
      </c>
      <c r="B2756" s="2" t="s">
        <v>196</v>
      </c>
      <c r="C2756" s="2">
        <v>8876.0</v>
      </c>
      <c r="D2756" s="8" t="s">
        <v>22</v>
      </c>
      <c r="E2756" s="9" t="s">
        <v>18</v>
      </c>
      <c r="F2756" s="33">
        <v>1.0</v>
      </c>
      <c r="G2756" s="33">
        <v>990.0</v>
      </c>
      <c r="H2756" s="35">
        <v>46176.0</v>
      </c>
      <c r="I2756" s="2" t="s">
        <v>14</v>
      </c>
      <c r="J2756" s="12" t="s">
        <v>2136</v>
      </c>
    </row>
    <row r="2757" ht="22.5" customHeight="1">
      <c r="A2757" s="2" t="s">
        <v>2137</v>
      </c>
      <c r="B2757" s="2" t="s">
        <v>2058</v>
      </c>
      <c r="C2757" s="2" t="s">
        <v>2059</v>
      </c>
      <c r="D2757" s="8" t="s">
        <v>46</v>
      </c>
      <c r="E2757" s="9" t="s">
        <v>16</v>
      </c>
      <c r="F2757" s="33">
        <v>2.0</v>
      </c>
      <c r="G2757" s="33">
        <v>1550.0</v>
      </c>
      <c r="H2757" s="35">
        <v>46176.0</v>
      </c>
      <c r="I2757" s="2" t="s">
        <v>1183</v>
      </c>
      <c r="J2757" s="12" t="s">
        <v>2138</v>
      </c>
    </row>
    <row r="2758" ht="22.5" customHeight="1">
      <c r="A2758" s="2" t="s">
        <v>2139</v>
      </c>
      <c r="B2758" s="2" t="s">
        <v>2058</v>
      </c>
      <c r="C2758" s="2" t="s">
        <v>2059</v>
      </c>
      <c r="D2758" s="8" t="s">
        <v>46</v>
      </c>
      <c r="E2758" s="9" t="s">
        <v>16</v>
      </c>
      <c r="F2758" s="33">
        <v>1.0</v>
      </c>
      <c r="G2758" s="33">
        <v>1550.0</v>
      </c>
      <c r="H2758" s="35">
        <v>46176.0</v>
      </c>
      <c r="I2758" s="2" t="s">
        <v>1183</v>
      </c>
      <c r="J2758" s="12" t="s">
        <v>2140</v>
      </c>
    </row>
    <row r="2759" ht="22.5" customHeight="1">
      <c r="A2759" s="2" t="s">
        <v>2141</v>
      </c>
      <c r="B2759" s="2" t="s">
        <v>2058</v>
      </c>
      <c r="C2759" s="2" t="s">
        <v>2059</v>
      </c>
      <c r="D2759" s="8" t="s">
        <v>46</v>
      </c>
      <c r="E2759" s="9" t="s">
        <v>16</v>
      </c>
      <c r="F2759" s="33">
        <v>2.0</v>
      </c>
      <c r="G2759" s="33">
        <v>1550.0</v>
      </c>
      <c r="H2759" s="35">
        <v>46176.0</v>
      </c>
      <c r="I2759" s="2" t="s">
        <v>1183</v>
      </c>
      <c r="J2759" s="12" t="s">
        <v>2142</v>
      </c>
    </row>
    <row r="2760" ht="22.5" customHeight="1">
      <c r="A2760" s="2" t="s">
        <v>2143</v>
      </c>
      <c r="B2760" s="2" t="s">
        <v>2058</v>
      </c>
      <c r="C2760" s="2" t="s">
        <v>2059</v>
      </c>
      <c r="D2760" s="8" t="s">
        <v>46</v>
      </c>
      <c r="E2760" s="9" t="s">
        <v>16</v>
      </c>
      <c r="F2760" s="33">
        <v>1.0</v>
      </c>
      <c r="G2760" s="33">
        <v>1550.0</v>
      </c>
      <c r="H2760" s="35">
        <v>46176.0</v>
      </c>
      <c r="I2760" s="2" t="s">
        <v>1183</v>
      </c>
      <c r="J2760" s="12" t="s">
        <v>2144</v>
      </c>
    </row>
    <row r="2761" ht="22.5" customHeight="1">
      <c r="A2761" s="2" t="s">
        <v>2145</v>
      </c>
      <c r="B2761" s="2" t="s">
        <v>2058</v>
      </c>
      <c r="C2761" s="2" t="s">
        <v>2059</v>
      </c>
      <c r="D2761" s="8" t="s">
        <v>46</v>
      </c>
      <c r="E2761" s="9" t="s">
        <v>16</v>
      </c>
      <c r="F2761" s="33">
        <v>1.0</v>
      </c>
      <c r="G2761" s="33">
        <v>1550.0</v>
      </c>
      <c r="H2761" s="35">
        <v>46176.0</v>
      </c>
      <c r="I2761" s="2" t="s">
        <v>1183</v>
      </c>
      <c r="J2761" s="12" t="s">
        <v>2146</v>
      </c>
    </row>
    <row r="2762" ht="22.5" customHeight="1">
      <c r="A2762" s="2" t="s">
        <v>2147</v>
      </c>
      <c r="B2762" s="2" t="s">
        <v>2058</v>
      </c>
      <c r="C2762" s="2" t="s">
        <v>2059</v>
      </c>
      <c r="D2762" s="8" t="s">
        <v>46</v>
      </c>
      <c r="E2762" s="9" t="s">
        <v>16</v>
      </c>
      <c r="F2762" s="33">
        <v>1.0</v>
      </c>
      <c r="G2762" s="33">
        <v>1550.0</v>
      </c>
      <c r="H2762" s="35">
        <v>46176.0</v>
      </c>
      <c r="I2762" s="2" t="s">
        <v>1183</v>
      </c>
      <c r="J2762" s="12" t="s">
        <v>2148</v>
      </c>
    </row>
    <row r="2763" ht="22.5" customHeight="1">
      <c r="A2763" s="2" t="s">
        <v>2149</v>
      </c>
      <c r="B2763" s="2" t="s">
        <v>2058</v>
      </c>
      <c r="C2763" s="2" t="s">
        <v>2059</v>
      </c>
      <c r="D2763" s="8" t="s">
        <v>46</v>
      </c>
      <c r="E2763" s="9" t="s">
        <v>16</v>
      </c>
      <c r="F2763" s="33">
        <v>1.0</v>
      </c>
      <c r="G2763" s="33">
        <v>1550.0</v>
      </c>
      <c r="H2763" s="35">
        <v>46176.0</v>
      </c>
      <c r="I2763" s="2" t="s">
        <v>1183</v>
      </c>
      <c r="J2763" s="12" t="s">
        <v>2150</v>
      </c>
    </row>
    <row r="2764" ht="22.5" customHeight="1">
      <c r="A2764" s="2" t="s">
        <v>2151</v>
      </c>
      <c r="B2764" s="2" t="s">
        <v>2058</v>
      </c>
      <c r="C2764" s="2" t="s">
        <v>2059</v>
      </c>
      <c r="D2764" s="8" t="s">
        <v>46</v>
      </c>
      <c r="E2764" s="9" t="s">
        <v>16</v>
      </c>
      <c r="F2764" s="33">
        <v>1.0</v>
      </c>
      <c r="G2764" s="33">
        <v>1550.0</v>
      </c>
      <c r="H2764" s="35">
        <v>46176.0</v>
      </c>
      <c r="I2764" s="2" t="s">
        <v>1183</v>
      </c>
      <c r="J2764" s="12" t="s">
        <v>2152</v>
      </c>
    </row>
    <row r="2765" ht="22.5" customHeight="1">
      <c r="A2765" s="2" t="s">
        <v>2153</v>
      </c>
      <c r="B2765" s="2" t="s">
        <v>2058</v>
      </c>
      <c r="C2765" s="2" t="s">
        <v>2059</v>
      </c>
      <c r="D2765" s="8" t="s">
        <v>46</v>
      </c>
      <c r="E2765" s="9" t="s">
        <v>16</v>
      </c>
      <c r="F2765" s="33">
        <v>1.0</v>
      </c>
      <c r="G2765" s="33">
        <v>1550.0</v>
      </c>
      <c r="H2765" s="35">
        <v>46176.0</v>
      </c>
      <c r="I2765" s="2" t="s">
        <v>1183</v>
      </c>
      <c r="J2765" s="12" t="s">
        <v>2154</v>
      </c>
    </row>
    <row r="2766" ht="22.5" customHeight="1">
      <c r="A2766" s="2" t="s">
        <v>2155</v>
      </c>
      <c r="B2766" s="2" t="s">
        <v>2058</v>
      </c>
      <c r="C2766" s="2" t="s">
        <v>2059</v>
      </c>
      <c r="D2766" s="8" t="s">
        <v>46</v>
      </c>
      <c r="E2766" s="9" t="s">
        <v>16</v>
      </c>
      <c r="F2766" s="33">
        <v>1.0</v>
      </c>
      <c r="G2766" s="33">
        <v>1550.0</v>
      </c>
      <c r="H2766" s="35">
        <v>46176.0</v>
      </c>
      <c r="I2766" s="2" t="s">
        <v>1183</v>
      </c>
      <c r="J2766" s="12" t="s">
        <v>2156</v>
      </c>
    </row>
    <row r="2767" ht="22.5" customHeight="1">
      <c r="A2767" s="2" t="s">
        <v>2157</v>
      </c>
      <c r="B2767" s="2" t="s">
        <v>2058</v>
      </c>
      <c r="C2767" s="2" t="s">
        <v>2059</v>
      </c>
      <c r="D2767" s="8" t="s">
        <v>46</v>
      </c>
      <c r="E2767" s="9" t="s">
        <v>16</v>
      </c>
      <c r="F2767" s="33">
        <v>1.0</v>
      </c>
      <c r="G2767" s="33">
        <v>1550.0</v>
      </c>
      <c r="H2767" s="35">
        <v>46176.0</v>
      </c>
      <c r="I2767" s="2" t="s">
        <v>1183</v>
      </c>
      <c r="J2767" s="12" t="s">
        <v>2158</v>
      </c>
    </row>
    <row r="2768" ht="22.5" customHeight="1">
      <c r="A2768" s="2" t="s">
        <v>2159</v>
      </c>
      <c r="B2768" s="2" t="s">
        <v>2058</v>
      </c>
      <c r="C2768" s="2" t="s">
        <v>2059</v>
      </c>
      <c r="D2768" s="8" t="s">
        <v>46</v>
      </c>
      <c r="E2768" s="9" t="s">
        <v>16</v>
      </c>
      <c r="F2768" s="33">
        <v>1.0</v>
      </c>
      <c r="G2768" s="33">
        <v>1550.0</v>
      </c>
      <c r="H2768" s="35">
        <v>46176.0</v>
      </c>
      <c r="I2768" s="2" t="s">
        <v>1183</v>
      </c>
      <c r="J2768" s="12" t="s">
        <v>2160</v>
      </c>
    </row>
    <row r="2769" ht="22.5" customHeight="1">
      <c r="A2769" s="2" t="s">
        <v>2161</v>
      </c>
      <c r="B2769" s="2" t="s">
        <v>2058</v>
      </c>
      <c r="C2769" s="2" t="s">
        <v>2059</v>
      </c>
      <c r="D2769" s="8" t="s">
        <v>46</v>
      </c>
      <c r="E2769" s="9" t="s">
        <v>16</v>
      </c>
      <c r="F2769" s="33">
        <v>1.0</v>
      </c>
      <c r="G2769" s="33">
        <v>1550.0</v>
      </c>
      <c r="H2769" s="35">
        <v>46176.0</v>
      </c>
      <c r="I2769" s="2" t="s">
        <v>1183</v>
      </c>
      <c r="J2769" s="12" t="s">
        <v>2162</v>
      </c>
    </row>
    <row r="2770" ht="22.5" customHeight="1">
      <c r="A2770" s="2" t="s">
        <v>2163</v>
      </c>
      <c r="B2770" s="2" t="s">
        <v>2058</v>
      </c>
      <c r="C2770" s="2" t="s">
        <v>2059</v>
      </c>
      <c r="D2770" s="8" t="s">
        <v>46</v>
      </c>
      <c r="E2770" s="9" t="s">
        <v>16</v>
      </c>
      <c r="F2770" s="33">
        <v>1.0</v>
      </c>
      <c r="G2770" s="33">
        <v>1550.0</v>
      </c>
      <c r="H2770" s="35">
        <v>46176.0</v>
      </c>
      <c r="I2770" s="2" t="s">
        <v>1183</v>
      </c>
      <c r="J2770" s="12" t="s">
        <v>2164</v>
      </c>
    </row>
    <row r="2771" ht="22.5" customHeight="1">
      <c r="A2771" s="2" t="s">
        <v>2165</v>
      </c>
      <c r="B2771" s="2" t="s">
        <v>2058</v>
      </c>
      <c r="C2771" s="2" t="s">
        <v>2059</v>
      </c>
      <c r="D2771" s="8" t="s">
        <v>46</v>
      </c>
      <c r="E2771" s="9" t="s">
        <v>16</v>
      </c>
      <c r="F2771" s="33">
        <v>1.0</v>
      </c>
      <c r="G2771" s="33">
        <v>1550.0</v>
      </c>
      <c r="H2771" s="35">
        <v>46176.0</v>
      </c>
      <c r="I2771" s="2" t="s">
        <v>1183</v>
      </c>
      <c r="J2771" s="12" t="s">
        <v>2166</v>
      </c>
    </row>
    <row r="2772" ht="22.5" customHeight="1">
      <c r="A2772" s="2" t="s">
        <v>2167</v>
      </c>
      <c r="B2772" s="2" t="s">
        <v>2058</v>
      </c>
      <c r="C2772" s="2" t="s">
        <v>2059</v>
      </c>
      <c r="D2772" s="8" t="s">
        <v>46</v>
      </c>
      <c r="E2772" s="9" t="s">
        <v>16</v>
      </c>
      <c r="F2772" s="33">
        <v>1.0</v>
      </c>
      <c r="G2772" s="33">
        <v>1550.0</v>
      </c>
      <c r="H2772" s="35">
        <v>46176.0</v>
      </c>
      <c r="I2772" s="2" t="s">
        <v>1183</v>
      </c>
      <c r="J2772" s="12" t="s">
        <v>2168</v>
      </c>
    </row>
    <row r="2773" ht="22.5" customHeight="1">
      <c r="A2773" s="2" t="s">
        <v>1277</v>
      </c>
      <c r="B2773" s="2" t="s">
        <v>2058</v>
      </c>
      <c r="C2773" s="2" t="s">
        <v>2059</v>
      </c>
      <c r="D2773" s="8" t="s">
        <v>46</v>
      </c>
      <c r="E2773" s="9" t="s">
        <v>16</v>
      </c>
      <c r="F2773" s="33">
        <v>1.0</v>
      </c>
      <c r="G2773" s="33">
        <v>1550.0</v>
      </c>
      <c r="H2773" s="35">
        <v>46176.0</v>
      </c>
      <c r="I2773" s="2" t="s">
        <v>1183</v>
      </c>
      <c r="J2773" s="12" t="s">
        <v>2169</v>
      </c>
    </row>
    <row r="2774" ht="22.5" customHeight="1">
      <c r="A2774" s="2" t="s">
        <v>2170</v>
      </c>
      <c r="B2774" s="2" t="s">
        <v>2058</v>
      </c>
      <c r="C2774" s="2" t="s">
        <v>2059</v>
      </c>
      <c r="D2774" s="8" t="s">
        <v>46</v>
      </c>
      <c r="E2774" s="9" t="s">
        <v>16</v>
      </c>
      <c r="F2774" s="33">
        <v>1.0</v>
      </c>
      <c r="G2774" s="33">
        <v>1550.0</v>
      </c>
      <c r="H2774" s="35">
        <v>46176.0</v>
      </c>
      <c r="I2774" s="2" t="s">
        <v>1183</v>
      </c>
      <c r="J2774" s="12" t="s">
        <v>2171</v>
      </c>
    </row>
    <row r="2775" ht="22.5" customHeight="1">
      <c r="A2775" s="2" t="s">
        <v>2172</v>
      </c>
      <c r="B2775" s="2" t="s">
        <v>2058</v>
      </c>
      <c r="C2775" s="2" t="s">
        <v>2059</v>
      </c>
      <c r="D2775" s="8" t="s">
        <v>46</v>
      </c>
      <c r="E2775" s="9" t="s">
        <v>16</v>
      </c>
      <c r="F2775" s="33">
        <v>1.0</v>
      </c>
      <c r="G2775" s="33">
        <v>1550.0</v>
      </c>
      <c r="H2775" s="35">
        <v>46176.0</v>
      </c>
      <c r="I2775" s="2" t="s">
        <v>1183</v>
      </c>
      <c r="J2775" s="12" t="s">
        <v>2173</v>
      </c>
    </row>
    <row r="2776" ht="22.5" customHeight="1">
      <c r="A2776" s="2" t="s">
        <v>2174</v>
      </c>
      <c r="B2776" s="2" t="s">
        <v>2058</v>
      </c>
      <c r="C2776" s="2" t="s">
        <v>2059</v>
      </c>
      <c r="D2776" s="8" t="s">
        <v>46</v>
      </c>
      <c r="E2776" s="9" t="s">
        <v>16</v>
      </c>
      <c r="F2776" s="33">
        <v>1.0</v>
      </c>
      <c r="G2776" s="33">
        <v>1550.0</v>
      </c>
      <c r="H2776" s="35">
        <v>46176.0</v>
      </c>
      <c r="I2776" s="2" t="s">
        <v>1645</v>
      </c>
      <c r="J2776" s="12" t="s">
        <v>2175</v>
      </c>
    </row>
    <row r="2777" ht="22.5" customHeight="1">
      <c r="A2777" s="2" t="s">
        <v>2176</v>
      </c>
      <c r="B2777" s="2" t="s">
        <v>2058</v>
      </c>
      <c r="C2777" s="2" t="s">
        <v>2059</v>
      </c>
      <c r="D2777" s="8" t="s">
        <v>46</v>
      </c>
      <c r="E2777" s="9" t="s">
        <v>16</v>
      </c>
      <c r="F2777" s="33">
        <v>1.0</v>
      </c>
      <c r="G2777" s="33">
        <v>1550.0</v>
      </c>
      <c r="H2777" s="35">
        <v>46176.0</v>
      </c>
      <c r="I2777" s="2" t="s">
        <v>1645</v>
      </c>
      <c r="J2777" s="12" t="s">
        <v>2177</v>
      </c>
    </row>
    <row r="2778" ht="22.5" customHeight="1">
      <c r="A2778" s="2" t="s">
        <v>2178</v>
      </c>
      <c r="B2778" s="2" t="s">
        <v>1653</v>
      </c>
      <c r="C2778" s="2">
        <v>1653.0</v>
      </c>
      <c r="D2778" s="8" t="s">
        <v>12</v>
      </c>
      <c r="E2778" s="9" t="s">
        <v>13</v>
      </c>
      <c r="F2778" s="33">
        <v>1.0</v>
      </c>
      <c r="G2778" s="33">
        <v>2500.0</v>
      </c>
      <c r="H2778" s="35">
        <v>46177.0</v>
      </c>
      <c r="I2778" s="2" t="s">
        <v>14</v>
      </c>
      <c r="J2778" s="12" t="s">
        <v>2179</v>
      </c>
    </row>
    <row r="2779" ht="22.5" customHeight="1">
      <c r="A2779" s="2" t="s">
        <v>2178</v>
      </c>
      <c r="B2779" s="2" t="s">
        <v>1199</v>
      </c>
      <c r="C2779" s="2" t="s">
        <v>1200</v>
      </c>
      <c r="D2779" s="8" t="s">
        <v>12</v>
      </c>
      <c r="E2779" s="9" t="s">
        <v>47</v>
      </c>
      <c r="F2779" s="33">
        <v>1.0</v>
      </c>
      <c r="G2779" s="33">
        <v>725.0</v>
      </c>
      <c r="H2779" s="35">
        <v>46177.0</v>
      </c>
      <c r="I2779" s="2" t="s">
        <v>14</v>
      </c>
      <c r="J2779" s="12" t="s">
        <v>2179</v>
      </c>
    </row>
    <row r="2780" ht="22.5" customHeight="1">
      <c r="A2780" s="2" t="s">
        <v>2180</v>
      </c>
      <c r="B2780" s="2" t="s">
        <v>268</v>
      </c>
      <c r="C2780" s="2" t="s">
        <v>269</v>
      </c>
      <c r="D2780" s="8">
        <v>36.0</v>
      </c>
      <c r="E2780" s="9" t="s">
        <v>47</v>
      </c>
      <c r="F2780" s="33">
        <v>1.0</v>
      </c>
      <c r="G2780" s="33">
        <v>1990.0</v>
      </c>
      <c r="H2780" s="35">
        <v>46177.0</v>
      </c>
      <c r="I2780" s="2" t="s">
        <v>473</v>
      </c>
      <c r="J2780" s="12" t="s">
        <v>2181</v>
      </c>
    </row>
    <row r="2781" ht="22.5" customHeight="1">
      <c r="A2781" s="2" t="s">
        <v>25</v>
      </c>
      <c r="B2781" s="2" t="s">
        <v>1199</v>
      </c>
      <c r="C2781" s="2" t="s">
        <v>1200</v>
      </c>
      <c r="D2781" s="8" t="s">
        <v>75</v>
      </c>
      <c r="E2781" s="9" t="s">
        <v>47</v>
      </c>
      <c r="F2781" s="33">
        <v>1.0</v>
      </c>
      <c r="G2781" s="33">
        <v>725.0</v>
      </c>
      <c r="H2781" s="35">
        <v>46177.0</v>
      </c>
      <c r="I2781" s="2" t="s">
        <v>14</v>
      </c>
      <c r="J2781" s="12" t="s">
        <v>1228</v>
      </c>
    </row>
    <row r="2782" ht="22.5" customHeight="1">
      <c r="A2782" s="2" t="s">
        <v>716</v>
      </c>
      <c r="B2782" s="2" t="s">
        <v>352</v>
      </c>
      <c r="C2782" s="2">
        <v>5709.0</v>
      </c>
      <c r="D2782" s="8" t="s">
        <v>22</v>
      </c>
      <c r="E2782" s="9" t="s">
        <v>340</v>
      </c>
      <c r="F2782" s="33">
        <v>1.0</v>
      </c>
      <c r="G2782" s="33">
        <v>2350.0</v>
      </c>
      <c r="H2782" s="35">
        <v>46177.0</v>
      </c>
      <c r="I2782" s="2" t="s">
        <v>14</v>
      </c>
      <c r="J2782" s="12" t="s">
        <v>2182</v>
      </c>
    </row>
    <row r="2783" ht="22.5" customHeight="1">
      <c r="A2783" s="2" t="s">
        <v>530</v>
      </c>
      <c r="B2783" s="2" t="s">
        <v>726</v>
      </c>
      <c r="C2783" s="2">
        <v>9091.0</v>
      </c>
      <c r="D2783" s="8" t="s">
        <v>22</v>
      </c>
      <c r="E2783" s="9" t="s">
        <v>58</v>
      </c>
      <c r="F2783" s="33">
        <v>1.0</v>
      </c>
      <c r="G2783" s="33">
        <v>1950.0</v>
      </c>
      <c r="H2783" s="35">
        <v>46177.0</v>
      </c>
      <c r="I2783" s="2" t="s">
        <v>14</v>
      </c>
      <c r="J2783" s="12" t="s">
        <v>1796</v>
      </c>
    </row>
    <row r="2784" ht="22.5" customHeight="1">
      <c r="A2784" s="2" t="s">
        <v>1209</v>
      </c>
      <c r="B2784" s="2" t="s">
        <v>762</v>
      </c>
      <c r="C2784" s="2" t="s">
        <v>763</v>
      </c>
      <c r="D2784" s="8" t="s">
        <v>46</v>
      </c>
      <c r="E2784" s="9" t="s">
        <v>1346</v>
      </c>
      <c r="F2784" s="33">
        <v>1.0</v>
      </c>
      <c r="G2784" s="33">
        <v>1.0</v>
      </c>
      <c r="H2784" s="35">
        <v>46177.0</v>
      </c>
      <c r="I2784" s="2" t="s">
        <v>473</v>
      </c>
      <c r="J2784" s="12" t="s">
        <v>1927</v>
      </c>
    </row>
    <row r="2785" ht="22.5" customHeight="1">
      <c r="A2785" s="2" t="s">
        <v>32</v>
      </c>
      <c r="B2785" s="2" t="s">
        <v>268</v>
      </c>
      <c r="C2785" s="2" t="s">
        <v>269</v>
      </c>
      <c r="D2785" s="8">
        <v>38.0</v>
      </c>
      <c r="E2785" s="9" t="s">
        <v>47</v>
      </c>
      <c r="F2785" s="33">
        <v>1.0</v>
      </c>
      <c r="G2785" s="33">
        <v>1990.0</v>
      </c>
      <c r="H2785" s="35">
        <v>46177.0</v>
      </c>
      <c r="I2785" s="2" t="s">
        <v>14</v>
      </c>
      <c r="J2785" s="2"/>
    </row>
    <row r="2786" ht="22.5" customHeight="1">
      <c r="A2786" s="2" t="s">
        <v>32</v>
      </c>
      <c r="B2786" s="2" t="s">
        <v>961</v>
      </c>
      <c r="C2786" s="2">
        <v>6612.0</v>
      </c>
      <c r="D2786" s="8" t="s">
        <v>46</v>
      </c>
      <c r="E2786" s="9">
        <v>5.0</v>
      </c>
      <c r="F2786" s="33">
        <v>1.0</v>
      </c>
      <c r="G2786" s="33">
        <v>850.0</v>
      </c>
      <c r="H2786" s="35">
        <v>46177.0</v>
      </c>
      <c r="I2786" s="2" t="s">
        <v>14</v>
      </c>
      <c r="J2786" s="2"/>
    </row>
    <row r="2787" ht="22.5" customHeight="1">
      <c r="A2787" s="2" t="s">
        <v>32</v>
      </c>
      <c r="B2787" s="2" t="s">
        <v>755</v>
      </c>
      <c r="C2787" s="2">
        <v>8558.0</v>
      </c>
      <c r="D2787" s="8" t="s">
        <v>12</v>
      </c>
      <c r="E2787" s="9" t="s">
        <v>13</v>
      </c>
      <c r="F2787" s="33">
        <v>1.0</v>
      </c>
      <c r="G2787" s="33">
        <v>1390.0</v>
      </c>
      <c r="H2787" s="35">
        <v>46177.0</v>
      </c>
      <c r="I2787" s="2" t="s">
        <v>14</v>
      </c>
      <c r="J2787" s="2"/>
    </row>
    <row r="2788" ht="22.5" customHeight="1">
      <c r="A2788" s="2" t="s">
        <v>2183</v>
      </c>
      <c r="B2788" s="2" t="s">
        <v>1470</v>
      </c>
      <c r="C2788" s="2" t="s">
        <v>1471</v>
      </c>
      <c r="D2788" s="8" t="s">
        <v>46</v>
      </c>
      <c r="E2788" s="9" t="s">
        <v>198</v>
      </c>
      <c r="F2788" s="33">
        <v>1.0</v>
      </c>
      <c r="G2788" s="33">
        <v>990.0</v>
      </c>
      <c r="H2788" s="35">
        <v>46177.0</v>
      </c>
      <c r="I2788" s="2" t="s">
        <v>14</v>
      </c>
      <c r="J2788" s="12" t="s">
        <v>2184</v>
      </c>
    </row>
    <row r="2789" ht="22.5" customHeight="1">
      <c r="A2789" s="2" t="s">
        <v>348</v>
      </c>
      <c r="B2789" s="2" t="s">
        <v>234</v>
      </c>
      <c r="C2789" s="2">
        <v>8740.0</v>
      </c>
      <c r="D2789" s="8" t="s">
        <v>12</v>
      </c>
      <c r="E2789" s="9" t="s">
        <v>47</v>
      </c>
      <c r="F2789" s="33">
        <v>1.0</v>
      </c>
      <c r="G2789" s="33">
        <v>1600.0</v>
      </c>
      <c r="H2789" s="35">
        <v>46177.0</v>
      </c>
      <c r="I2789" s="2" t="s">
        <v>14</v>
      </c>
      <c r="J2789" s="12" t="s">
        <v>2185</v>
      </c>
    </row>
    <row r="2790" ht="22.5" customHeight="1">
      <c r="A2790" s="2" t="s">
        <v>50</v>
      </c>
      <c r="B2790" s="2" t="s">
        <v>234</v>
      </c>
      <c r="C2790" s="2">
        <v>8740.0</v>
      </c>
      <c r="D2790" s="8" t="s">
        <v>22</v>
      </c>
      <c r="E2790" s="9" t="s">
        <v>47</v>
      </c>
      <c r="F2790" s="33">
        <v>1.0</v>
      </c>
      <c r="G2790" s="33">
        <v>1600.0</v>
      </c>
      <c r="H2790" s="35">
        <v>46177.0</v>
      </c>
      <c r="I2790" s="2" t="s">
        <v>473</v>
      </c>
      <c r="J2790" s="12" t="s">
        <v>1997</v>
      </c>
    </row>
    <row r="2791" ht="22.5" customHeight="1">
      <c r="A2791" s="2" t="s">
        <v>707</v>
      </c>
      <c r="B2791" s="2" t="s">
        <v>234</v>
      </c>
      <c r="C2791" s="2">
        <v>8740.0</v>
      </c>
      <c r="D2791" s="8" t="s">
        <v>12</v>
      </c>
      <c r="E2791" s="9" t="s">
        <v>47</v>
      </c>
      <c r="F2791" s="33">
        <v>1.0</v>
      </c>
      <c r="G2791" s="33">
        <v>1600.0</v>
      </c>
      <c r="H2791" s="35">
        <v>46177.0</v>
      </c>
      <c r="I2791" s="2" t="s">
        <v>473</v>
      </c>
      <c r="J2791" s="12" t="s">
        <v>1881</v>
      </c>
    </row>
    <row r="2792" ht="22.5" customHeight="1">
      <c r="A2792" s="2" t="s">
        <v>2174</v>
      </c>
      <c r="B2792" s="2" t="s">
        <v>234</v>
      </c>
      <c r="C2792" s="2">
        <v>8740.0</v>
      </c>
      <c r="D2792" s="8" t="s">
        <v>12</v>
      </c>
      <c r="E2792" s="9" t="s">
        <v>47</v>
      </c>
      <c r="F2792" s="33">
        <v>1.0</v>
      </c>
      <c r="G2792" s="33">
        <v>1600.0</v>
      </c>
      <c r="H2792" s="35">
        <v>46177.0</v>
      </c>
      <c r="I2792" s="2" t="s">
        <v>473</v>
      </c>
      <c r="J2792" s="12" t="s">
        <v>2175</v>
      </c>
    </row>
    <row r="2793" ht="22.5" customHeight="1">
      <c r="A2793" s="2" t="s">
        <v>1215</v>
      </c>
      <c r="B2793" s="2" t="s">
        <v>234</v>
      </c>
      <c r="C2793" s="2">
        <v>8740.0</v>
      </c>
      <c r="D2793" s="8" t="s">
        <v>12</v>
      </c>
      <c r="E2793" s="9" t="s">
        <v>47</v>
      </c>
      <c r="F2793" s="33">
        <v>1.0</v>
      </c>
      <c r="G2793" s="33">
        <v>1600.0</v>
      </c>
      <c r="H2793" s="35">
        <v>46177.0</v>
      </c>
      <c r="I2793" s="2" t="s">
        <v>473</v>
      </c>
      <c r="J2793" s="12" t="s">
        <v>2186</v>
      </c>
    </row>
    <row r="2794" ht="22.5" customHeight="1">
      <c r="A2794" s="2" t="s">
        <v>312</v>
      </c>
      <c r="B2794" s="2" t="s">
        <v>1199</v>
      </c>
      <c r="C2794" s="2" t="s">
        <v>1200</v>
      </c>
      <c r="D2794" s="8" t="s">
        <v>22</v>
      </c>
      <c r="E2794" s="9" t="s">
        <v>47</v>
      </c>
      <c r="F2794" s="33">
        <v>1.0</v>
      </c>
      <c r="G2794" s="33">
        <v>725.0</v>
      </c>
      <c r="H2794" s="35">
        <v>46177.0</v>
      </c>
      <c r="I2794" s="2" t="s">
        <v>473</v>
      </c>
      <c r="J2794" s="12" t="s">
        <v>2113</v>
      </c>
    </row>
    <row r="2795" ht="22.5" customHeight="1">
      <c r="A2795" s="2" t="s">
        <v>2187</v>
      </c>
      <c r="B2795" s="2" t="s">
        <v>352</v>
      </c>
      <c r="C2795" s="2">
        <v>5709.0</v>
      </c>
      <c r="D2795" s="8" t="s">
        <v>12</v>
      </c>
      <c r="E2795" s="9" t="s">
        <v>340</v>
      </c>
      <c r="F2795" s="33">
        <v>1.0</v>
      </c>
      <c r="G2795" s="33">
        <v>2350.0</v>
      </c>
      <c r="H2795" s="35">
        <v>46177.0</v>
      </c>
      <c r="I2795" s="2" t="s">
        <v>473</v>
      </c>
      <c r="J2795" s="12" t="s">
        <v>2188</v>
      </c>
    </row>
    <row r="2796" ht="22.5" customHeight="1">
      <c r="A2796" s="2" t="s">
        <v>1849</v>
      </c>
      <c r="B2796" s="2" t="s">
        <v>196</v>
      </c>
      <c r="C2796" s="2">
        <v>8876.0</v>
      </c>
      <c r="D2796" s="8" t="s">
        <v>12</v>
      </c>
      <c r="E2796" s="9" t="s">
        <v>18</v>
      </c>
      <c r="F2796" s="33">
        <v>1.0</v>
      </c>
      <c r="G2796" s="33">
        <v>990.0</v>
      </c>
      <c r="H2796" s="35">
        <v>46177.0</v>
      </c>
      <c r="I2796" s="2" t="s">
        <v>473</v>
      </c>
      <c r="J2796" s="12" t="s">
        <v>1850</v>
      </c>
    </row>
    <row r="2797" ht="22.5" customHeight="1">
      <c r="A2797" s="2" t="s">
        <v>150</v>
      </c>
      <c r="B2797" s="2" t="s">
        <v>196</v>
      </c>
      <c r="C2797" s="2">
        <v>8876.0</v>
      </c>
      <c r="D2797" s="8" t="s">
        <v>22</v>
      </c>
      <c r="E2797" s="9" t="s">
        <v>18</v>
      </c>
      <c r="F2797" s="33">
        <v>1.0</v>
      </c>
      <c r="G2797" s="33">
        <v>990.0</v>
      </c>
      <c r="H2797" s="35">
        <v>46177.0</v>
      </c>
      <c r="I2797" s="2" t="s">
        <v>14</v>
      </c>
      <c r="J2797" s="12" t="s">
        <v>2189</v>
      </c>
    </row>
    <row r="2798" ht="22.5" customHeight="1">
      <c r="A2798" s="2" t="s">
        <v>851</v>
      </c>
      <c r="B2798" s="2" t="s">
        <v>196</v>
      </c>
      <c r="C2798" s="2">
        <v>8876.0</v>
      </c>
      <c r="D2798" s="8" t="s">
        <v>12</v>
      </c>
      <c r="E2798" s="9" t="s">
        <v>18</v>
      </c>
      <c r="F2798" s="33">
        <v>1.0</v>
      </c>
      <c r="G2798" s="33">
        <v>990.0</v>
      </c>
      <c r="H2798" s="35">
        <v>46177.0</v>
      </c>
      <c r="I2798" s="2" t="s">
        <v>14</v>
      </c>
      <c r="J2798" s="12" t="s">
        <v>2190</v>
      </c>
    </row>
    <row r="2799" ht="22.5" customHeight="1">
      <c r="A2799" s="2" t="s">
        <v>178</v>
      </c>
      <c r="B2799" s="2" t="s">
        <v>196</v>
      </c>
      <c r="C2799" s="2">
        <v>8876.0</v>
      </c>
      <c r="D2799" s="8" t="s">
        <v>22</v>
      </c>
      <c r="E2799" s="9" t="s">
        <v>18</v>
      </c>
      <c r="F2799" s="33">
        <v>1.0</v>
      </c>
      <c r="G2799" s="33">
        <v>990.0</v>
      </c>
      <c r="H2799" s="35">
        <v>46177.0</v>
      </c>
      <c r="I2799" s="2" t="s">
        <v>14</v>
      </c>
      <c r="J2799" s="12" t="s">
        <v>2191</v>
      </c>
    </row>
    <row r="2800" ht="22.5" customHeight="1">
      <c r="A2800" s="2" t="s">
        <v>178</v>
      </c>
      <c r="B2800" s="2" t="s">
        <v>196</v>
      </c>
      <c r="C2800" s="2">
        <v>8876.0</v>
      </c>
      <c r="D2800" s="8" t="s">
        <v>22</v>
      </c>
      <c r="E2800" s="9" t="s">
        <v>13</v>
      </c>
      <c r="F2800" s="33">
        <v>1.0</v>
      </c>
      <c r="G2800" s="33">
        <v>990.0</v>
      </c>
      <c r="H2800" s="35">
        <v>46177.0</v>
      </c>
      <c r="I2800" s="2" t="s">
        <v>14</v>
      </c>
      <c r="J2800" s="12" t="s">
        <v>2191</v>
      </c>
    </row>
    <row r="2801" ht="22.5" customHeight="1">
      <c r="A2801" s="2" t="s">
        <v>396</v>
      </c>
      <c r="B2801" s="2" t="s">
        <v>961</v>
      </c>
      <c r="C2801" s="2">
        <v>6612.0</v>
      </c>
      <c r="D2801" s="8" t="s">
        <v>46</v>
      </c>
      <c r="E2801" s="9" t="s">
        <v>18</v>
      </c>
      <c r="F2801" s="33">
        <v>1.0</v>
      </c>
      <c r="G2801" s="33">
        <v>850.0</v>
      </c>
      <c r="H2801" s="35">
        <v>46177.0</v>
      </c>
      <c r="I2801" s="2" t="s">
        <v>1183</v>
      </c>
      <c r="J2801" s="12" t="s">
        <v>2192</v>
      </c>
    </row>
    <row r="2802" ht="22.5" customHeight="1">
      <c r="A2802" s="2" t="s">
        <v>396</v>
      </c>
      <c r="B2802" s="2" t="s">
        <v>1254</v>
      </c>
      <c r="C2802" s="2" t="s">
        <v>1255</v>
      </c>
      <c r="D2802" s="8" t="s">
        <v>22</v>
      </c>
      <c r="E2802" s="9" t="s">
        <v>1256</v>
      </c>
      <c r="F2802" s="33">
        <v>1.0</v>
      </c>
      <c r="G2802" s="33">
        <v>1200.0</v>
      </c>
      <c r="H2802" s="35">
        <v>46177.0</v>
      </c>
      <c r="I2802" s="2" t="s">
        <v>473</v>
      </c>
      <c r="J2802" s="12" t="s">
        <v>2192</v>
      </c>
    </row>
    <row r="2803" ht="22.5" customHeight="1">
      <c r="A2803" s="2" t="s">
        <v>1399</v>
      </c>
      <c r="B2803" s="2" t="s">
        <v>961</v>
      </c>
      <c r="C2803" s="2">
        <v>6612.0</v>
      </c>
      <c r="D2803" s="8" t="s">
        <v>46</v>
      </c>
      <c r="E2803" s="9">
        <v>5.0</v>
      </c>
      <c r="F2803" s="33">
        <v>1.0</v>
      </c>
      <c r="G2803" s="33">
        <v>850.0</v>
      </c>
      <c r="H2803" s="35">
        <v>46177.0</v>
      </c>
      <c r="I2803" s="2" t="s">
        <v>14</v>
      </c>
      <c r="J2803" s="12" t="s">
        <v>1400</v>
      </c>
    </row>
    <row r="2804" ht="22.5" customHeight="1">
      <c r="A2804" s="2" t="s">
        <v>1397</v>
      </c>
      <c r="B2804" s="2" t="s">
        <v>961</v>
      </c>
      <c r="C2804" s="2">
        <v>6612.0</v>
      </c>
      <c r="D2804" s="8" t="s">
        <v>46</v>
      </c>
      <c r="E2804" s="9">
        <v>5.0</v>
      </c>
      <c r="F2804" s="33">
        <v>1.0</v>
      </c>
      <c r="G2804" s="33">
        <v>850.0</v>
      </c>
      <c r="H2804" s="35">
        <v>46177.0</v>
      </c>
      <c r="I2804" s="2" t="s">
        <v>14</v>
      </c>
      <c r="J2804" s="12" t="s">
        <v>1398</v>
      </c>
    </row>
    <row r="2805" ht="22.5" customHeight="1">
      <c r="A2805" s="2" t="s">
        <v>1849</v>
      </c>
      <c r="B2805" s="2" t="s">
        <v>1006</v>
      </c>
      <c r="C2805" s="2">
        <v>8321.0</v>
      </c>
      <c r="D2805" s="8" t="s">
        <v>46</v>
      </c>
      <c r="E2805" s="9" t="s">
        <v>447</v>
      </c>
      <c r="F2805" s="33">
        <v>1.0</v>
      </c>
      <c r="G2805" s="33">
        <v>1350.0</v>
      </c>
      <c r="H2805" s="35">
        <v>46177.0</v>
      </c>
      <c r="I2805" s="2" t="s">
        <v>473</v>
      </c>
      <c r="J2805" s="12" t="s">
        <v>1850</v>
      </c>
    </row>
    <row r="2806" ht="22.5" customHeight="1">
      <c r="A2806" s="2" t="s">
        <v>312</v>
      </c>
      <c r="B2806" s="2" t="s">
        <v>1006</v>
      </c>
      <c r="C2806" s="2">
        <v>8321.0</v>
      </c>
      <c r="D2806" s="8" t="s">
        <v>46</v>
      </c>
      <c r="E2806" s="9" t="s">
        <v>447</v>
      </c>
      <c r="F2806" s="33">
        <v>1.0</v>
      </c>
      <c r="G2806" s="33">
        <v>1350.0</v>
      </c>
      <c r="H2806" s="35">
        <v>46177.0</v>
      </c>
      <c r="I2806" s="2" t="s">
        <v>473</v>
      </c>
      <c r="J2806" s="12" t="s">
        <v>2113</v>
      </c>
    </row>
    <row r="2807" ht="22.5" customHeight="1">
      <c r="A2807" s="2" t="s">
        <v>190</v>
      </c>
      <c r="B2807" s="2" t="s">
        <v>755</v>
      </c>
      <c r="C2807" s="2">
        <v>8558.0</v>
      </c>
      <c r="D2807" s="8" t="s">
        <v>22</v>
      </c>
      <c r="E2807" s="9" t="s">
        <v>13</v>
      </c>
      <c r="F2807" s="33">
        <v>1.0</v>
      </c>
      <c r="G2807" s="33">
        <v>1390.0</v>
      </c>
      <c r="H2807" s="35">
        <v>46177.0</v>
      </c>
      <c r="I2807" s="2" t="s">
        <v>14</v>
      </c>
      <c r="J2807" s="12" t="s">
        <v>2134</v>
      </c>
    </row>
    <row r="2808" ht="22.5" customHeight="1">
      <c r="A2808" s="2" t="s">
        <v>190</v>
      </c>
      <c r="B2808" s="2" t="s">
        <v>961</v>
      </c>
      <c r="C2808" s="2">
        <v>6612.0</v>
      </c>
      <c r="D2808" s="8" t="s">
        <v>46</v>
      </c>
      <c r="E2808" s="9">
        <v>9.0</v>
      </c>
      <c r="F2808" s="33">
        <v>1.0</v>
      </c>
      <c r="G2808" s="33">
        <v>850.0</v>
      </c>
      <c r="H2808" s="35">
        <v>46177.0</v>
      </c>
      <c r="I2808" s="2" t="s">
        <v>14</v>
      </c>
      <c r="J2808" s="12" t="s">
        <v>2134</v>
      </c>
    </row>
    <row r="2809" ht="22.5" customHeight="1">
      <c r="A2809" s="2" t="s">
        <v>1397</v>
      </c>
      <c r="B2809" s="2" t="s">
        <v>961</v>
      </c>
      <c r="C2809" s="2">
        <v>6612.0</v>
      </c>
      <c r="D2809" s="8" t="s">
        <v>46</v>
      </c>
      <c r="E2809" s="9">
        <v>9.0</v>
      </c>
      <c r="F2809" s="33">
        <v>1.0</v>
      </c>
      <c r="G2809" s="33">
        <v>850.0</v>
      </c>
      <c r="H2809" s="35">
        <v>46177.0</v>
      </c>
      <c r="I2809" s="2" t="s">
        <v>14</v>
      </c>
      <c r="J2809" s="12" t="s">
        <v>1398</v>
      </c>
    </row>
    <row r="2810" ht="22.5" customHeight="1">
      <c r="A2810" s="2" t="s">
        <v>2193</v>
      </c>
      <c r="B2810" s="2" t="s">
        <v>377</v>
      </c>
      <c r="C2810" s="2" t="s">
        <v>378</v>
      </c>
      <c r="D2810" s="8" t="s">
        <v>46</v>
      </c>
      <c r="E2810" s="9" t="s">
        <v>47</v>
      </c>
      <c r="F2810" s="33">
        <v>1.0</v>
      </c>
      <c r="G2810" s="33">
        <v>750.0</v>
      </c>
      <c r="H2810" s="35">
        <v>46177.0</v>
      </c>
      <c r="I2810" s="2" t="s">
        <v>14</v>
      </c>
      <c r="J2810" s="12" t="s">
        <v>2194</v>
      </c>
    </row>
    <row r="2811" ht="22.5" customHeight="1">
      <c r="A2811" s="2" t="s">
        <v>48</v>
      </c>
      <c r="B2811" s="2" t="s">
        <v>958</v>
      </c>
      <c r="C2811" s="2" t="s">
        <v>1019</v>
      </c>
      <c r="D2811" s="8" t="s">
        <v>12</v>
      </c>
      <c r="E2811" s="9" t="s">
        <v>18</v>
      </c>
      <c r="F2811" s="33">
        <v>1.0</v>
      </c>
      <c r="G2811" s="33">
        <v>1800.0</v>
      </c>
      <c r="H2811" s="35">
        <v>46177.0</v>
      </c>
      <c r="I2811" s="2" t="s">
        <v>473</v>
      </c>
      <c r="J2811" s="12" t="s">
        <v>1994</v>
      </c>
    </row>
    <row r="2812" ht="22.5" customHeight="1">
      <c r="A2812" s="2" t="s">
        <v>326</v>
      </c>
      <c r="B2812" s="2" t="s">
        <v>961</v>
      </c>
      <c r="C2812" s="2">
        <v>6612.0</v>
      </c>
      <c r="D2812" s="8" t="s">
        <v>46</v>
      </c>
      <c r="E2812" s="9">
        <v>5.0</v>
      </c>
      <c r="F2812" s="33">
        <v>1.0</v>
      </c>
      <c r="G2812" s="33">
        <v>850.0</v>
      </c>
      <c r="H2812" s="35">
        <v>46177.0</v>
      </c>
      <c r="I2812" s="2" t="s">
        <v>473</v>
      </c>
      <c r="J2812" s="12" t="s">
        <v>1812</v>
      </c>
    </row>
    <row r="2813" ht="22.5" customHeight="1">
      <c r="A2813" s="2" t="s">
        <v>967</v>
      </c>
      <c r="B2813" s="2" t="s">
        <v>961</v>
      </c>
      <c r="C2813" s="2">
        <v>6612.0</v>
      </c>
      <c r="D2813" s="8" t="s">
        <v>46</v>
      </c>
      <c r="E2813" s="9">
        <v>4.0</v>
      </c>
      <c r="F2813" s="33">
        <v>1.0</v>
      </c>
      <c r="G2813" s="33">
        <v>850.0</v>
      </c>
      <c r="H2813" s="35">
        <v>46177.0</v>
      </c>
      <c r="I2813" s="2" t="s">
        <v>14</v>
      </c>
      <c r="J2813" s="2"/>
    </row>
    <row r="2814" ht="22.5" customHeight="1">
      <c r="A2814" s="2" t="s">
        <v>2195</v>
      </c>
      <c r="B2814" s="2" t="s">
        <v>726</v>
      </c>
      <c r="C2814" s="2">
        <v>9091.0</v>
      </c>
      <c r="D2814" s="8" t="s">
        <v>12</v>
      </c>
      <c r="E2814" s="9" t="s">
        <v>58</v>
      </c>
      <c r="F2814" s="33">
        <v>1.0</v>
      </c>
      <c r="G2814" s="33">
        <v>1950.0</v>
      </c>
      <c r="H2814" s="35">
        <v>46177.0</v>
      </c>
      <c r="I2814" s="2" t="s">
        <v>473</v>
      </c>
      <c r="J2814" s="12" t="s">
        <v>2196</v>
      </c>
    </row>
    <row r="2815" ht="22.5" customHeight="1">
      <c r="A2815" s="2" t="s">
        <v>2197</v>
      </c>
      <c r="B2815" s="2" t="s">
        <v>1619</v>
      </c>
      <c r="C2815" s="2" t="s">
        <v>1620</v>
      </c>
      <c r="D2815" s="8" t="s">
        <v>12</v>
      </c>
      <c r="E2815" s="9" t="s">
        <v>23</v>
      </c>
      <c r="F2815" s="33">
        <v>1.0</v>
      </c>
      <c r="G2815" s="33">
        <v>1650.0</v>
      </c>
      <c r="H2815" s="35">
        <v>46177.0</v>
      </c>
      <c r="I2815" s="2" t="s">
        <v>14</v>
      </c>
      <c r="J2815" s="12" t="s">
        <v>2198</v>
      </c>
    </row>
    <row r="2816" ht="22.5" customHeight="1">
      <c r="A2816" s="2" t="s">
        <v>224</v>
      </c>
      <c r="B2816" s="2" t="s">
        <v>173</v>
      </c>
      <c r="C2816" s="2">
        <v>7249.0</v>
      </c>
      <c r="D2816" s="8" t="s">
        <v>22</v>
      </c>
      <c r="E2816" s="9" t="s">
        <v>340</v>
      </c>
      <c r="F2816" s="33">
        <v>1.0</v>
      </c>
      <c r="G2816" s="33">
        <v>2300.0</v>
      </c>
      <c r="H2816" s="35">
        <v>46177.0</v>
      </c>
      <c r="I2816" s="2" t="s">
        <v>473</v>
      </c>
      <c r="J2816" s="12" t="s">
        <v>1189</v>
      </c>
    </row>
    <row r="2817" ht="22.5" customHeight="1">
      <c r="A2817" s="2" t="s">
        <v>2193</v>
      </c>
      <c r="B2817" s="2" t="s">
        <v>365</v>
      </c>
      <c r="C2817" s="2">
        <v>9094.0</v>
      </c>
      <c r="D2817" s="8" t="s">
        <v>12</v>
      </c>
      <c r="E2817" s="9" t="s">
        <v>23</v>
      </c>
      <c r="F2817" s="33">
        <v>1.0</v>
      </c>
      <c r="G2817" s="33">
        <v>2400.0</v>
      </c>
      <c r="H2817" s="35">
        <v>46177.0</v>
      </c>
      <c r="I2817" s="2" t="s">
        <v>14</v>
      </c>
      <c r="J2817" s="12" t="s">
        <v>2194</v>
      </c>
    </row>
    <row r="2818" ht="22.5" customHeight="1">
      <c r="A2818" s="2" t="s">
        <v>800</v>
      </c>
      <c r="B2818" s="2" t="s">
        <v>141</v>
      </c>
      <c r="C2818" s="2">
        <v>8770.0</v>
      </c>
      <c r="D2818" s="8" t="s">
        <v>46</v>
      </c>
      <c r="E2818" s="9" t="s">
        <v>13</v>
      </c>
      <c r="F2818" s="33">
        <v>1.0</v>
      </c>
      <c r="G2818" s="33">
        <v>1690.0</v>
      </c>
      <c r="H2818" s="35">
        <v>46177.0</v>
      </c>
      <c r="I2818" s="2" t="s">
        <v>14</v>
      </c>
      <c r="J2818" s="12" t="s">
        <v>2199</v>
      </c>
    </row>
    <row r="2819" ht="22.5" customHeight="1">
      <c r="A2819" s="2" t="s">
        <v>800</v>
      </c>
      <c r="B2819" s="2" t="s">
        <v>961</v>
      </c>
      <c r="C2819" s="2">
        <v>6612.0</v>
      </c>
      <c r="D2819" s="8" t="s">
        <v>46</v>
      </c>
      <c r="E2819" s="9">
        <v>2.0</v>
      </c>
      <c r="F2819" s="33">
        <v>1.0</v>
      </c>
      <c r="G2819" s="33">
        <v>850.0</v>
      </c>
      <c r="H2819" s="35">
        <v>46177.0</v>
      </c>
      <c r="I2819" s="2" t="s">
        <v>14</v>
      </c>
      <c r="J2819" s="12" t="s">
        <v>2199</v>
      </c>
    </row>
    <row r="2820" ht="22.5" customHeight="1">
      <c r="A2820" s="2" t="s">
        <v>1849</v>
      </c>
      <c r="B2820" s="2" t="s">
        <v>961</v>
      </c>
      <c r="C2820" s="2">
        <v>6612.0</v>
      </c>
      <c r="D2820" s="8" t="s">
        <v>46</v>
      </c>
      <c r="E2820" s="9">
        <v>2.0</v>
      </c>
      <c r="F2820" s="33">
        <v>1.0</v>
      </c>
      <c r="G2820" s="33">
        <v>850.0</v>
      </c>
      <c r="H2820" s="35">
        <v>46177.0</v>
      </c>
      <c r="I2820" s="2" t="s">
        <v>473</v>
      </c>
      <c r="J2820" s="12" t="s">
        <v>1850</v>
      </c>
    </row>
    <row r="2821" ht="22.5" customHeight="1">
      <c r="A2821" s="2" t="s">
        <v>142</v>
      </c>
      <c r="B2821" s="2" t="s">
        <v>961</v>
      </c>
      <c r="C2821" s="2">
        <v>6612.0</v>
      </c>
      <c r="D2821" s="8" t="s">
        <v>46</v>
      </c>
      <c r="E2821" s="9">
        <v>2.0</v>
      </c>
      <c r="F2821" s="33">
        <v>1.0</v>
      </c>
      <c r="G2821" s="33">
        <v>850.0</v>
      </c>
      <c r="H2821" s="35">
        <v>46177.0</v>
      </c>
      <c r="I2821" s="2" t="s">
        <v>473</v>
      </c>
      <c r="J2821" s="12" t="s">
        <v>1902</v>
      </c>
    </row>
    <row r="2822" ht="22.5" customHeight="1">
      <c r="A2822" s="2" t="s">
        <v>2193</v>
      </c>
      <c r="B2822" s="2" t="s">
        <v>961</v>
      </c>
      <c r="C2822" s="2">
        <v>6612.0</v>
      </c>
      <c r="D2822" s="8" t="s">
        <v>46</v>
      </c>
      <c r="E2822" s="9">
        <v>6.0</v>
      </c>
      <c r="F2822" s="33">
        <v>1.0</v>
      </c>
      <c r="G2822" s="33">
        <v>850.0</v>
      </c>
      <c r="H2822" s="35">
        <v>46177.0</v>
      </c>
      <c r="I2822" s="2" t="s">
        <v>14</v>
      </c>
      <c r="J2822" s="12" t="s">
        <v>2194</v>
      </c>
    </row>
    <row r="2823" ht="22.5" customHeight="1">
      <c r="A2823" s="2" t="s">
        <v>1209</v>
      </c>
      <c r="B2823" s="2" t="s">
        <v>1254</v>
      </c>
      <c r="C2823" s="2" t="s">
        <v>1255</v>
      </c>
      <c r="D2823" s="8" t="s">
        <v>22</v>
      </c>
      <c r="E2823" s="9" t="s">
        <v>1256</v>
      </c>
      <c r="F2823" s="33">
        <v>1.0</v>
      </c>
      <c r="G2823" s="33">
        <v>1200.0</v>
      </c>
      <c r="H2823" s="35">
        <v>46177.0</v>
      </c>
      <c r="I2823" s="2" t="s">
        <v>473</v>
      </c>
      <c r="J2823" s="12" t="s">
        <v>1927</v>
      </c>
    </row>
    <row r="2824" ht="22.5" customHeight="1">
      <c r="A2824" s="2" t="s">
        <v>1156</v>
      </c>
      <c r="B2824" s="2" t="s">
        <v>1184</v>
      </c>
      <c r="C2824" s="2" t="s">
        <v>1185</v>
      </c>
      <c r="D2824" s="8" t="s">
        <v>22</v>
      </c>
      <c r="E2824" s="9" t="s">
        <v>18</v>
      </c>
      <c r="F2824" s="33">
        <v>1.0</v>
      </c>
      <c r="G2824" s="33">
        <v>845.0</v>
      </c>
      <c r="H2824" s="35">
        <v>46177.0</v>
      </c>
      <c r="I2824" s="2" t="s">
        <v>14</v>
      </c>
      <c r="J2824" s="12" t="s">
        <v>2200</v>
      </c>
    </row>
    <row r="2825" ht="22.5" customHeight="1">
      <c r="A2825" s="2" t="s">
        <v>1251</v>
      </c>
      <c r="B2825" s="2" t="s">
        <v>268</v>
      </c>
      <c r="C2825" s="2" t="s">
        <v>269</v>
      </c>
      <c r="D2825" s="8">
        <v>38.0</v>
      </c>
      <c r="E2825" s="9" t="s">
        <v>18</v>
      </c>
      <c r="F2825" s="33">
        <v>1.0</v>
      </c>
      <c r="G2825" s="33">
        <v>1990.0</v>
      </c>
      <c r="H2825" s="35">
        <v>46177.0</v>
      </c>
      <c r="I2825" s="2" t="s">
        <v>473</v>
      </c>
      <c r="J2825" s="12" t="s">
        <v>1754</v>
      </c>
    </row>
    <row r="2826" ht="22.5" customHeight="1">
      <c r="A2826" s="2" t="s">
        <v>2201</v>
      </c>
      <c r="B2826" s="2" t="s">
        <v>935</v>
      </c>
      <c r="C2826" s="2">
        <v>1302.0</v>
      </c>
      <c r="D2826" s="8" t="s">
        <v>46</v>
      </c>
      <c r="E2826" s="9" t="s">
        <v>760</v>
      </c>
      <c r="F2826" s="33">
        <v>1.0</v>
      </c>
      <c r="G2826" s="33">
        <v>1200.0</v>
      </c>
      <c r="H2826" s="35">
        <v>46177.0</v>
      </c>
      <c r="I2826" s="2" t="s">
        <v>473</v>
      </c>
      <c r="J2826" s="12" t="s">
        <v>2202</v>
      </c>
    </row>
    <row r="2827" ht="22.5" customHeight="1">
      <c r="A2827" s="2" t="s">
        <v>134</v>
      </c>
      <c r="B2827" s="2" t="s">
        <v>762</v>
      </c>
      <c r="C2827" s="2" t="s">
        <v>763</v>
      </c>
      <c r="D2827" s="8" t="s">
        <v>46</v>
      </c>
      <c r="E2827" s="9" t="s">
        <v>1330</v>
      </c>
      <c r="F2827" s="33">
        <v>1.0</v>
      </c>
      <c r="G2827" s="33">
        <v>2580.0</v>
      </c>
      <c r="H2827" s="35">
        <v>46177.0</v>
      </c>
      <c r="I2827" s="2" t="s">
        <v>14</v>
      </c>
      <c r="J2827" s="12" t="s">
        <v>2203</v>
      </c>
    </row>
    <row r="2828" ht="22.5" customHeight="1">
      <c r="A2828" s="2" t="s">
        <v>1786</v>
      </c>
      <c r="B2828" s="2" t="s">
        <v>961</v>
      </c>
      <c r="C2828" s="2">
        <v>6612.0</v>
      </c>
      <c r="D2828" s="8" t="s">
        <v>46</v>
      </c>
      <c r="E2828" s="9">
        <v>4.0</v>
      </c>
      <c r="F2828" s="33">
        <v>1.0</v>
      </c>
      <c r="G2828" s="33">
        <v>850.0</v>
      </c>
      <c r="H2828" s="35">
        <v>46177.0</v>
      </c>
      <c r="I2828" s="2" t="s">
        <v>14</v>
      </c>
      <c r="J2828" s="12" t="s">
        <v>1787</v>
      </c>
    </row>
    <row r="2829" ht="22.5" customHeight="1">
      <c r="A2829" s="2" t="s">
        <v>1283</v>
      </c>
      <c r="B2829" s="2" t="s">
        <v>352</v>
      </c>
      <c r="C2829" s="2">
        <v>5709.0</v>
      </c>
      <c r="D2829" s="8" t="s">
        <v>12</v>
      </c>
      <c r="E2829" s="9" t="s">
        <v>340</v>
      </c>
      <c r="F2829" s="33">
        <v>1.0</v>
      </c>
      <c r="G2829" s="33">
        <v>2350.0</v>
      </c>
      <c r="H2829" s="35">
        <v>46177.0</v>
      </c>
      <c r="I2829" s="2" t="s">
        <v>14</v>
      </c>
      <c r="J2829" s="12" t="s">
        <v>1284</v>
      </c>
    </row>
    <row r="2830" ht="22.5" customHeight="1">
      <c r="A2830" s="2" t="s">
        <v>2204</v>
      </c>
      <c r="B2830" s="2" t="s">
        <v>268</v>
      </c>
      <c r="C2830" s="2" t="s">
        <v>269</v>
      </c>
      <c r="D2830" s="8">
        <v>38.0</v>
      </c>
      <c r="E2830" s="9" t="s">
        <v>18</v>
      </c>
      <c r="F2830" s="33">
        <v>1.0</v>
      </c>
      <c r="G2830" s="33">
        <v>1990.0</v>
      </c>
      <c r="H2830" s="35">
        <v>46177.0</v>
      </c>
      <c r="I2830" s="2" t="s">
        <v>473</v>
      </c>
      <c r="J2830" s="12" t="s">
        <v>2205</v>
      </c>
    </row>
    <row r="2831" ht="22.5" customHeight="1">
      <c r="A2831" s="2" t="s">
        <v>2204</v>
      </c>
      <c r="B2831" s="2" t="s">
        <v>1232</v>
      </c>
      <c r="C2831" s="2" t="s">
        <v>1233</v>
      </c>
      <c r="D2831" s="8" t="s">
        <v>46</v>
      </c>
      <c r="E2831" s="9" t="s">
        <v>13</v>
      </c>
      <c r="F2831" s="33">
        <v>1.0</v>
      </c>
      <c r="G2831" s="33">
        <v>1550.0</v>
      </c>
      <c r="H2831" s="35">
        <v>46177.0</v>
      </c>
      <c r="I2831" s="2" t="s">
        <v>1183</v>
      </c>
      <c r="J2831" s="12" t="s">
        <v>2205</v>
      </c>
    </row>
    <row r="2832" ht="22.5" customHeight="1">
      <c r="A2832" s="2" t="s">
        <v>150</v>
      </c>
      <c r="B2832" s="2" t="s">
        <v>1082</v>
      </c>
      <c r="C2832" s="2">
        <v>9083.0</v>
      </c>
      <c r="D2832" s="8" t="s">
        <v>12</v>
      </c>
      <c r="E2832" s="9" t="s">
        <v>340</v>
      </c>
      <c r="F2832" s="33">
        <v>1.0</v>
      </c>
      <c r="G2832" s="33">
        <v>2400.0</v>
      </c>
      <c r="H2832" s="35">
        <v>46177.0</v>
      </c>
      <c r="I2832" s="2" t="s">
        <v>14</v>
      </c>
      <c r="J2832" s="12" t="s">
        <v>2189</v>
      </c>
    </row>
    <row r="2833" ht="22.5" customHeight="1">
      <c r="A2833" s="2" t="s">
        <v>71</v>
      </c>
      <c r="B2833" s="2" t="s">
        <v>234</v>
      </c>
      <c r="C2833" s="2">
        <v>8740.0</v>
      </c>
      <c r="D2833" s="8" t="s">
        <v>22</v>
      </c>
      <c r="E2833" s="9" t="s">
        <v>47</v>
      </c>
      <c r="F2833" s="33">
        <v>1.0</v>
      </c>
      <c r="G2833" s="33">
        <v>1600.0</v>
      </c>
      <c r="H2833" s="35">
        <v>46177.0</v>
      </c>
      <c r="I2833" s="2" t="s">
        <v>473</v>
      </c>
      <c r="J2833" s="12" t="s">
        <v>955</v>
      </c>
    </row>
    <row r="2834" ht="22.5" customHeight="1">
      <c r="A2834" s="2" t="s">
        <v>2206</v>
      </c>
      <c r="B2834" s="2" t="s">
        <v>1055</v>
      </c>
      <c r="C2834" s="2">
        <v>9425.0</v>
      </c>
      <c r="D2834" s="8" t="s">
        <v>12</v>
      </c>
      <c r="E2834" s="9" t="s">
        <v>58</v>
      </c>
      <c r="F2834" s="33">
        <v>1.0</v>
      </c>
      <c r="G2834" s="33">
        <v>2700.0</v>
      </c>
      <c r="H2834" s="35">
        <v>46177.0</v>
      </c>
      <c r="I2834" s="2" t="s">
        <v>14</v>
      </c>
      <c r="J2834" s="2"/>
    </row>
    <row r="2835" ht="22.5" customHeight="1">
      <c r="A2835" s="2" t="s">
        <v>2206</v>
      </c>
      <c r="B2835" s="2" t="s">
        <v>336</v>
      </c>
      <c r="C2835" s="2">
        <v>81813.0</v>
      </c>
      <c r="D2835" s="8" t="s">
        <v>46</v>
      </c>
      <c r="E2835" s="9" t="s">
        <v>338</v>
      </c>
      <c r="F2835" s="33">
        <v>1.0</v>
      </c>
      <c r="G2835" s="33">
        <v>1100.0</v>
      </c>
      <c r="H2835" s="35">
        <v>46177.0</v>
      </c>
      <c r="I2835" s="2" t="s">
        <v>14</v>
      </c>
      <c r="J2835" s="2"/>
    </row>
    <row r="2836" ht="22.5" customHeight="1">
      <c r="A2836" s="2" t="s">
        <v>2207</v>
      </c>
      <c r="B2836" s="2" t="s">
        <v>726</v>
      </c>
      <c r="C2836" s="2">
        <v>9091.0</v>
      </c>
      <c r="D2836" s="8" t="s">
        <v>75</v>
      </c>
      <c r="E2836" s="9" t="s">
        <v>58</v>
      </c>
      <c r="F2836" s="33">
        <v>1.0</v>
      </c>
      <c r="G2836" s="33">
        <v>1950.0</v>
      </c>
      <c r="H2836" s="35">
        <v>46177.0</v>
      </c>
      <c r="I2836" s="2" t="s">
        <v>473</v>
      </c>
      <c r="J2836" s="12" t="s">
        <v>2208</v>
      </c>
    </row>
    <row r="2837" ht="22.5" customHeight="1">
      <c r="A2837" s="2" t="s">
        <v>2207</v>
      </c>
      <c r="B2837" s="2" t="s">
        <v>1601</v>
      </c>
      <c r="C2837" s="2" t="s">
        <v>1602</v>
      </c>
      <c r="D2837" s="8">
        <v>37.0</v>
      </c>
      <c r="E2837" s="9" t="s">
        <v>13</v>
      </c>
      <c r="F2837" s="33">
        <v>1.0</v>
      </c>
      <c r="G2837" s="33">
        <v>1790.0</v>
      </c>
      <c r="H2837" s="35">
        <v>46177.0</v>
      </c>
      <c r="I2837" s="2" t="s">
        <v>1183</v>
      </c>
      <c r="J2837" s="12" t="s">
        <v>2208</v>
      </c>
    </row>
    <row r="2838" ht="22.5" customHeight="1">
      <c r="A2838" s="2" t="s">
        <v>2209</v>
      </c>
      <c r="B2838" s="2" t="s">
        <v>336</v>
      </c>
      <c r="C2838" s="2">
        <v>81813.0</v>
      </c>
      <c r="D2838" s="8" t="s">
        <v>46</v>
      </c>
      <c r="E2838" s="9" t="s">
        <v>340</v>
      </c>
      <c r="F2838" s="33">
        <v>1.0</v>
      </c>
      <c r="G2838" s="33">
        <v>1100.0</v>
      </c>
      <c r="H2838" s="35">
        <v>46177.0</v>
      </c>
      <c r="I2838" s="2" t="s">
        <v>14</v>
      </c>
      <c r="J2838" s="2"/>
    </row>
    <row r="2839" ht="22.5" customHeight="1">
      <c r="A2839" s="2" t="s">
        <v>2209</v>
      </c>
      <c r="B2839" s="2" t="s">
        <v>336</v>
      </c>
      <c r="C2839" s="2">
        <v>81813.0</v>
      </c>
      <c r="D2839" s="8" t="s">
        <v>46</v>
      </c>
      <c r="E2839" s="9" t="s">
        <v>18</v>
      </c>
      <c r="F2839" s="33">
        <v>1.0</v>
      </c>
      <c r="G2839" s="33">
        <v>1100.0</v>
      </c>
      <c r="H2839" s="35">
        <v>46177.0</v>
      </c>
      <c r="I2839" s="2" t="s">
        <v>14</v>
      </c>
      <c r="J2839" s="2"/>
    </row>
    <row r="2840" ht="22.5" customHeight="1">
      <c r="A2840" s="2" t="s">
        <v>851</v>
      </c>
      <c r="B2840" s="2" t="s">
        <v>961</v>
      </c>
      <c r="C2840" s="2">
        <v>6612.0</v>
      </c>
      <c r="D2840" s="8" t="s">
        <v>46</v>
      </c>
      <c r="E2840" s="9">
        <v>9.0</v>
      </c>
      <c r="F2840" s="33">
        <v>1.0</v>
      </c>
      <c r="G2840" s="33">
        <v>850.0</v>
      </c>
      <c r="H2840" s="35">
        <v>46177.0</v>
      </c>
      <c r="I2840" s="2" t="s">
        <v>14</v>
      </c>
      <c r="J2840" s="12" t="s">
        <v>2190</v>
      </c>
    </row>
    <row r="2841" ht="22.5" customHeight="1">
      <c r="A2841" s="2" t="s">
        <v>208</v>
      </c>
      <c r="B2841" s="2" t="s">
        <v>961</v>
      </c>
      <c r="C2841" s="2">
        <v>6612.0</v>
      </c>
      <c r="D2841" s="8" t="s">
        <v>46</v>
      </c>
      <c r="E2841" s="9">
        <v>9.0</v>
      </c>
      <c r="F2841" s="33">
        <v>1.0</v>
      </c>
      <c r="G2841" s="33">
        <v>850.0</v>
      </c>
      <c r="H2841" s="35">
        <v>46177.0</v>
      </c>
      <c r="I2841" s="2" t="s">
        <v>14</v>
      </c>
      <c r="J2841" s="2"/>
    </row>
    <row r="2842" ht="22.5" customHeight="1">
      <c r="A2842" s="2" t="s">
        <v>208</v>
      </c>
      <c r="B2842" s="2" t="s">
        <v>961</v>
      </c>
      <c r="C2842" s="2">
        <v>6612.0</v>
      </c>
      <c r="D2842" s="8" t="s">
        <v>46</v>
      </c>
      <c r="E2842" s="9">
        <v>5.0</v>
      </c>
      <c r="F2842" s="33">
        <v>1.0</v>
      </c>
      <c r="G2842" s="33">
        <v>850.0</v>
      </c>
      <c r="H2842" s="35">
        <v>46177.0</v>
      </c>
      <c r="I2842" s="2" t="s">
        <v>14</v>
      </c>
      <c r="J2842" s="2"/>
    </row>
    <row r="2843" ht="22.5" customHeight="1">
      <c r="A2843" s="2" t="s">
        <v>2210</v>
      </c>
      <c r="B2843" s="2" t="s">
        <v>961</v>
      </c>
      <c r="C2843" s="2">
        <v>6612.0</v>
      </c>
      <c r="D2843" s="8" t="s">
        <v>46</v>
      </c>
      <c r="E2843" s="9">
        <v>9.0</v>
      </c>
      <c r="F2843" s="33">
        <v>1.0</v>
      </c>
      <c r="G2843" s="33">
        <v>850.0</v>
      </c>
      <c r="H2843" s="35">
        <v>46178.0</v>
      </c>
      <c r="I2843" s="2" t="s">
        <v>473</v>
      </c>
      <c r="J2843" s="12" t="s">
        <v>2211</v>
      </c>
    </row>
    <row r="2844" ht="22.5" customHeight="1">
      <c r="A2844" s="2" t="s">
        <v>2210</v>
      </c>
      <c r="B2844" s="2" t="s">
        <v>961</v>
      </c>
      <c r="C2844" s="2">
        <v>6612.0</v>
      </c>
      <c r="D2844" s="8" t="s">
        <v>46</v>
      </c>
      <c r="E2844" s="9">
        <v>5.0</v>
      </c>
      <c r="F2844" s="33">
        <v>1.0</v>
      </c>
      <c r="G2844" s="33">
        <v>850.0</v>
      </c>
      <c r="H2844" s="35">
        <v>46178.0</v>
      </c>
      <c r="I2844" s="2" t="s">
        <v>473</v>
      </c>
      <c r="J2844" s="12" t="s">
        <v>2211</v>
      </c>
    </row>
    <row r="2845" ht="22.5" customHeight="1">
      <c r="A2845" s="2" t="s">
        <v>1340</v>
      </c>
      <c r="B2845" s="2" t="s">
        <v>912</v>
      </c>
      <c r="C2845" s="2" t="s">
        <v>913</v>
      </c>
      <c r="D2845" s="8" t="s">
        <v>75</v>
      </c>
      <c r="E2845" s="9" t="s">
        <v>23</v>
      </c>
      <c r="F2845" s="33">
        <v>1.0</v>
      </c>
      <c r="G2845" s="33">
        <v>1650.0</v>
      </c>
      <c r="H2845" s="35">
        <v>46178.0</v>
      </c>
      <c r="I2845" s="2" t="s">
        <v>14</v>
      </c>
      <c r="J2845" s="12" t="s">
        <v>1341</v>
      </c>
    </row>
    <row r="2846" ht="22.5" customHeight="1">
      <c r="A2846" s="2" t="s">
        <v>1340</v>
      </c>
      <c r="B2846" s="2" t="s">
        <v>365</v>
      </c>
      <c r="C2846" s="2">
        <v>9094.0</v>
      </c>
      <c r="D2846" s="8" t="s">
        <v>22</v>
      </c>
      <c r="E2846" s="9" t="s">
        <v>58</v>
      </c>
      <c r="F2846" s="33">
        <v>1.0</v>
      </c>
      <c r="G2846" s="33">
        <v>2400.0</v>
      </c>
      <c r="H2846" s="35">
        <v>46178.0</v>
      </c>
      <c r="I2846" s="2" t="s">
        <v>14</v>
      </c>
      <c r="J2846" s="12" t="s">
        <v>1341</v>
      </c>
    </row>
    <row r="2847" ht="22.5" customHeight="1">
      <c r="A2847" s="2" t="s">
        <v>1924</v>
      </c>
      <c r="B2847" s="2" t="s">
        <v>196</v>
      </c>
      <c r="C2847" s="2">
        <v>8876.0</v>
      </c>
      <c r="D2847" s="8" t="s">
        <v>22</v>
      </c>
      <c r="E2847" s="9" t="s">
        <v>18</v>
      </c>
      <c r="F2847" s="33">
        <v>1.0</v>
      </c>
      <c r="G2847" s="33">
        <v>990.0</v>
      </c>
      <c r="H2847" s="35">
        <v>46178.0</v>
      </c>
      <c r="I2847" s="2" t="s">
        <v>473</v>
      </c>
      <c r="J2847" s="12" t="s">
        <v>1925</v>
      </c>
    </row>
    <row r="2848" ht="22.5" customHeight="1">
      <c r="A2848" s="2" t="s">
        <v>526</v>
      </c>
      <c r="B2848" s="2" t="s">
        <v>1055</v>
      </c>
      <c r="C2848" s="2">
        <v>9425.0</v>
      </c>
      <c r="D2848" s="8" t="s">
        <v>22</v>
      </c>
      <c r="E2848" s="9" t="s">
        <v>58</v>
      </c>
      <c r="F2848" s="33">
        <v>1.0</v>
      </c>
      <c r="G2848" s="33">
        <v>2700.0</v>
      </c>
      <c r="H2848" s="35">
        <v>46178.0</v>
      </c>
      <c r="I2848" s="2" t="s">
        <v>24</v>
      </c>
      <c r="J2848" s="2"/>
    </row>
    <row r="2849" ht="22.5" customHeight="1">
      <c r="A2849" s="2" t="s">
        <v>2180</v>
      </c>
      <c r="B2849" s="2" t="s">
        <v>352</v>
      </c>
      <c r="C2849" s="2">
        <v>5709.0</v>
      </c>
      <c r="D2849" s="8" t="s">
        <v>22</v>
      </c>
      <c r="E2849" s="9" t="s">
        <v>340</v>
      </c>
      <c r="F2849" s="33">
        <v>1.0</v>
      </c>
      <c r="G2849" s="33">
        <v>2350.0</v>
      </c>
      <c r="H2849" s="35">
        <v>46178.0</v>
      </c>
      <c r="I2849" s="2" t="s">
        <v>473</v>
      </c>
      <c r="J2849" s="12" t="s">
        <v>2181</v>
      </c>
    </row>
    <row r="2850" ht="22.5" customHeight="1">
      <c r="A2850" s="2" t="s">
        <v>288</v>
      </c>
      <c r="B2850" s="2" t="s">
        <v>365</v>
      </c>
      <c r="C2850" s="2">
        <v>9094.0</v>
      </c>
      <c r="D2850" s="8" t="s">
        <v>22</v>
      </c>
      <c r="E2850" s="9" t="s">
        <v>58</v>
      </c>
      <c r="F2850" s="33">
        <v>1.0</v>
      </c>
      <c r="G2850" s="33">
        <v>2400.0</v>
      </c>
      <c r="H2850" s="35">
        <v>46178.0</v>
      </c>
      <c r="I2850" s="2" t="s">
        <v>473</v>
      </c>
      <c r="J2850" s="12" t="s">
        <v>1920</v>
      </c>
    </row>
    <row r="2851" ht="22.5" customHeight="1">
      <c r="A2851" s="2" t="s">
        <v>2212</v>
      </c>
      <c r="B2851" s="2" t="s">
        <v>440</v>
      </c>
      <c r="C2851" s="2" t="s">
        <v>441</v>
      </c>
      <c r="D2851" s="8" t="s">
        <v>46</v>
      </c>
      <c r="E2851" s="9" t="s">
        <v>447</v>
      </c>
      <c r="F2851" s="33">
        <v>1.0</v>
      </c>
      <c r="G2851" s="33">
        <v>1200.0</v>
      </c>
      <c r="H2851" s="35">
        <v>46178.0</v>
      </c>
      <c r="I2851" s="2" t="s">
        <v>1183</v>
      </c>
      <c r="J2851" s="12" t="s">
        <v>2213</v>
      </c>
    </row>
    <row r="2852" ht="22.5" customHeight="1">
      <c r="A2852" s="2" t="s">
        <v>2212</v>
      </c>
      <c r="B2852" s="2" t="s">
        <v>440</v>
      </c>
      <c r="C2852" s="2" t="s">
        <v>441</v>
      </c>
      <c r="D2852" s="8" t="s">
        <v>46</v>
      </c>
      <c r="E2852" s="9" t="s">
        <v>18</v>
      </c>
      <c r="F2852" s="33">
        <v>1.0</v>
      </c>
      <c r="G2852" s="33">
        <v>1200.0</v>
      </c>
      <c r="H2852" s="35">
        <v>46178.0</v>
      </c>
      <c r="I2852" s="2" t="s">
        <v>1183</v>
      </c>
      <c r="J2852" s="12" t="s">
        <v>2213</v>
      </c>
    </row>
    <row r="2853" ht="22.5" customHeight="1">
      <c r="A2853" s="2" t="s">
        <v>2212</v>
      </c>
      <c r="B2853" s="2" t="s">
        <v>1894</v>
      </c>
      <c r="C2853" s="2" t="s">
        <v>1895</v>
      </c>
      <c r="D2853" s="8" t="s">
        <v>46</v>
      </c>
      <c r="E2853" s="9" t="s">
        <v>914</v>
      </c>
      <c r="F2853" s="33">
        <v>1.0</v>
      </c>
      <c r="G2853" s="33">
        <v>1550.0</v>
      </c>
      <c r="H2853" s="35">
        <v>46178.0</v>
      </c>
      <c r="I2853" s="2" t="s">
        <v>1183</v>
      </c>
      <c r="J2853" s="12" t="s">
        <v>2213</v>
      </c>
    </row>
    <row r="2854" ht="22.5" customHeight="1">
      <c r="A2854" s="2" t="s">
        <v>2214</v>
      </c>
      <c r="B2854" s="2" t="s">
        <v>1692</v>
      </c>
      <c r="C2854" s="2" t="s">
        <v>1693</v>
      </c>
      <c r="D2854" s="8">
        <v>35.0</v>
      </c>
      <c r="E2854" s="9" t="s">
        <v>47</v>
      </c>
      <c r="F2854" s="33">
        <v>1.0</v>
      </c>
      <c r="G2854" s="33">
        <v>1900.0</v>
      </c>
      <c r="H2854" s="35">
        <v>46178.0</v>
      </c>
      <c r="I2854" s="2" t="s">
        <v>1183</v>
      </c>
      <c r="J2854" s="2"/>
    </row>
    <row r="2855" ht="22.5" customHeight="1">
      <c r="A2855" s="2" t="s">
        <v>2214</v>
      </c>
      <c r="B2855" s="2" t="s">
        <v>1619</v>
      </c>
      <c r="C2855" s="2" t="s">
        <v>1620</v>
      </c>
      <c r="D2855" s="8" t="s">
        <v>12</v>
      </c>
      <c r="E2855" s="9" t="s">
        <v>23</v>
      </c>
      <c r="F2855" s="33">
        <v>1.0</v>
      </c>
      <c r="G2855" s="33">
        <v>1650.0</v>
      </c>
      <c r="H2855" s="35">
        <v>46178.0</v>
      </c>
      <c r="I2855" s="2" t="s">
        <v>1183</v>
      </c>
      <c r="J2855" s="2"/>
    </row>
    <row r="2856" ht="22.5" customHeight="1">
      <c r="A2856" s="2" t="s">
        <v>2215</v>
      </c>
      <c r="B2856" s="2" t="s">
        <v>1991</v>
      </c>
      <c r="C2856" s="2" t="s">
        <v>1992</v>
      </c>
      <c r="D2856" s="8" t="s">
        <v>75</v>
      </c>
      <c r="E2856" s="9" t="s">
        <v>1993</v>
      </c>
      <c r="F2856" s="33">
        <v>1.0</v>
      </c>
      <c r="G2856" s="33">
        <v>1200.0</v>
      </c>
      <c r="H2856" s="35">
        <v>46179.0</v>
      </c>
      <c r="I2856" s="2" t="s">
        <v>1183</v>
      </c>
      <c r="J2856" s="12" t="s">
        <v>2216</v>
      </c>
    </row>
    <row r="2857" ht="22.5" customHeight="1">
      <c r="A2857" s="2" t="s">
        <v>2215</v>
      </c>
      <c r="B2857" s="2" t="s">
        <v>1991</v>
      </c>
      <c r="C2857" s="2" t="s">
        <v>1992</v>
      </c>
      <c r="D2857" s="8" t="s">
        <v>75</v>
      </c>
      <c r="E2857" s="9" t="s">
        <v>1999</v>
      </c>
      <c r="F2857" s="33">
        <v>1.0</v>
      </c>
      <c r="G2857" s="33">
        <v>1200.0</v>
      </c>
      <c r="H2857" s="35">
        <v>46179.0</v>
      </c>
      <c r="I2857" s="2" t="s">
        <v>1183</v>
      </c>
      <c r="J2857" s="12" t="s">
        <v>2216</v>
      </c>
    </row>
    <row r="2858" ht="22.5" customHeight="1">
      <c r="A2858" s="2" t="s">
        <v>2215</v>
      </c>
      <c r="B2858" s="2" t="s">
        <v>2058</v>
      </c>
      <c r="C2858" s="2" t="s">
        <v>2059</v>
      </c>
      <c r="D2858" s="8" t="s">
        <v>46</v>
      </c>
      <c r="E2858" s="9" t="s">
        <v>16</v>
      </c>
      <c r="F2858" s="33">
        <v>1.0</v>
      </c>
      <c r="G2858" s="33">
        <v>1550.0</v>
      </c>
      <c r="H2858" s="35">
        <v>46179.0</v>
      </c>
      <c r="I2858" s="2" t="s">
        <v>1183</v>
      </c>
      <c r="J2858" s="12" t="s">
        <v>2216</v>
      </c>
    </row>
    <row r="2859" ht="22.5" customHeight="1">
      <c r="A2859" s="2" t="s">
        <v>2215</v>
      </c>
      <c r="B2859" s="2" t="s">
        <v>1894</v>
      </c>
      <c r="C2859" s="2" t="s">
        <v>1895</v>
      </c>
      <c r="D2859" s="8" t="s">
        <v>46</v>
      </c>
      <c r="E2859" s="9" t="s">
        <v>914</v>
      </c>
      <c r="F2859" s="33">
        <v>1.0</v>
      </c>
      <c r="G2859" s="33">
        <v>1550.0</v>
      </c>
      <c r="H2859" s="35">
        <v>46179.0</v>
      </c>
      <c r="I2859" s="2" t="s">
        <v>1183</v>
      </c>
      <c r="J2859" s="12" t="s">
        <v>2216</v>
      </c>
    </row>
    <row r="2860" ht="22.5" customHeight="1">
      <c r="A2860" s="2" t="s">
        <v>932</v>
      </c>
      <c r="B2860" s="2" t="s">
        <v>762</v>
      </c>
      <c r="C2860" s="2" t="s">
        <v>763</v>
      </c>
      <c r="D2860" s="8" t="s">
        <v>46</v>
      </c>
      <c r="E2860" s="9" t="s">
        <v>2217</v>
      </c>
      <c r="F2860" s="33">
        <v>1.0</v>
      </c>
      <c r="G2860" s="33">
        <v>7000.0</v>
      </c>
      <c r="H2860" s="35">
        <v>46179.0</v>
      </c>
      <c r="I2860" s="2" t="s">
        <v>1183</v>
      </c>
      <c r="J2860" s="2"/>
    </row>
    <row r="2861" ht="22.5" customHeight="1">
      <c r="A2861" s="2" t="s">
        <v>921</v>
      </c>
      <c r="B2861" s="2" t="s">
        <v>2058</v>
      </c>
      <c r="C2861" s="2" t="s">
        <v>2059</v>
      </c>
      <c r="D2861" s="8" t="s">
        <v>46</v>
      </c>
      <c r="E2861" s="9" t="s">
        <v>16</v>
      </c>
      <c r="F2861" s="33">
        <v>1.0</v>
      </c>
      <c r="G2861" s="33">
        <v>1550.0</v>
      </c>
      <c r="H2861" s="35">
        <v>46179.0</v>
      </c>
      <c r="I2861" s="2" t="s">
        <v>1183</v>
      </c>
      <c r="J2861" s="12" t="s">
        <v>2218</v>
      </c>
    </row>
    <row r="2862" ht="22.5" customHeight="1">
      <c r="A2862" s="2" t="s">
        <v>921</v>
      </c>
      <c r="B2862" s="2" t="s">
        <v>1671</v>
      </c>
      <c r="C2862" s="2" t="s">
        <v>1672</v>
      </c>
      <c r="D2862" s="8" t="s">
        <v>46</v>
      </c>
      <c r="E2862" s="9" t="s">
        <v>47</v>
      </c>
      <c r="F2862" s="33">
        <v>1.0</v>
      </c>
      <c r="G2862" s="33">
        <v>1200.0</v>
      </c>
      <c r="H2862" s="35">
        <v>46179.0</v>
      </c>
      <c r="I2862" s="2" t="s">
        <v>1183</v>
      </c>
      <c r="J2862" s="12" t="s">
        <v>2218</v>
      </c>
    </row>
    <row r="2863" ht="22.5" customHeight="1">
      <c r="A2863" s="2" t="s">
        <v>921</v>
      </c>
      <c r="B2863" s="2" t="s">
        <v>440</v>
      </c>
      <c r="C2863" s="2" t="s">
        <v>441</v>
      </c>
      <c r="D2863" s="8" t="s">
        <v>46</v>
      </c>
      <c r="E2863" s="9" t="s">
        <v>16</v>
      </c>
      <c r="F2863" s="33">
        <v>1.0</v>
      </c>
      <c r="G2863" s="33">
        <v>1200.0</v>
      </c>
      <c r="H2863" s="35">
        <v>46179.0</v>
      </c>
      <c r="I2863" s="2" t="s">
        <v>1183</v>
      </c>
      <c r="J2863" s="12" t="s">
        <v>2218</v>
      </c>
    </row>
    <row r="2864" ht="22.5" customHeight="1">
      <c r="A2864" s="2" t="s">
        <v>921</v>
      </c>
      <c r="B2864" s="2" t="s">
        <v>961</v>
      </c>
      <c r="C2864" s="2">
        <v>6612.0</v>
      </c>
      <c r="D2864" s="8" t="s">
        <v>46</v>
      </c>
      <c r="E2864" s="9">
        <v>1.0</v>
      </c>
      <c r="F2864" s="33">
        <v>1.0</v>
      </c>
      <c r="G2864" s="33">
        <v>850.0</v>
      </c>
      <c r="H2864" s="35">
        <v>46179.0</v>
      </c>
      <c r="I2864" s="2" t="s">
        <v>1183</v>
      </c>
      <c r="J2864" s="12" t="s">
        <v>2218</v>
      </c>
    </row>
    <row r="2865" ht="22.5" customHeight="1">
      <c r="A2865" s="2" t="s">
        <v>921</v>
      </c>
      <c r="B2865" s="2" t="s">
        <v>961</v>
      </c>
      <c r="C2865" s="2">
        <v>6612.0</v>
      </c>
      <c r="D2865" s="8" t="s">
        <v>46</v>
      </c>
      <c r="E2865" s="9">
        <v>3.0</v>
      </c>
      <c r="F2865" s="33">
        <v>1.0</v>
      </c>
      <c r="G2865" s="33">
        <v>850.0</v>
      </c>
      <c r="H2865" s="35">
        <v>46179.0</v>
      </c>
      <c r="I2865" s="2" t="s">
        <v>1183</v>
      </c>
      <c r="J2865" s="12" t="s">
        <v>2218</v>
      </c>
    </row>
    <row r="2866" ht="22.5" customHeight="1">
      <c r="A2866" s="2" t="s">
        <v>921</v>
      </c>
      <c r="B2866" s="2" t="s">
        <v>961</v>
      </c>
      <c r="C2866" s="2">
        <v>6612.0</v>
      </c>
      <c r="D2866" s="8" t="s">
        <v>46</v>
      </c>
      <c r="E2866" s="9">
        <v>5.0</v>
      </c>
      <c r="F2866" s="33">
        <v>1.0</v>
      </c>
      <c r="G2866" s="33">
        <v>850.0</v>
      </c>
      <c r="H2866" s="35">
        <v>46179.0</v>
      </c>
      <c r="I2866" s="2" t="s">
        <v>473</v>
      </c>
      <c r="J2866" s="12" t="s">
        <v>2218</v>
      </c>
    </row>
    <row r="2867" ht="22.5" customHeight="1">
      <c r="A2867" s="2" t="s">
        <v>921</v>
      </c>
      <c r="B2867" s="2" t="s">
        <v>961</v>
      </c>
      <c r="C2867" s="2">
        <v>6612.0</v>
      </c>
      <c r="D2867" s="8" t="s">
        <v>46</v>
      </c>
      <c r="E2867" s="9">
        <v>9.0</v>
      </c>
      <c r="F2867" s="33">
        <v>1.0</v>
      </c>
      <c r="G2867" s="33">
        <v>850.0</v>
      </c>
      <c r="H2867" s="35">
        <v>46179.0</v>
      </c>
      <c r="I2867" s="2" t="s">
        <v>473</v>
      </c>
      <c r="J2867" s="12" t="s">
        <v>2218</v>
      </c>
    </row>
    <row r="2868" ht="22.5" customHeight="1">
      <c r="A2868" s="2" t="s">
        <v>2187</v>
      </c>
      <c r="B2868" s="2" t="s">
        <v>762</v>
      </c>
      <c r="C2868" s="2" t="s">
        <v>763</v>
      </c>
      <c r="D2868" s="8" t="s">
        <v>46</v>
      </c>
      <c r="E2868" s="9" t="s">
        <v>2219</v>
      </c>
      <c r="F2868" s="33">
        <v>1.0</v>
      </c>
      <c r="G2868" s="33">
        <v>1290.0</v>
      </c>
      <c r="H2868" s="35">
        <v>46179.0</v>
      </c>
      <c r="I2868" s="2" t="s">
        <v>1183</v>
      </c>
      <c r="J2868" s="12" t="s">
        <v>2188</v>
      </c>
    </row>
    <row r="2869" ht="22.5" customHeight="1">
      <c r="A2869" s="2" t="s">
        <v>2187</v>
      </c>
      <c r="B2869" s="2" t="s">
        <v>892</v>
      </c>
      <c r="C2869" s="2" t="s">
        <v>893</v>
      </c>
      <c r="D2869" s="8">
        <v>38.0</v>
      </c>
      <c r="E2869" s="9" t="s">
        <v>47</v>
      </c>
      <c r="F2869" s="33">
        <v>1.0</v>
      </c>
      <c r="G2869" s="33">
        <v>2200.0</v>
      </c>
      <c r="H2869" s="35">
        <v>46179.0</v>
      </c>
      <c r="I2869" s="2" t="s">
        <v>1183</v>
      </c>
      <c r="J2869" s="12" t="s">
        <v>2188</v>
      </c>
    </row>
    <row r="2870" ht="22.5" customHeight="1">
      <c r="A2870" s="2" t="s">
        <v>699</v>
      </c>
      <c r="B2870" s="2" t="s">
        <v>1894</v>
      </c>
      <c r="C2870" s="2" t="s">
        <v>1895</v>
      </c>
      <c r="D2870" s="8" t="s">
        <v>46</v>
      </c>
      <c r="E2870" s="9" t="s">
        <v>914</v>
      </c>
      <c r="F2870" s="33">
        <v>1.0</v>
      </c>
      <c r="G2870" s="33">
        <v>1550.0</v>
      </c>
      <c r="H2870" s="35">
        <v>46179.0</v>
      </c>
      <c r="I2870" s="2" t="s">
        <v>1183</v>
      </c>
      <c r="J2870" s="12" t="s">
        <v>2220</v>
      </c>
    </row>
    <row r="2871" ht="22.5" customHeight="1">
      <c r="A2871" s="2" t="s">
        <v>699</v>
      </c>
      <c r="B2871" s="2" t="s">
        <v>1601</v>
      </c>
      <c r="C2871" s="2" t="s">
        <v>1602</v>
      </c>
      <c r="D2871" s="8">
        <v>38.0</v>
      </c>
      <c r="E2871" s="9" t="s">
        <v>13</v>
      </c>
      <c r="F2871" s="33">
        <v>1.0</v>
      </c>
      <c r="G2871" s="33">
        <v>1790.0</v>
      </c>
      <c r="H2871" s="35">
        <v>46179.0</v>
      </c>
      <c r="I2871" s="2" t="s">
        <v>1183</v>
      </c>
      <c r="J2871" s="12" t="s">
        <v>2220</v>
      </c>
    </row>
    <row r="2872" ht="22.5" customHeight="1">
      <c r="A2872" s="2" t="s">
        <v>2221</v>
      </c>
      <c r="B2872" s="2" t="s">
        <v>1991</v>
      </c>
      <c r="C2872" s="2" t="s">
        <v>1992</v>
      </c>
      <c r="D2872" s="8" t="s">
        <v>989</v>
      </c>
      <c r="E2872" s="9" t="s">
        <v>1996</v>
      </c>
      <c r="F2872" s="33">
        <v>1.0</v>
      </c>
      <c r="G2872" s="33">
        <v>1200.0</v>
      </c>
      <c r="H2872" s="35">
        <v>46179.0</v>
      </c>
      <c r="I2872" s="2" t="s">
        <v>1183</v>
      </c>
      <c r="J2872" s="12" t="s">
        <v>2222</v>
      </c>
    </row>
    <row r="2873" ht="22.5" customHeight="1">
      <c r="A2873" s="2" t="s">
        <v>2221</v>
      </c>
      <c r="B2873" s="2" t="s">
        <v>1991</v>
      </c>
      <c r="C2873" s="2" t="s">
        <v>1992</v>
      </c>
      <c r="D2873" s="8" t="s">
        <v>989</v>
      </c>
      <c r="E2873" s="9" t="s">
        <v>1993</v>
      </c>
      <c r="F2873" s="33">
        <v>1.0</v>
      </c>
      <c r="G2873" s="33">
        <v>1200.0</v>
      </c>
      <c r="H2873" s="35">
        <v>46179.0</v>
      </c>
      <c r="I2873" s="2" t="s">
        <v>1183</v>
      </c>
      <c r="J2873" s="12" t="s">
        <v>2222</v>
      </c>
    </row>
    <row r="2874" ht="22.5" customHeight="1">
      <c r="A2874" s="2" t="s">
        <v>2139</v>
      </c>
      <c r="B2874" s="2" t="s">
        <v>2058</v>
      </c>
      <c r="C2874" s="2" t="s">
        <v>2059</v>
      </c>
      <c r="D2874" s="8" t="s">
        <v>46</v>
      </c>
      <c r="E2874" s="9" t="s">
        <v>16</v>
      </c>
      <c r="F2874" s="33">
        <v>1.0</v>
      </c>
      <c r="G2874" s="33">
        <v>1550.0</v>
      </c>
      <c r="H2874" s="35">
        <v>46179.0</v>
      </c>
      <c r="I2874" s="2" t="s">
        <v>1183</v>
      </c>
      <c r="J2874" s="12" t="s">
        <v>2140</v>
      </c>
    </row>
    <row r="2875" ht="22.5" customHeight="1">
      <c r="A2875" s="2" t="s">
        <v>2223</v>
      </c>
      <c r="B2875" s="2" t="s">
        <v>1771</v>
      </c>
      <c r="C2875" s="2" t="s">
        <v>1772</v>
      </c>
      <c r="D2875" s="8">
        <v>35.0</v>
      </c>
      <c r="E2875" s="9" t="s">
        <v>23</v>
      </c>
      <c r="F2875" s="33">
        <v>1.0</v>
      </c>
      <c r="G2875" s="33">
        <v>2690.0</v>
      </c>
      <c r="H2875" s="35">
        <v>46180.0</v>
      </c>
      <c r="I2875" s="2" t="s">
        <v>1183</v>
      </c>
      <c r="J2875" s="12" t="s">
        <v>2224</v>
      </c>
    </row>
    <row r="2876" ht="22.5" customHeight="1">
      <c r="A2876" s="2" t="s">
        <v>2225</v>
      </c>
      <c r="B2876" s="2" t="s">
        <v>2058</v>
      </c>
      <c r="C2876" s="2" t="s">
        <v>2059</v>
      </c>
      <c r="D2876" s="8" t="s">
        <v>46</v>
      </c>
      <c r="E2876" s="9" t="s">
        <v>16</v>
      </c>
      <c r="F2876" s="33">
        <v>1.0</v>
      </c>
      <c r="G2876" s="33">
        <v>1550.0</v>
      </c>
      <c r="H2876" s="35">
        <v>46180.0</v>
      </c>
      <c r="I2876" s="2" t="s">
        <v>1645</v>
      </c>
      <c r="J2876" s="12" t="s">
        <v>2226</v>
      </c>
    </row>
    <row r="2877" ht="22.5" customHeight="1">
      <c r="A2877" s="2" t="s">
        <v>2227</v>
      </c>
      <c r="B2877" s="2" t="s">
        <v>2058</v>
      </c>
      <c r="C2877" s="2" t="s">
        <v>2059</v>
      </c>
      <c r="D2877" s="8" t="s">
        <v>46</v>
      </c>
      <c r="E2877" s="9" t="s">
        <v>16</v>
      </c>
      <c r="F2877" s="33">
        <v>1.0</v>
      </c>
      <c r="G2877" s="33">
        <v>1550.0</v>
      </c>
      <c r="H2877" s="35">
        <v>46180.0</v>
      </c>
      <c r="I2877" s="2" t="s">
        <v>1645</v>
      </c>
      <c r="J2877" s="12" t="s">
        <v>2228</v>
      </c>
    </row>
    <row r="2878" ht="22.5" customHeight="1">
      <c r="A2878" s="2" t="s">
        <v>189</v>
      </c>
      <c r="B2878" s="2" t="s">
        <v>2058</v>
      </c>
      <c r="C2878" s="2" t="s">
        <v>2059</v>
      </c>
      <c r="D2878" s="8" t="s">
        <v>46</v>
      </c>
      <c r="E2878" s="9" t="s">
        <v>16</v>
      </c>
      <c r="F2878" s="33">
        <v>1.0</v>
      </c>
      <c r="G2878" s="33">
        <v>1550.0</v>
      </c>
      <c r="H2878" s="35">
        <v>46180.0</v>
      </c>
      <c r="I2878" s="2" t="s">
        <v>1645</v>
      </c>
      <c r="J2878" s="12" t="s">
        <v>2229</v>
      </c>
    </row>
    <row r="2879" ht="22.5" customHeight="1">
      <c r="A2879" s="2" t="s">
        <v>2230</v>
      </c>
      <c r="B2879" s="2" t="s">
        <v>2058</v>
      </c>
      <c r="C2879" s="2" t="s">
        <v>2059</v>
      </c>
      <c r="D2879" s="8" t="s">
        <v>46</v>
      </c>
      <c r="E2879" s="9" t="s">
        <v>16</v>
      </c>
      <c r="F2879" s="33">
        <v>1.0</v>
      </c>
      <c r="G2879" s="33">
        <v>1550.0</v>
      </c>
      <c r="H2879" s="35">
        <v>46180.0</v>
      </c>
      <c r="I2879" s="2" t="s">
        <v>1645</v>
      </c>
      <c r="J2879" s="12" t="s">
        <v>2231</v>
      </c>
    </row>
    <row r="2880" ht="22.5" customHeight="1">
      <c r="A2880" s="2" t="s">
        <v>2232</v>
      </c>
      <c r="B2880" s="2" t="s">
        <v>2058</v>
      </c>
      <c r="C2880" s="2" t="s">
        <v>2059</v>
      </c>
      <c r="D2880" s="8" t="s">
        <v>46</v>
      </c>
      <c r="E2880" s="9" t="s">
        <v>16</v>
      </c>
      <c r="F2880" s="33">
        <v>1.0</v>
      </c>
      <c r="G2880" s="33">
        <v>1550.0</v>
      </c>
      <c r="H2880" s="35">
        <v>46180.0</v>
      </c>
      <c r="I2880" s="2" t="s">
        <v>1645</v>
      </c>
      <c r="J2880" s="12" t="s">
        <v>2233</v>
      </c>
    </row>
    <row r="2881" ht="22.5" customHeight="1">
      <c r="A2881" s="2" t="s">
        <v>103</v>
      </c>
      <c r="B2881" s="2" t="s">
        <v>2058</v>
      </c>
      <c r="C2881" s="2" t="s">
        <v>2059</v>
      </c>
      <c r="D2881" s="8" t="s">
        <v>46</v>
      </c>
      <c r="E2881" s="9" t="s">
        <v>16</v>
      </c>
      <c r="F2881" s="33">
        <v>2.0</v>
      </c>
      <c r="G2881" s="33">
        <v>1550.0</v>
      </c>
      <c r="H2881" s="35">
        <v>46180.0</v>
      </c>
      <c r="I2881" s="2" t="s">
        <v>1645</v>
      </c>
      <c r="J2881" s="12" t="s">
        <v>2066</v>
      </c>
    </row>
    <row r="2882" ht="22.5" customHeight="1">
      <c r="A2882" s="2" t="s">
        <v>2209</v>
      </c>
      <c r="B2882" s="2" t="s">
        <v>2058</v>
      </c>
      <c r="C2882" s="2" t="s">
        <v>2059</v>
      </c>
      <c r="D2882" s="8" t="s">
        <v>46</v>
      </c>
      <c r="E2882" s="9" t="s">
        <v>16</v>
      </c>
      <c r="F2882" s="33">
        <v>1.0</v>
      </c>
      <c r="G2882" s="33">
        <v>1550.0</v>
      </c>
      <c r="H2882" s="35">
        <v>46180.0</v>
      </c>
      <c r="I2882" s="2" t="s">
        <v>1645</v>
      </c>
      <c r="J2882" s="12" t="s">
        <v>2234</v>
      </c>
    </row>
    <row r="2883" ht="22.5" customHeight="1">
      <c r="A2883" s="2" t="s">
        <v>941</v>
      </c>
      <c r="B2883" s="2" t="s">
        <v>2058</v>
      </c>
      <c r="C2883" s="2" t="s">
        <v>2059</v>
      </c>
      <c r="D2883" s="8" t="s">
        <v>46</v>
      </c>
      <c r="E2883" s="9" t="s">
        <v>16</v>
      </c>
      <c r="F2883" s="33">
        <v>1.0</v>
      </c>
      <c r="G2883" s="33">
        <v>1550.0</v>
      </c>
      <c r="H2883" s="35">
        <v>46180.0</v>
      </c>
      <c r="I2883" s="2" t="s">
        <v>1645</v>
      </c>
      <c r="J2883" s="12" t="s">
        <v>2028</v>
      </c>
    </row>
    <row r="2884" ht="22.5" customHeight="1">
      <c r="A2884" s="2" t="s">
        <v>2235</v>
      </c>
      <c r="B2884" s="2" t="s">
        <v>2058</v>
      </c>
      <c r="C2884" s="2" t="s">
        <v>2059</v>
      </c>
      <c r="D2884" s="8" t="s">
        <v>46</v>
      </c>
      <c r="E2884" s="9" t="s">
        <v>16</v>
      </c>
      <c r="F2884" s="33">
        <v>1.0</v>
      </c>
      <c r="G2884" s="33">
        <v>1550.0</v>
      </c>
      <c r="H2884" s="35">
        <v>46180.0</v>
      </c>
      <c r="I2884" s="2" t="s">
        <v>1645</v>
      </c>
      <c r="J2884" s="12" t="s">
        <v>2236</v>
      </c>
    </row>
    <row r="2885" ht="22.5" customHeight="1">
      <c r="A2885" s="2" t="s">
        <v>1235</v>
      </c>
      <c r="B2885" s="2" t="s">
        <v>2058</v>
      </c>
      <c r="C2885" s="2" t="s">
        <v>2059</v>
      </c>
      <c r="D2885" s="8" t="s">
        <v>46</v>
      </c>
      <c r="E2885" s="9" t="s">
        <v>16</v>
      </c>
      <c r="F2885" s="33">
        <v>1.0</v>
      </c>
      <c r="G2885" s="33">
        <v>1550.0</v>
      </c>
      <c r="H2885" s="35">
        <v>46180.0</v>
      </c>
      <c r="I2885" s="2" t="s">
        <v>1645</v>
      </c>
      <c r="J2885" s="12" t="s">
        <v>2237</v>
      </c>
    </row>
    <row r="2886" ht="22.5" customHeight="1">
      <c r="A2886" s="2" t="s">
        <v>2238</v>
      </c>
      <c r="B2886" s="2" t="s">
        <v>2058</v>
      </c>
      <c r="C2886" s="2" t="s">
        <v>2059</v>
      </c>
      <c r="D2886" s="8" t="s">
        <v>46</v>
      </c>
      <c r="E2886" s="9" t="s">
        <v>16</v>
      </c>
      <c r="F2886" s="33">
        <v>1.0</v>
      </c>
      <c r="G2886" s="33">
        <v>1550.0</v>
      </c>
      <c r="H2886" s="35">
        <v>46180.0</v>
      </c>
      <c r="I2886" s="2" t="s">
        <v>1645</v>
      </c>
      <c r="J2886" s="12" t="s">
        <v>2239</v>
      </c>
    </row>
    <row r="2887" ht="22.5" customHeight="1">
      <c r="A2887" s="2" t="s">
        <v>2240</v>
      </c>
      <c r="B2887" s="2" t="s">
        <v>2058</v>
      </c>
      <c r="C2887" s="2" t="s">
        <v>2059</v>
      </c>
      <c r="D2887" s="8" t="s">
        <v>46</v>
      </c>
      <c r="E2887" s="9" t="s">
        <v>16</v>
      </c>
      <c r="F2887" s="33">
        <v>1.0</v>
      </c>
      <c r="G2887" s="33">
        <v>1550.0</v>
      </c>
      <c r="H2887" s="35">
        <v>46180.0</v>
      </c>
      <c r="I2887" s="2" t="s">
        <v>1645</v>
      </c>
      <c r="J2887" s="12" t="s">
        <v>2241</v>
      </c>
    </row>
    <row r="2888" ht="22.5" customHeight="1">
      <c r="A2888" s="2" t="s">
        <v>1116</v>
      </c>
      <c r="B2888" s="2" t="s">
        <v>2242</v>
      </c>
      <c r="C2888" s="2" t="s">
        <v>2243</v>
      </c>
      <c r="D2888" s="8" t="s">
        <v>12</v>
      </c>
      <c r="E2888" s="9" t="s">
        <v>58</v>
      </c>
      <c r="F2888" s="33">
        <v>1.0</v>
      </c>
      <c r="G2888" s="33">
        <v>1990.0</v>
      </c>
      <c r="H2888" s="35">
        <v>46180.0</v>
      </c>
      <c r="I2888" s="2" t="s">
        <v>1645</v>
      </c>
      <c r="J2888" s="12" t="s">
        <v>1117</v>
      </c>
    </row>
    <row r="2889" ht="22.5" customHeight="1">
      <c r="A2889" s="2" t="s">
        <v>65</v>
      </c>
      <c r="B2889" s="2" t="s">
        <v>2242</v>
      </c>
      <c r="C2889" s="2" t="s">
        <v>2243</v>
      </c>
      <c r="D2889" s="8" t="s">
        <v>12</v>
      </c>
      <c r="E2889" s="9" t="s">
        <v>58</v>
      </c>
      <c r="F2889" s="33">
        <v>1.0</v>
      </c>
      <c r="G2889" s="33">
        <v>1990.0</v>
      </c>
      <c r="H2889" s="35">
        <v>46180.0</v>
      </c>
      <c r="I2889" s="2" t="s">
        <v>1645</v>
      </c>
      <c r="J2889" s="12" t="s">
        <v>1778</v>
      </c>
    </row>
    <row r="2890" ht="22.5" customHeight="1">
      <c r="A2890" s="2" t="s">
        <v>2244</v>
      </c>
      <c r="B2890" s="2" t="s">
        <v>2242</v>
      </c>
      <c r="C2890" s="2" t="s">
        <v>2243</v>
      </c>
      <c r="D2890" s="8" t="s">
        <v>12</v>
      </c>
      <c r="E2890" s="9" t="s">
        <v>58</v>
      </c>
      <c r="F2890" s="33">
        <v>1.0</v>
      </c>
      <c r="G2890" s="33">
        <v>1990.0</v>
      </c>
      <c r="H2890" s="35">
        <v>46180.0</v>
      </c>
      <c r="I2890" s="2" t="s">
        <v>1645</v>
      </c>
      <c r="J2890" s="12" t="s">
        <v>2245</v>
      </c>
    </row>
    <row r="2891" ht="22.5" customHeight="1">
      <c r="A2891" s="2" t="s">
        <v>849</v>
      </c>
      <c r="B2891" s="2" t="s">
        <v>2242</v>
      </c>
      <c r="C2891" s="2" t="s">
        <v>2243</v>
      </c>
      <c r="D2891" s="8" t="s">
        <v>22</v>
      </c>
      <c r="E2891" s="9" t="s">
        <v>58</v>
      </c>
      <c r="F2891" s="33">
        <v>1.0</v>
      </c>
      <c r="G2891" s="33">
        <v>1990.0</v>
      </c>
      <c r="H2891" s="35">
        <v>46180.0</v>
      </c>
      <c r="I2891" s="2" t="s">
        <v>1645</v>
      </c>
      <c r="J2891" s="12" t="s">
        <v>2246</v>
      </c>
    </row>
    <row r="2892" ht="22.5" customHeight="1">
      <c r="A2892" s="2" t="s">
        <v>1162</v>
      </c>
      <c r="B2892" s="2" t="s">
        <v>2242</v>
      </c>
      <c r="C2892" s="2" t="s">
        <v>2243</v>
      </c>
      <c r="D2892" s="8" t="s">
        <v>12</v>
      </c>
      <c r="E2892" s="9" t="s">
        <v>58</v>
      </c>
      <c r="F2892" s="33">
        <v>1.0</v>
      </c>
      <c r="G2892" s="33">
        <v>1990.0</v>
      </c>
      <c r="H2892" s="35">
        <v>46180.0</v>
      </c>
      <c r="I2892" s="2" t="s">
        <v>1645</v>
      </c>
      <c r="J2892" s="12" t="s">
        <v>2247</v>
      </c>
    </row>
    <row r="2893" ht="22.5" customHeight="1">
      <c r="A2893" s="2" t="s">
        <v>2248</v>
      </c>
      <c r="B2893" s="2" t="s">
        <v>2242</v>
      </c>
      <c r="C2893" s="2" t="s">
        <v>2243</v>
      </c>
      <c r="D2893" s="8" t="s">
        <v>12</v>
      </c>
      <c r="E2893" s="9" t="s">
        <v>58</v>
      </c>
      <c r="F2893" s="33">
        <v>1.0</v>
      </c>
      <c r="G2893" s="33">
        <v>1990.0</v>
      </c>
      <c r="H2893" s="35">
        <v>46180.0</v>
      </c>
      <c r="I2893" s="2" t="s">
        <v>1645</v>
      </c>
      <c r="J2893" s="12" t="s">
        <v>2249</v>
      </c>
    </row>
    <row r="2894" ht="22.5" customHeight="1">
      <c r="A2894" s="2" t="s">
        <v>1694</v>
      </c>
      <c r="B2894" s="2" t="s">
        <v>2242</v>
      </c>
      <c r="C2894" s="2" t="s">
        <v>2243</v>
      </c>
      <c r="D2894" s="8" t="s">
        <v>12</v>
      </c>
      <c r="E2894" s="9" t="s">
        <v>58</v>
      </c>
      <c r="F2894" s="33">
        <v>1.0</v>
      </c>
      <c r="G2894" s="33">
        <v>1990.0</v>
      </c>
      <c r="H2894" s="35">
        <v>46180.0</v>
      </c>
      <c r="I2894" s="2" t="s">
        <v>1645</v>
      </c>
      <c r="J2894" s="12" t="s">
        <v>1695</v>
      </c>
    </row>
    <row r="2895" ht="22.5" customHeight="1">
      <c r="A2895" s="2" t="s">
        <v>1138</v>
      </c>
      <c r="B2895" s="2" t="s">
        <v>2250</v>
      </c>
      <c r="C2895" s="2" t="s">
        <v>2251</v>
      </c>
      <c r="D2895" s="8" t="s">
        <v>75</v>
      </c>
      <c r="E2895" s="9" t="s">
        <v>16</v>
      </c>
      <c r="F2895" s="33">
        <v>1.0</v>
      </c>
      <c r="G2895" s="33">
        <v>1350.0</v>
      </c>
      <c r="H2895" s="35">
        <v>46180.0</v>
      </c>
      <c r="I2895" s="2" t="s">
        <v>1645</v>
      </c>
      <c r="J2895" s="12" t="s">
        <v>1963</v>
      </c>
    </row>
    <row r="2896" ht="22.5" customHeight="1">
      <c r="A2896" s="2" t="s">
        <v>2252</v>
      </c>
      <c r="B2896" s="2" t="s">
        <v>2250</v>
      </c>
      <c r="C2896" s="2" t="s">
        <v>2251</v>
      </c>
      <c r="D2896" s="8" t="s">
        <v>22</v>
      </c>
      <c r="E2896" s="9" t="s">
        <v>16</v>
      </c>
      <c r="F2896" s="33">
        <v>1.0</v>
      </c>
      <c r="G2896" s="33">
        <v>1350.0</v>
      </c>
      <c r="H2896" s="35">
        <v>46180.0</v>
      </c>
      <c r="I2896" s="2" t="s">
        <v>1183</v>
      </c>
      <c r="J2896" s="2" t="s">
        <v>2252</v>
      </c>
    </row>
    <row r="2897" ht="22.5" customHeight="1">
      <c r="A2897" s="2" t="s">
        <v>832</v>
      </c>
      <c r="B2897" s="2" t="s">
        <v>2250</v>
      </c>
      <c r="C2897" s="2" t="s">
        <v>2251</v>
      </c>
      <c r="D2897" s="8" t="s">
        <v>22</v>
      </c>
      <c r="E2897" s="9" t="s">
        <v>16</v>
      </c>
      <c r="F2897" s="33">
        <v>1.0</v>
      </c>
      <c r="G2897" s="33">
        <v>1350.0</v>
      </c>
      <c r="H2897" s="35">
        <v>46180.0</v>
      </c>
      <c r="I2897" s="2" t="s">
        <v>1183</v>
      </c>
      <c r="J2897" s="12" t="s">
        <v>1777</v>
      </c>
    </row>
    <row r="2898" ht="22.5" customHeight="1">
      <c r="A2898" s="2" t="s">
        <v>1799</v>
      </c>
      <c r="B2898" s="2" t="s">
        <v>2250</v>
      </c>
      <c r="C2898" s="2" t="s">
        <v>2251</v>
      </c>
      <c r="D2898" s="8" t="s">
        <v>1037</v>
      </c>
      <c r="E2898" s="9" t="s">
        <v>16</v>
      </c>
      <c r="F2898" s="33">
        <v>1.0</v>
      </c>
      <c r="G2898" s="33">
        <v>1350.0</v>
      </c>
      <c r="H2898" s="35">
        <v>46180.0</v>
      </c>
      <c r="I2898" s="2" t="s">
        <v>1645</v>
      </c>
      <c r="J2898" s="12" t="s">
        <v>1800</v>
      </c>
    </row>
    <row r="2899" ht="22.5" customHeight="1">
      <c r="A2899" s="2" t="s">
        <v>247</v>
      </c>
      <c r="B2899" s="2" t="s">
        <v>2250</v>
      </c>
      <c r="C2899" s="2" t="s">
        <v>2251</v>
      </c>
      <c r="D2899" s="8" t="s">
        <v>22</v>
      </c>
      <c r="E2899" s="9" t="s">
        <v>16</v>
      </c>
      <c r="F2899" s="33">
        <v>1.0</v>
      </c>
      <c r="G2899" s="33">
        <v>1350.0</v>
      </c>
      <c r="H2899" s="35">
        <v>46180.0</v>
      </c>
      <c r="I2899" s="2" t="s">
        <v>1183</v>
      </c>
      <c r="J2899" s="12" t="s">
        <v>2253</v>
      </c>
    </row>
    <row r="2900" ht="22.5" customHeight="1">
      <c r="A2900" s="2" t="s">
        <v>127</v>
      </c>
      <c r="B2900" s="2" t="s">
        <v>2250</v>
      </c>
      <c r="C2900" s="2" t="s">
        <v>2251</v>
      </c>
      <c r="D2900" s="8" t="s">
        <v>22</v>
      </c>
      <c r="E2900" s="9" t="s">
        <v>16</v>
      </c>
      <c r="F2900" s="33">
        <v>1.0</v>
      </c>
      <c r="G2900" s="33">
        <v>1350.0</v>
      </c>
      <c r="H2900" s="35">
        <v>46180.0</v>
      </c>
      <c r="I2900" s="2" t="s">
        <v>1183</v>
      </c>
      <c r="J2900" s="12" t="s">
        <v>1969</v>
      </c>
    </row>
    <row r="2901" ht="22.5" customHeight="1">
      <c r="A2901" s="2" t="s">
        <v>2254</v>
      </c>
      <c r="B2901" s="2" t="s">
        <v>2250</v>
      </c>
      <c r="C2901" s="2" t="s">
        <v>2251</v>
      </c>
      <c r="D2901" s="8" t="s">
        <v>22</v>
      </c>
      <c r="E2901" s="9" t="s">
        <v>16</v>
      </c>
      <c r="F2901" s="33">
        <v>1.0</v>
      </c>
      <c r="G2901" s="33">
        <v>1350.0</v>
      </c>
      <c r="H2901" s="35">
        <v>46180.0</v>
      </c>
      <c r="I2901" s="2" t="s">
        <v>1183</v>
      </c>
      <c r="J2901" s="12" t="s">
        <v>2255</v>
      </c>
    </row>
    <row r="2902" ht="22.5" customHeight="1">
      <c r="A2902" s="2" t="s">
        <v>2256</v>
      </c>
      <c r="B2902" s="2" t="s">
        <v>2250</v>
      </c>
      <c r="C2902" s="2" t="s">
        <v>2251</v>
      </c>
      <c r="D2902" s="8" t="s">
        <v>1037</v>
      </c>
      <c r="E2902" s="9" t="s">
        <v>16</v>
      </c>
      <c r="F2902" s="33">
        <v>1.0</v>
      </c>
      <c r="G2902" s="33">
        <v>1350.0</v>
      </c>
      <c r="H2902" s="35">
        <v>46180.0</v>
      </c>
      <c r="I2902" s="2" t="s">
        <v>1645</v>
      </c>
      <c r="J2902" s="12" t="s">
        <v>2257</v>
      </c>
    </row>
    <row r="2903" ht="22.5" customHeight="1">
      <c r="A2903" s="2" t="s">
        <v>2133</v>
      </c>
      <c r="B2903" s="2" t="s">
        <v>2250</v>
      </c>
      <c r="C2903" s="2" t="s">
        <v>2251</v>
      </c>
      <c r="D2903" s="8" t="s">
        <v>22</v>
      </c>
      <c r="E2903" s="9" t="s">
        <v>16</v>
      </c>
      <c r="F2903" s="33">
        <v>3.0</v>
      </c>
      <c r="G2903" s="33">
        <v>1350.0</v>
      </c>
      <c r="H2903" s="35">
        <v>46180.0</v>
      </c>
      <c r="I2903" s="2" t="s">
        <v>1183</v>
      </c>
      <c r="J2903" s="12" t="s">
        <v>2258</v>
      </c>
    </row>
    <row r="2904" ht="22.5" customHeight="1">
      <c r="A2904" s="2" t="s">
        <v>32</v>
      </c>
      <c r="B2904" s="2" t="s">
        <v>2250</v>
      </c>
      <c r="C2904" s="2" t="s">
        <v>2251</v>
      </c>
      <c r="D2904" s="8" t="s">
        <v>22</v>
      </c>
      <c r="E2904" s="9" t="s">
        <v>16</v>
      </c>
      <c r="F2904" s="33">
        <v>1.0</v>
      </c>
      <c r="G2904" s="33">
        <v>1350.0</v>
      </c>
      <c r="H2904" s="35">
        <v>46180.0</v>
      </c>
      <c r="I2904" s="2" t="s">
        <v>1183</v>
      </c>
      <c r="J2904" s="12" t="s">
        <v>2259</v>
      </c>
    </row>
    <row r="2905" ht="22.5" customHeight="1">
      <c r="A2905" s="2" t="s">
        <v>600</v>
      </c>
      <c r="B2905" s="2" t="s">
        <v>2250</v>
      </c>
      <c r="C2905" s="2" t="s">
        <v>2251</v>
      </c>
      <c r="D2905" s="8" t="s">
        <v>22</v>
      </c>
      <c r="E2905" s="9" t="s">
        <v>16</v>
      </c>
      <c r="F2905" s="33">
        <v>1.0</v>
      </c>
      <c r="G2905" s="33">
        <v>1350.0</v>
      </c>
      <c r="H2905" s="35">
        <v>46180.0</v>
      </c>
      <c r="I2905" s="2" t="s">
        <v>1183</v>
      </c>
      <c r="J2905" s="12" t="s">
        <v>2049</v>
      </c>
    </row>
    <row r="2906" ht="22.5" customHeight="1">
      <c r="A2906" s="2" t="s">
        <v>2260</v>
      </c>
      <c r="B2906" s="2" t="s">
        <v>2261</v>
      </c>
      <c r="C2906" s="2" t="s">
        <v>2262</v>
      </c>
      <c r="D2906" s="8" t="s">
        <v>46</v>
      </c>
      <c r="E2906" s="9" t="s">
        <v>47</v>
      </c>
      <c r="F2906" s="33">
        <v>1.0</v>
      </c>
      <c r="G2906" s="33">
        <v>3900.0</v>
      </c>
      <c r="H2906" s="35">
        <v>46180.0</v>
      </c>
      <c r="I2906" s="2" t="s">
        <v>1183</v>
      </c>
      <c r="J2906" s="12" t="s">
        <v>2263</v>
      </c>
    </row>
    <row r="2907" ht="22.5" customHeight="1">
      <c r="A2907" s="2" t="s">
        <v>421</v>
      </c>
      <c r="B2907" s="2" t="s">
        <v>2261</v>
      </c>
      <c r="C2907" s="2" t="s">
        <v>2262</v>
      </c>
      <c r="D2907" s="8" t="s">
        <v>46</v>
      </c>
      <c r="E2907" s="9" t="s">
        <v>47</v>
      </c>
      <c r="F2907" s="33">
        <v>1.0</v>
      </c>
      <c r="G2907" s="33">
        <v>3900.0</v>
      </c>
      <c r="H2907" s="35">
        <v>46180.0</v>
      </c>
      <c r="I2907" s="2" t="s">
        <v>1183</v>
      </c>
      <c r="J2907" s="12" t="s">
        <v>2264</v>
      </c>
    </row>
    <row r="2908" ht="22.5" customHeight="1">
      <c r="A2908" s="2" t="s">
        <v>1911</v>
      </c>
      <c r="B2908" s="2" t="s">
        <v>2261</v>
      </c>
      <c r="C2908" s="2" t="s">
        <v>2262</v>
      </c>
      <c r="D2908" s="8" t="s">
        <v>46</v>
      </c>
      <c r="E2908" s="9" t="s">
        <v>47</v>
      </c>
      <c r="F2908" s="33">
        <v>1.0</v>
      </c>
      <c r="G2908" s="33">
        <v>3900.0</v>
      </c>
      <c r="H2908" s="35">
        <v>46180.0</v>
      </c>
      <c r="I2908" s="2" t="s">
        <v>1183</v>
      </c>
      <c r="J2908" s="12" t="s">
        <v>1912</v>
      </c>
    </row>
    <row r="2909" ht="22.5" customHeight="1">
      <c r="A2909" s="2" t="s">
        <v>1175</v>
      </c>
      <c r="B2909" s="2" t="s">
        <v>2261</v>
      </c>
      <c r="C2909" s="2" t="s">
        <v>2262</v>
      </c>
      <c r="D2909" s="8" t="s">
        <v>46</v>
      </c>
      <c r="E2909" s="9" t="s">
        <v>47</v>
      </c>
      <c r="F2909" s="33">
        <v>1.0</v>
      </c>
      <c r="G2909" s="33">
        <v>3900.0</v>
      </c>
      <c r="H2909" s="35">
        <v>46180.0</v>
      </c>
      <c r="I2909" s="2" t="s">
        <v>1183</v>
      </c>
      <c r="J2909" s="12" t="s">
        <v>1177</v>
      </c>
    </row>
    <row r="2910" ht="22.5" customHeight="1">
      <c r="A2910" s="2" t="s">
        <v>1063</v>
      </c>
      <c r="B2910" s="2" t="s">
        <v>2261</v>
      </c>
      <c r="C2910" s="2" t="s">
        <v>2262</v>
      </c>
      <c r="D2910" s="8" t="s">
        <v>46</v>
      </c>
      <c r="E2910" s="9" t="s">
        <v>47</v>
      </c>
      <c r="F2910" s="33">
        <v>1.0</v>
      </c>
      <c r="G2910" s="33">
        <v>3900.0</v>
      </c>
      <c r="H2910" s="35">
        <v>46180.0</v>
      </c>
      <c r="I2910" s="2" t="s">
        <v>1183</v>
      </c>
      <c r="J2910" s="12" t="s">
        <v>1064</v>
      </c>
    </row>
    <row r="2911" ht="22.5" customHeight="1">
      <c r="A2911" s="2" t="s">
        <v>65</v>
      </c>
      <c r="B2911" s="2" t="s">
        <v>2261</v>
      </c>
      <c r="C2911" s="2" t="s">
        <v>2262</v>
      </c>
      <c r="D2911" s="8" t="s">
        <v>46</v>
      </c>
      <c r="E2911" s="9" t="s">
        <v>47</v>
      </c>
      <c r="F2911" s="33">
        <v>1.0</v>
      </c>
      <c r="G2911" s="33">
        <v>3900.0</v>
      </c>
      <c r="H2911" s="35">
        <v>46180.0</v>
      </c>
      <c r="I2911" s="2" t="s">
        <v>1183</v>
      </c>
      <c r="J2911" s="12" t="s">
        <v>1778</v>
      </c>
    </row>
    <row r="2912" ht="22.5" customHeight="1">
      <c r="A2912" s="2" t="s">
        <v>2265</v>
      </c>
      <c r="B2912" s="2" t="s">
        <v>2261</v>
      </c>
      <c r="C2912" s="2" t="s">
        <v>2262</v>
      </c>
      <c r="D2912" s="8" t="s">
        <v>46</v>
      </c>
      <c r="E2912" s="9" t="s">
        <v>47</v>
      </c>
      <c r="F2912" s="33">
        <v>1.0</v>
      </c>
      <c r="G2912" s="33">
        <v>3900.0</v>
      </c>
      <c r="H2912" s="35">
        <v>46180.0</v>
      </c>
      <c r="I2912" s="2" t="s">
        <v>1183</v>
      </c>
      <c r="J2912" s="12" t="s">
        <v>2266</v>
      </c>
    </row>
    <row r="2913" ht="22.5" customHeight="1">
      <c r="A2913" s="2" t="s">
        <v>451</v>
      </c>
      <c r="B2913" s="2" t="s">
        <v>2261</v>
      </c>
      <c r="C2913" s="2" t="s">
        <v>2262</v>
      </c>
      <c r="D2913" s="8" t="s">
        <v>46</v>
      </c>
      <c r="E2913" s="9" t="s">
        <v>47</v>
      </c>
      <c r="F2913" s="33">
        <v>1.0</v>
      </c>
      <c r="G2913" s="33">
        <v>3900.0</v>
      </c>
      <c r="H2913" s="35">
        <v>46180.0</v>
      </c>
      <c r="I2913" s="2" t="s">
        <v>1183</v>
      </c>
      <c r="J2913" s="12" t="s">
        <v>1722</v>
      </c>
    </row>
    <row r="2914" ht="22.5" customHeight="1">
      <c r="A2914" s="2" t="s">
        <v>2267</v>
      </c>
      <c r="B2914" s="2" t="s">
        <v>2261</v>
      </c>
      <c r="C2914" s="2" t="s">
        <v>2262</v>
      </c>
      <c r="D2914" s="8" t="s">
        <v>46</v>
      </c>
      <c r="E2914" s="9" t="s">
        <v>47</v>
      </c>
      <c r="F2914" s="33">
        <v>1.0</v>
      </c>
      <c r="G2914" s="33">
        <v>3900.0</v>
      </c>
      <c r="H2914" s="35">
        <v>46180.0</v>
      </c>
      <c r="I2914" s="2" t="s">
        <v>1183</v>
      </c>
      <c r="J2914" s="12" t="s">
        <v>2268</v>
      </c>
    </row>
    <row r="2915" ht="22.5" customHeight="1">
      <c r="A2915" s="2" t="s">
        <v>2269</v>
      </c>
      <c r="B2915" s="2" t="s">
        <v>2261</v>
      </c>
      <c r="C2915" s="2" t="s">
        <v>2262</v>
      </c>
      <c r="D2915" s="8" t="s">
        <v>46</v>
      </c>
      <c r="E2915" s="9" t="s">
        <v>47</v>
      </c>
      <c r="F2915" s="33">
        <v>1.0</v>
      </c>
      <c r="G2915" s="33">
        <v>3900.0</v>
      </c>
      <c r="H2915" s="35">
        <v>46180.0</v>
      </c>
      <c r="I2915" s="2" t="s">
        <v>1183</v>
      </c>
      <c r="J2915" s="12" t="s">
        <v>2270</v>
      </c>
    </row>
    <row r="2916" ht="22.5" customHeight="1">
      <c r="A2916" s="2" t="s">
        <v>2271</v>
      </c>
      <c r="B2916" s="2" t="s">
        <v>2261</v>
      </c>
      <c r="C2916" s="2" t="s">
        <v>2262</v>
      </c>
      <c r="D2916" s="8" t="s">
        <v>46</v>
      </c>
      <c r="E2916" s="9" t="s">
        <v>47</v>
      </c>
      <c r="F2916" s="33">
        <v>1.0</v>
      </c>
      <c r="G2916" s="33">
        <v>3900.0</v>
      </c>
      <c r="H2916" s="35">
        <v>46180.0</v>
      </c>
      <c r="I2916" s="2" t="s">
        <v>1183</v>
      </c>
      <c r="J2916" s="12" t="s">
        <v>2272</v>
      </c>
    </row>
    <row r="2917" ht="22.5" customHeight="1">
      <c r="A2917" s="2" t="s">
        <v>707</v>
      </c>
      <c r="B2917" s="2" t="s">
        <v>2261</v>
      </c>
      <c r="C2917" s="2" t="s">
        <v>2262</v>
      </c>
      <c r="D2917" s="8" t="s">
        <v>46</v>
      </c>
      <c r="E2917" s="9" t="s">
        <v>47</v>
      </c>
      <c r="F2917" s="33">
        <v>1.0</v>
      </c>
      <c r="G2917" s="33">
        <v>3900.0</v>
      </c>
      <c r="H2917" s="35">
        <v>46180.0</v>
      </c>
      <c r="I2917" s="2" t="s">
        <v>1183</v>
      </c>
      <c r="J2917" s="12" t="s">
        <v>1881</v>
      </c>
    </row>
    <row r="2918" ht="22.5" customHeight="1">
      <c r="A2918" s="2" t="s">
        <v>2273</v>
      </c>
      <c r="B2918" s="2" t="s">
        <v>2261</v>
      </c>
      <c r="C2918" s="2" t="s">
        <v>2262</v>
      </c>
      <c r="D2918" s="8" t="s">
        <v>46</v>
      </c>
      <c r="E2918" s="9" t="s">
        <v>47</v>
      </c>
      <c r="F2918" s="33">
        <v>1.0</v>
      </c>
      <c r="G2918" s="33">
        <v>3900.0</v>
      </c>
      <c r="H2918" s="35">
        <v>46180.0</v>
      </c>
      <c r="I2918" s="2" t="s">
        <v>1183</v>
      </c>
      <c r="J2918" s="12" t="s">
        <v>2274</v>
      </c>
    </row>
    <row r="2919" ht="22.5" customHeight="1">
      <c r="A2919" s="2" t="s">
        <v>2248</v>
      </c>
      <c r="B2919" s="2" t="s">
        <v>2261</v>
      </c>
      <c r="C2919" s="2" t="s">
        <v>2262</v>
      </c>
      <c r="D2919" s="8" t="s">
        <v>46</v>
      </c>
      <c r="E2919" s="9" t="s">
        <v>47</v>
      </c>
      <c r="F2919" s="33">
        <v>1.0</v>
      </c>
      <c r="G2919" s="33">
        <v>3900.0</v>
      </c>
      <c r="H2919" s="35">
        <v>46180.0</v>
      </c>
      <c r="I2919" s="2" t="s">
        <v>1183</v>
      </c>
      <c r="J2919" s="12" t="s">
        <v>2249</v>
      </c>
    </row>
    <row r="2920" ht="22.5" customHeight="1">
      <c r="A2920" s="2" t="s">
        <v>2275</v>
      </c>
      <c r="B2920" s="2" t="s">
        <v>2261</v>
      </c>
      <c r="C2920" s="2" t="s">
        <v>2262</v>
      </c>
      <c r="D2920" s="8" t="s">
        <v>46</v>
      </c>
      <c r="E2920" s="9" t="s">
        <v>47</v>
      </c>
      <c r="F2920" s="33">
        <v>1.0</v>
      </c>
      <c r="G2920" s="33">
        <v>3900.0</v>
      </c>
      <c r="H2920" s="35">
        <v>46180.0</v>
      </c>
      <c r="I2920" s="2" t="s">
        <v>1183</v>
      </c>
      <c r="J2920" s="12" t="s">
        <v>2276</v>
      </c>
    </row>
    <row r="2921" ht="22.5" customHeight="1">
      <c r="A2921" s="2" t="s">
        <v>1447</v>
      </c>
      <c r="B2921" s="2" t="s">
        <v>2277</v>
      </c>
      <c r="C2921" s="2">
        <v>8012.0</v>
      </c>
      <c r="D2921" s="8" t="s">
        <v>46</v>
      </c>
      <c r="E2921" s="9" t="s">
        <v>26</v>
      </c>
      <c r="F2921" s="33">
        <v>1.0</v>
      </c>
      <c r="G2921" s="33">
        <v>2990.0</v>
      </c>
      <c r="H2921" s="35">
        <v>46180.0</v>
      </c>
      <c r="I2921" s="2" t="s">
        <v>1645</v>
      </c>
      <c r="J2921" s="12" t="s">
        <v>2278</v>
      </c>
    </row>
    <row r="2922" ht="22.5" customHeight="1">
      <c r="A2922" s="2" t="s">
        <v>1447</v>
      </c>
      <c r="B2922" s="2" t="s">
        <v>2277</v>
      </c>
      <c r="C2922" s="2">
        <v>8012.0</v>
      </c>
      <c r="D2922" s="8" t="s">
        <v>46</v>
      </c>
      <c r="E2922" s="9" t="s">
        <v>415</v>
      </c>
      <c r="F2922" s="33">
        <v>1.0</v>
      </c>
      <c r="G2922" s="33">
        <v>2990.0</v>
      </c>
      <c r="H2922" s="35">
        <v>46180.0</v>
      </c>
      <c r="I2922" s="2" t="s">
        <v>1645</v>
      </c>
      <c r="J2922" s="12" t="s">
        <v>2278</v>
      </c>
    </row>
    <row r="2923" ht="22.5" customHeight="1">
      <c r="A2923" s="2" t="s">
        <v>50</v>
      </c>
      <c r="B2923" s="2" t="s">
        <v>2277</v>
      </c>
      <c r="C2923" s="2">
        <v>8012.0</v>
      </c>
      <c r="D2923" s="8" t="s">
        <v>46</v>
      </c>
      <c r="E2923" s="9" t="s">
        <v>415</v>
      </c>
      <c r="F2923" s="33">
        <v>1.0</v>
      </c>
      <c r="G2923" s="33">
        <v>2990.0</v>
      </c>
      <c r="H2923" s="35">
        <v>46180.0</v>
      </c>
      <c r="I2923" s="2" t="s">
        <v>1645</v>
      </c>
      <c r="J2923" s="12" t="s">
        <v>1997</v>
      </c>
    </row>
    <row r="2924" ht="22.5" customHeight="1">
      <c r="A2924" s="2" t="s">
        <v>2279</v>
      </c>
      <c r="B2924" s="2" t="s">
        <v>2277</v>
      </c>
      <c r="C2924" s="2">
        <v>8012.0</v>
      </c>
      <c r="D2924" s="8" t="s">
        <v>46</v>
      </c>
      <c r="E2924" s="9" t="s">
        <v>415</v>
      </c>
      <c r="F2924" s="33">
        <v>1.0</v>
      </c>
      <c r="G2924" s="33">
        <v>2990.0</v>
      </c>
      <c r="H2924" s="35">
        <v>46180.0</v>
      </c>
      <c r="I2924" s="2" t="s">
        <v>1645</v>
      </c>
      <c r="J2924" s="12" t="s">
        <v>2280</v>
      </c>
    </row>
    <row r="2925" ht="22.5" customHeight="1">
      <c r="A2925" s="2" t="s">
        <v>312</v>
      </c>
      <c r="B2925" s="2" t="s">
        <v>2277</v>
      </c>
      <c r="C2925" s="2">
        <v>8012.0</v>
      </c>
      <c r="D2925" s="8" t="s">
        <v>46</v>
      </c>
      <c r="E2925" s="9" t="s">
        <v>415</v>
      </c>
      <c r="F2925" s="33">
        <v>1.0</v>
      </c>
      <c r="G2925" s="33">
        <v>2990.0</v>
      </c>
      <c r="H2925" s="35">
        <v>46180.0</v>
      </c>
      <c r="I2925" s="2" t="s">
        <v>1645</v>
      </c>
      <c r="J2925" s="12" t="s">
        <v>2113</v>
      </c>
    </row>
    <row r="2926" ht="22.5" customHeight="1">
      <c r="A2926" s="2" t="s">
        <v>849</v>
      </c>
      <c r="B2926" s="2" t="s">
        <v>2277</v>
      </c>
      <c r="C2926" s="2">
        <v>8012.0</v>
      </c>
      <c r="D2926" s="8" t="s">
        <v>46</v>
      </c>
      <c r="E2926" s="9" t="s">
        <v>26</v>
      </c>
      <c r="F2926" s="33">
        <v>1.0</v>
      </c>
      <c r="G2926" s="33">
        <v>2990.0</v>
      </c>
      <c r="H2926" s="35">
        <v>46180.0</v>
      </c>
      <c r="I2926" s="2" t="s">
        <v>1645</v>
      </c>
      <c r="J2926" s="12" t="s">
        <v>2246</v>
      </c>
    </row>
    <row r="2927" ht="22.5" customHeight="1">
      <c r="A2927" s="2" t="s">
        <v>1977</v>
      </c>
      <c r="B2927" s="2" t="s">
        <v>2277</v>
      </c>
      <c r="C2927" s="2">
        <v>8012.0</v>
      </c>
      <c r="D2927" s="8" t="s">
        <v>46</v>
      </c>
      <c r="E2927" s="9" t="s">
        <v>26</v>
      </c>
      <c r="F2927" s="33">
        <v>1.0</v>
      </c>
      <c r="G2927" s="33">
        <v>2990.0</v>
      </c>
      <c r="H2927" s="35">
        <v>46180.0</v>
      </c>
      <c r="I2927" s="2" t="s">
        <v>1645</v>
      </c>
      <c r="J2927" s="12" t="s">
        <v>1978</v>
      </c>
    </row>
    <row r="2928" ht="22.5" customHeight="1">
      <c r="A2928" s="2" t="s">
        <v>80</v>
      </c>
      <c r="B2928" s="2" t="s">
        <v>2277</v>
      </c>
      <c r="C2928" s="2">
        <v>8012.0</v>
      </c>
      <c r="D2928" s="8" t="s">
        <v>46</v>
      </c>
      <c r="E2928" s="9" t="s">
        <v>415</v>
      </c>
      <c r="F2928" s="33">
        <v>1.0</v>
      </c>
      <c r="G2928" s="33">
        <v>2990.0</v>
      </c>
      <c r="H2928" s="35">
        <v>46180.0</v>
      </c>
      <c r="I2928" s="2" t="s">
        <v>1645</v>
      </c>
      <c r="J2928" s="12" t="s">
        <v>1237</v>
      </c>
    </row>
    <row r="2929" ht="22.5" customHeight="1">
      <c r="A2929" s="2" t="s">
        <v>1131</v>
      </c>
      <c r="B2929" s="2" t="s">
        <v>961</v>
      </c>
      <c r="C2929" s="2">
        <v>6612.0</v>
      </c>
      <c r="D2929" s="8" t="s">
        <v>46</v>
      </c>
      <c r="E2929" s="9">
        <v>5.0</v>
      </c>
      <c r="F2929" s="33">
        <v>1.0</v>
      </c>
      <c r="G2929" s="33">
        <v>850.0</v>
      </c>
      <c r="H2929" s="35">
        <v>46182.0</v>
      </c>
      <c r="I2929" s="2" t="s">
        <v>14</v>
      </c>
      <c r="J2929" s="12" t="s">
        <v>1802</v>
      </c>
    </row>
    <row r="2930" ht="22.5" customHeight="1">
      <c r="A2930" s="2" t="s">
        <v>2281</v>
      </c>
      <c r="B2930" s="2" t="s">
        <v>234</v>
      </c>
      <c r="C2930" s="2">
        <v>8740.0</v>
      </c>
      <c r="D2930" s="8" t="s">
        <v>22</v>
      </c>
      <c r="E2930" s="9" t="s">
        <v>47</v>
      </c>
      <c r="F2930" s="33">
        <v>1.0</v>
      </c>
      <c r="G2930" s="33">
        <v>1600.0</v>
      </c>
      <c r="H2930" s="35">
        <v>46182.0</v>
      </c>
      <c r="I2930" s="2" t="s">
        <v>14</v>
      </c>
      <c r="J2930" s="2"/>
    </row>
    <row r="2931" ht="22.5" customHeight="1">
      <c r="A2931" s="2" t="s">
        <v>2281</v>
      </c>
      <c r="B2931" s="2" t="s">
        <v>1081</v>
      </c>
      <c r="C2931" s="2">
        <v>9277.0</v>
      </c>
      <c r="D2931" s="8" t="s">
        <v>22</v>
      </c>
      <c r="E2931" s="9" t="s">
        <v>13</v>
      </c>
      <c r="F2931" s="33">
        <v>1.0</v>
      </c>
      <c r="G2931" s="33">
        <v>1415.0</v>
      </c>
      <c r="H2931" s="35">
        <v>46182.0</v>
      </c>
      <c r="I2931" s="2" t="s">
        <v>14</v>
      </c>
      <c r="J2931" s="2"/>
    </row>
    <row r="2932" ht="22.5" customHeight="1">
      <c r="A2932" s="2" t="s">
        <v>2281</v>
      </c>
      <c r="B2932" s="2" t="s">
        <v>1081</v>
      </c>
      <c r="C2932" s="2">
        <v>9277.0</v>
      </c>
      <c r="D2932" s="8" t="s">
        <v>22</v>
      </c>
      <c r="E2932" s="9" t="s">
        <v>18</v>
      </c>
      <c r="F2932" s="33">
        <v>1.0</v>
      </c>
      <c r="G2932" s="33">
        <v>1415.0</v>
      </c>
      <c r="H2932" s="35">
        <v>46182.0</v>
      </c>
      <c r="I2932" s="2" t="s">
        <v>14</v>
      </c>
      <c r="J2932" s="2"/>
    </row>
    <row r="2933" ht="22.5" customHeight="1">
      <c r="A2933" s="2" t="s">
        <v>1541</v>
      </c>
      <c r="B2933" s="2" t="s">
        <v>2282</v>
      </c>
      <c r="C2933" s="2">
        <v>8970.0</v>
      </c>
      <c r="D2933" s="8" t="s">
        <v>12</v>
      </c>
      <c r="E2933" s="9" t="s">
        <v>58</v>
      </c>
      <c r="F2933" s="33">
        <v>1.0</v>
      </c>
      <c r="G2933" s="33">
        <v>2300.0</v>
      </c>
      <c r="H2933" s="35">
        <v>46182.0</v>
      </c>
      <c r="I2933" s="2" t="s">
        <v>1645</v>
      </c>
      <c r="J2933" s="12" t="s">
        <v>1813</v>
      </c>
    </row>
    <row r="2934" ht="22.5" customHeight="1">
      <c r="A2934" s="2" t="s">
        <v>288</v>
      </c>
      <c r="B2934" s="2" t="s">
        <v>2282</v>
      </c>
      <c r="C2934" s="2">
        <v>8970.0</v>
      </c>
      <c r="D2934" s="8" t="s">
        <v>22</v>
      </c>
      <c r="E2934" s="9" t="s">
        <v>58</v>
      </c>
      <c r="F2934" s="33">
        <v>1.0</v>
      </c>
      <c r="G2934" s="33">
        <v>2300.0</v>
      </c>
      <c r="H2934" s="35">
        <v>46182.0</v>
      </c>
      <c r="I2934" s="2" t="s">
        <v>1645</v>
      </c>
      <c r="J2934" s="12" t="s">
        <v>1920</v>
      </c>
    </row>
    <row r="2935" ht="22.5" customHeight="1">
      <c r="A2935" s="2" t="s">
        <v>236</v>
      </c>
      <c r="B2935" s="2" t="s">
        <v>2282</v>
      </c>
      <c r="C2935" s="2">
        <v>8970.0</v>
      </c>
      <c r="D2935" s="8" t="s">
        <v>22</v>
      </c>
      <c r="E2935" s="9" t="s">
        <v>58</v>
      </c>
      <c r="F2935" s="33">
        <v>1.0</v>
      </c>
      <c r="G2935" s="33">
        <v>2300.0</v>
      </c>
      <c r="H2935" s="35">
        <v>46182.0</v>
      </c>
      <c r="I2935" s="2" t="s">
        <v>1645</v>
      </c>
      <c r="J2935" s="12" t="s">
        <v>2283</v>
      </c>
    </row>
    <row r="2936" ht="22.5" customHeight="1">
      <c r="A2936" s="2" t="s">
        <v>875</v>
      </c>
      <c r="B2936" s="2" t="s">
        <v>2284</v>
      </c>
      <c r="C2936" s="2">
        <v>627.0</v>
      </c>
      <c r="D2936" s="8" t="s">
        <v>46</v>
      </c>
      <c r="E2936" s="9" t="s">
        <v>18</v>
      </c>
      <c r="F2936" s="33">
        <v>1.0</v>
      </c>
      <c r="G2936" s="33">
        <v>850.0</v>
      </c>
      <c r="H2936" s="35">
        <v>46182.0</v>
      </c>
      <c r="I2936" s="2" t="s">
        <v>1645</v>
      </c>
      <c r="J2936" s="12" t="s">
        <v>2062</v>
      </c>
    </row>
    <row r="2937" ht="22.5" customHeight="1">
      <c r="A2937" s="2" t="s">
        <v>875</v>
      </c>
      <c r="B2937" s="2" t="s">
        <v>2284</v>
      </c>
      <c r="C2937" s="2">
        <v>627.0</v>
      </c>
      <c r="D2937" s="8" t="s">
        <v>46</v>
      </c>
      <c r="E2937" s="9" t="s">
        <v>13</v>
      </c>
      <c r="F2937" s="33">
        <v>1.0</v>
      </c>
      <c r="G2937" s="33">
        <v>850.0</v>
      </c>
      <c r="H2937" s="35">
        <v>46182.0</v>
      </c>
      <c r="I2937" s="2" t="s">
        <v>1645</v>
      </c>
      <c r="J2937" s="12" t="s">
        <v>2062</v>
      </c>
    </row>
    <row r="2938" ht="22.5" customHeight="1">
      <c r="A2938" s="2" t="s">
        <v>1045</v>
      </c>
      <c r="B2938" s="2" t="s">
        <v>2284</v>
      </c>
      <c r="C2938" s="2">
        <v>627.0</v>
      </c>
      <c r="D2938" s="8" t="s">
        <v>46</v>
      </c>
      <c r="E2938" s="9" t="s">
        <v>18</v>
      </c>
      <c r="F2938" s="33">
        <v>1.0</v>
      </c>
      <c r="G2938" s="33">
        <v>850.0</v>
      </c>
      <c r="H2938" s="35">
        <v>46182.0</v>
      </c>
      <c r="I2938" s="2" t="s">
        <v>1645</v>
      </c>
      <c r="J2938" s="12" t="s">
        <v>2285</v>
      </c>
    </row>
    <row r="2939" ht="22.5" customHeight="1">
      <c r="A2939" s="2" t="s">
        <v>1045</v>
      </c>
      <c r="B2939" s="2" t="s">
        <v>2284</v>
      </c>
      <c r="C2939" s="2">
        <v>627.0</v>
      </c>
      <c r="D2939" s="8" t="s">
        <v>46</v>
      </c>
      <c r="E2939" s="9" t="s">
        <v>26</v>
      </c>
      <c r="F2939" s="33">
        <v>1.0</v>
      </c>
      <c r="G2939" s="33">
        <v>850.0</v>
      </c>
      <c r="H2939" s="35">
        <v>46182.0</v>
      </c>
      <c r="I2939" s="2" t="s">
        <v>1645</v>
      </c>
      <c r="J2939" s="12" t="s">
        <v>2285</v>
      </c>
    </row>
    <row r="2940" ht="22.5" customHeight="1">
      <c r="A2940" s="2" t="s">
        <v>573</v>
      </c>
      <c r="B2940" s="2" t="s">
        <v>2284</v>
      </c>
      <c r="C2940" s="2">
        <v>627.0</v>
      </c>
      <c r="D2940" s="8" t="s">
        <v>46</v>
      </c>
      <c r="E2940" s="9" t="s">
        <v>18</v>
      </c>
      <c r="F2940" s="33">
        <v>1.0</v>
      </c>
      <c r="G2940" s="33">
        <v>850.0</v>
      </c>
      <c r="H2940" s="35">
        <v>46182.0</v>
      </c>
      <c r="I2940" s="2" t="s">
        <v>1645</v>
      </c>
      <c r="J2940" s="12" t="s">
        <v>2286</v>
      </c>
    </row>
    <row r="2941" ht="22.5" customHeight="1">
      <c r="A2941" s="2" t="s">
        <v>573</v>
      </c>
      <c r="B2941" s="2" t="s">
        <v>2284</v>
      </c>
      <c r="C2941" s="2">
        <v>627.0</v>
      </c>
      <c r="D2941" s="8" t="s">
        <v>46</v>
      </c>
      <c r="E2941" s="9" t="s">
        <v>26</v>
      </c>
      <c r="F2941" s="33">
        <v>1.0</v>
      </c>
      <c r="G2941" s="33">
        <v>850.0</v>
      </c>
      <c r="H2941" s="35">
        <v>46182.0</v>
      </c>
      <c r="I2941" s="2" t="s">
        <v>1645</v>
      </c>
      <c r="J2941" s="12" t="s">
        <v>2286</v>
      </c>
    </row>
    <row r="2942" ht="22.5" customHeight="1">
      <c r="A2942" s="2" t="s">
        <v>1918</v>
      </c>
      <c r="B2942" s="2" t="s">
        <v>762</v>
      </c>
      <c r="C2942" s="2" t="s">
        <v>763</v>
      </c>
      <c r="D2942" s="8" t="s">
        <v>46</v>
      </c>
      <c r="E2942" s="9" t="s">
        <v>2287</v>
      </c>
      <c r="F2942" s="33">
        <v>1.0</v>
      </c>
      <c r="G2942" s="33">
        <v>2390.0</v>
      </c>
      <c r="H2942" s="35">
        <v>46182.0</v>
      </c>
      <c r="I2942" s="2" t="s">
        <v>1183</v>
      </c>
      <c r="J2942" s="12" t="s">
        <v>1919</v>
      </c>
    </row>
    <row r="2943" ht="22.5" customHeight="1">
      <c r="A2943" s="2" t="s">
        <v>267</v>
      </c>
      <c r="B2943" s="2" t="s">
        <v>2284</v>
      </c>
      <c r="C2943" s="2">
        <v>627.0</v>
      </c>
      <c r="D2943" s="8" t="s">
        <v>46</v>
      </c>
      <c r="E2943" s="9" t="s">
        <v>18</v>
      </c>
      <c r="F2943" s="33">
        <v>1.0</v>
      </c>
      <c r="G2943" s="33">
        <v>850.0</v>
      </c>
      <c r="H2943" s="35">
        <v>46182.0</v>
      </c>
      <c r="I2943" s="2" t="s">
        <v>1645</v>
      </c>
      <c r="J2943" s="12" t="s">
        <v>2063</v>
      </c>
    </row>
    <row r="2944" ht="22.5" customHeight="1">
      <c r="A2944" s="2" t="s">
        <v>267</v>
      </c>
      <c r="B2944" s="2" t="s">
        <v>2284</v>
      </c>
      <c r="C2944" s="2">
        <v>627.0</v>
      </c>
      <c r="D2944" s="8" t="s">
        <v>46</v>
      </c>
      <c r="E2944" s="9" t="s">
        <v>23</v>
      </c>
      <c r="F2944" s="33">
        <v>1.0</v>
      </c>
      <c r="G2944" s="33">
        <v>850.0</v>
      </c>
      <c r="H2944" s="35">
        <v>46182.0</v>
      </c>
      <c r="I2944" s="2" t="s">
        <v>1645</v>
      </c>
      <c r="J2944" s="12" t="s">
        <v>2063</v>
      </c>
    </row>
    <row r="2945" ht="22.5" customHeight="1">
      <c r="A2945" s="2" t="s">
        <v>267</v>
      </c>
      <c r="B2945" s="2" t="s">
        <v>2284</v>
      </c>
      <c r="C2945" s="2">
        <v>627.0</v>
      </c>
      <c r="D2945" s="8" t="s">
        <v>46</v>
      </c>
      <c r="E2945" s="9" t="s">
        <v>47</v>
      </c>
      <c r="F2945" s="33">
        <v>1.0</v>
      </c>
      <c r="G2945" s="33">
        <v>850.0</v>
      </c>
      <c r="H2945" s="35">
        <v>46182.0</v>
      </c>
      <c r="I2945" s="2" t="s">
        <v>1645</v>
      </c>
      <c r="J2945" s="12" t="s">
        <v>2063</v>
      </c>
    </row>
    <row r="2946" ht="22.5" customHeight="1">
      <c r="A2946" s="2" t="s">
        <v>267</v>
      </c>
      <c r="B2946" s="2" t="s">
        <v>2284</v>
      </c>
      <c r="C2946" s="2">
        <v>627.0</v>
      </c>
      <c r="D2946" s="8" t="s">
        <v>46</v>
      </c>
      <c r="E2946" s="9" t="s">
        <v>13</v>
      </c>
      <c r="F2946" s="33">
        <v>1.0</v>
      </c>
      <c r="G2946" s="33">
        <v>850.0</v>
      </c>
      <c r="H2946" s="35">
        <v>46182.0</v>
      </c>
      <c r="I2946" s="2" t="s">
        <v>1645</v>
      </c>
      <c r="J2946" s="12" t="s">
        <v>2063</v>
      </c>
    </row>
    <row r="2947" ht="22.5" customHeight="1">
      <c r="A2947" s="2" t="s">
        <v>142</v>
      </c>
      <c r="B2947" s="2" t="s">
        <v>762</v>
      </c>
      <c r="C2947" s="2" t="s">
        <v>763</v>
      </c>
      <c r="D2947" s="8" t="s">
        <v>46</v>
      </c>
      <c r="E2947" s="9" t="s">
        <v>2288</v>
      </c>
      <c r="F2947" s="33">
        <v>1.0</v>
      </c>
      <c r="G2947" s="33">
        <v>2390.0</v>
      </c>
      <c r="H2947" s="35">
        <v>46182.0</v>
      </c>
      <c r="I2947" s="2" t="s">
        <v>1183</v>
      </c>
      <c r="J2947" s="12" t="s">
        <v>1902</v>
      </c>
    </row>
    <row r="2948" ht="22.5" customHeight="1">
      <c r="A2948" s="2" t="s">
        <v>36</v>
      </c>
      <c r="B2948" s="2" t="s">
        <v>2284</v>
      </c>
      <c r="C2948" s="2">
        <v>627.0</v>
      </c>
      <c r="D2948" s="8" t="s">
        <v>46</v>
      </c>
      <c r="E2948" s="9" t="s">
        <v>18</v>
      </c>
      <c r="F2948" s="33">
        <v>1.0</v>
      </c>
      <c r="G2948" s="33">
        <v>850.0</v>
      </c>
      <c r="H2948" s="35">
        <v>46182.0</v>
      </c>
      <c r="I2948" s="2" t="s">
        <v>1645</v>
      </c>
      <c r="J2948" s="12" t="s">
        <v>2289</v>
      </c>
    </row>
    <row r="2949" ht="22.5" customHeight="1">
      <c r="A2949" s="2" t="s">
        <v>36</v>
      </c>
      <c r="B2949" s="2" t="s">
        <v>2284</v>
      </c>
      <c r="C2949" s="2">
        <v>627.0</v>
      </c>
      <c r="D2949" s="8" t="s">
        <v>46</v>
      </c>
      <c r="E2949" s="9" t="s">
        <v>13</v>
      </c>
      <c r="F2949" s="33">
        <v>1.0</v>
      </c>
      <c r="G2949" s="33">
        <v>850.0</v>
      </c>
      <c r="H2949" s="35">
        <v>46182.0</v>
      </c>
      <c r="I2949" s="2" t="s">
        <v>1645</v>
      </c>
      <c r="J2949" s="12" t="s">
        <v>2289</v>
      </c>
    </row>
    <row r="2950" ht="22.5" customHeight="1">
      <c r="A2950" s="2" t="s">
        <v>832</v>
      </c>
      <c r="B2950" s="2" t="s">
        <v>762</v>
      </c>
      <c r="C2950" s="2" t="s">
        <v>763</v>
      </c>
      <c r="D2950" s="8" t="s">
        <v>46</v>
      </c>
      <c r="E2950" s="9" t="s">
        <v>2290</v>
      </c>
      <c r="F2950" s="33">
        <v>1.0</v>
      </c>
      <c r="G2950" s="33">
        <v>2190.0</v>
      </c>
      <c r="H2950" s="35">
        <v>46182.0</v>
      </c>
      <c r="I2950" s="2" t="s">
        <v>1183</v>
      </c>
      <c r="J2950" s="12" t="s">
        <v>1777</v>
      </c>
    </row>
    <row r="2951" ht="22.5" customHeight="1">
      <c r="A2951" s="2" t="s">
        <v>312</v>
      </c>
      <c r="B2951" s="2" t="s">
        <v>2284</v>
      </c>
      <c r="C2951" s="2">
        <v>627.0</v>
      </c>
      <c r="D2951" s="8" t="s">
        <v>46</v>
      </c>
      <c r="E2951" s="9" t="s">
        <v>18</v>
      </c>
      <c r="F2951" s="33">
        <v>1.0</v>
      </c>
      <c r="G2951" s="33">
        <v>850.0</v>
      </c>
      <c r="H2951" s="35">
        <v>46182.0</v>
      </c>
      <c r="I2951" s="2" t="s">
        <v>1645</v>
      </c>
      <c r="J2951" s="12" t="s">
        <v>2113</v>
      </c>
    </row>
    <row r="2952" ht="22.5" customHeight="1">
      <c r="A2952" s="2" t="s">
        <v>312</v>
      </c>
      <c r="B2952" s="2" t="s">
        <v>2284</v>
      </c>
      <c r="C2952" s="2">
        <v>627.0</v>
      </c>
      <c r="D2952" s="8" t="s">
        <v>46</v>
      </c>
      <c r="E2952" s="9" t="s">
        <v>13</v>
      </c>
      <c r="F2952" s="33">
        <v>1.0</v>
      </c>
      <c r="G2952" s="33">
        <v>850.0</v>
      </c>
      <c r="H2952" s="35">
        <v>46182.0</v>
      </c>
      <c r="I2952" s="2" t="s">
        <v>1645</v>
      </c>
      <c r="J2952" s="12" t="s">
        <v>2113</v>
      </c>
    </row>
    <row r="2953" ht="22.5" customHeight="1">
      <c r="A2953" s="2" t="s">
        <v>312</v>
      </c>
      <c r="B2953" s="2" t="s">
        <v>2284</v>
      </c>
      <c r="C2953" s="2">
        <v>627.0</v>
      </c>
      <c r="D2953" s="8" t="s">
        <v>46</v>
      </c>
      <c r="E2953" s="9" t="s">
        <v>47</v>
      </c>
      <c r="F2953" s="33">
        <v>1.0</v>
      </c>
      <c r="G2953" s="33">
        <v>850.0</v>
      </c>
      <c r="H2953" s="35">
        <v>46182.0</v>
      </c>
      <c r="I2953" s="2" t="s">
        <v>1645</v>
      </c>
      <c r="J2953" s="12" t="s">
        <v>2113</v>
      </c>
    </row>
    <row r="2954" ht="22.5" customHeight="1">
      <c r="A2954" s="2" t="s">
        <v>312</v>
      </c>
      <c r="B2954" s="2" t="s">
        <v>2284</v>
      </c>
      <c r="C2954" s="2">
        <v>627.0</v>
      </c>
      <c r="D2954" s="8" t="s">
        <v>46</v>
      </c>
      <c r="E2954" s="9" t="s">
        <v>26</v>
      </c>
      <c r="F2954" s="33">
        <v>1.0</v>
      </c>
      <c r="G2954" s="33">
        <v>850.0</v>
      </c>
      <c r="H2954" s="35">
        <v>46182.0</v>
      </c>
      <c r="I2954" s="2" t="s">
        <v>1645</v>
      </c>
      <c r="J2954" s="12" t="s">
        <v>2113</v>
      </c>
    </row>
    <row r="2955" ht="22.5" customHeight="1">
      <c r="A2955" s="2" t="s">
        <v>313</v>
      </c>
      <c r="B2955" s="2" t="s">
        <v>2284</v>
      </c>
      <c r="C2955" s="2">
        <v>627.0</v>
      </c>
      <c r="D2955" s="8" t="s">
        <v>46</v>
      </c>
      <c r="E2955" s="9" t="s">
        <v>18</v>
      </c>
      <c r="F2955" s="33">
        <v>1.0</v>
      </c>
      <c r="G2955" s="33">
        <v>850.0</v>
      </c>
      <c r="H2955" s="35">
        <v>46182.0</v>
      </c>
      <c r="I2955" s="2" t="s">
        <v>1645</v>
      </c>
      <c r="J2955" s="12" t="s">
        <v>2115</v>
      </c>
    </row>
    <row r="2956" ht="22.5" customHeight="1">
      <c r="A2956" s="2" t="s">
        <v>313</v>
      </c>
      <c r="B2956" s="2" t="s">
        <v>2284</v>
      </c>
      <c r="C2956" s="2">
        <v>627.0</v>
      </c>
      <c r="D2956" s="8" t="s">
        <v>46</v>
      </c>
      <c r="E2956" s="9" t="s">
        <v>13</v>
      </c>
      <c r="F2956" s="33">
        <v>1.0</v>
      </c>
      <c r="G2956" s="33">
        <v>850.0</v>
      </c>
      <c r="H2956" s="35">
        <v>46182.0</v>
      </c>
      <c r="I2956" s="2" t="s">
        <v>1645</v>
      </c>
      <c r="J2956" s="12" t="s">
        <v>2115</v>
      </c>
    </row>
    <row r="2957" ht="22.5" customHeight="1">
      <c r="A2957" s="2" t="s">
        <v>744</v>
      </c>
      <c r="B2957" s="2" t="s">
        <v>762</v>
      </c>
      <c r="C2957" s="2" t="s">
        <v>763</v>
      </c>
      <c r="D2957" s="8" t="s">
        <v>46</v>
      </c>
      <c r="E2957" s="9" t="s">
        <v>2291</v>
      </c>
      <c r="F2957" s="33">
        <v>1.0</v>
      </c>
      <c r="G2957" s="33">
        <v>2390.0</v>
      </c>
      <c r="H2957" s="35">
        <v>46182.0</v>
      </c>
      <c r="I2957" s="2" t="s">
        <v>1183</v>
      </c>
      <c r="J2957" s="12" t="s">
        <v>2292</v>
      </c>
    </row>
    <row r="2958" ht="22.5" customHeight="1">
      <c r="A2958" s="2" t="s">
        <v>2293</v>
      </c>
      <c r="B2958" s="2" t="s">
        <v>762</v>
      </c>
      <c r="C2958" s="2" t="s">
        <v>763</v>
      </c>
      <c r="D2958" s="8" t="s">
        <v>46</v>
      </c>
      <c r="E2958" s="9" t="s">
        <v>2294</v>
      </c>
      <c r="F2958" s="33">
        <v>1.0</v>
      </c>
      <c r="G2958" s="33">
        <v>2390.0</v>
      </c>
      <c r="H2958" s="35">
        <v>46182.0</v>
      </c>
      <c r="I2958" s="2" t="s">
        <v>1183</v>
      </c>
      <c r="J2958" s="12" t="s">
        <v>2295</v>
      </c>
    </row>
    <row r="2959" ht="22.5" customHeight="1">
      <c r="A2959" s="2" t="s">
        <v>736</v>
      </c>
      <c r="B2959" s="2" t="s">
        <v>2296</v>
      </c>
      <c r="C2959" s="2">
        <v>9686.0</v>
      </c>
      <c r="D2959" s="8" t="s">
        <v>12</v>
      </c>
      <c r="E2959" s="9" t="s">
        <v>13</v>
      </c>
      <c r="F2959" s="33">
        <v>1.0</v>
      </c>
      <c r="G2959" s="33">
        <v>2150.0</v>
      </c>
      <c r="H2959" s="35">
        <v>46182.0</v>
      </c>
      <c r="I2959" s="2" t="s">
        <v>1183</v>
      </c>
      <c r="J2959" s="12" t="s">
        <v>737</v>
      </c>
    </row>
    <row r="2960" ht="22.5" customHeight="1">
      <c r="A2960" s="2" t="s">
        <v>736</v>
      </c>
      <c r="B2960" s="2" t="s">
        <v>2296</v>
      </c>
      <c r="C2960" s="2">
        <v>9686.0</v>
      </c>
      <c r="D2960" s="8" t="s">
        <v>12</v>
      </c>
      <c r="E2960" s="9" t="s">
        <v>16</v>
      </c>
      <c r="F2960" s="33">
        <v>1.0</v>
      </c>
      <c r="G2960" s="33">
        <v>2150.0</v>
      </c>
      <c r="H2960" s="35">
        <v>46182.0</v>
      </c>
      <c r="I2960" s="2" t="s">
        <v>1183</v>
      </c>
      <c r="J2960" s="12" t="s">
        <v>737</v>
      </c>
    </row>
    <row r="2961" ht="22.5" customHeight="1">
      <c r="A2961" s="2" t="s">
        <v>2260</v>
      </c>
      <c r="B2961" s="2" t="s">
        <v>2296</v>
      </c>
      <c r="C2961" s="2">
        <v>9686.0</v>
      </c>
      <c r="D2961" s="8" t="s">
        <v>12</v>
      </c>
      <c r="E2961" s="9" t="s">
        <v>18</v>
      </c>
      <c r="F2961" s="33">
        <v>1.0</v>
      </c>
      <c r="G2961" s="33">
        <v>2150.0</v>
      </c>
      <c r="H2961" s="35">
        <v>46182.0</v>
      </c>
      <c r="I2961" s="2" t="s">
        <v>1183</v>
      </c>
      <c r="J2961" s="12" t="s">
        <v>2263</v>
      </c>
    </row>
    <row r="2962" ht="22.5" customHeight="1">
      <c r="A2962" s="2" t="s">
        <v>2260</v>
      </c>
      <c r="B2962" s="2" t="s">
        <v>2296</v>
      </c>
      <c r="C2962" s="2">
        <v>9686.0</v>
      </c>
      <c r="D2962" s="8" t="s">
        <v>12</v>
      </c>
      <c r="E2962" s="9" t="s">
        <v>13</v>
      </c>
      <c r="F2962" s="33">
        <v>1.0</v>
      </c>
      <c r="G2962" s="33">
        <v>2150.0</v>
      </c>
      <c r="H2962" s="35">
        <v>46182.0</v>
      </c>
      <c r="I2962" s="2" t="s">
        <v>1183</v>
      </c>
      <c r="J2962" s="12" t="s">
        <v>2263</v>
      </c>
    </row>
    <row r="2963" ht="22.5" customHeight="1">
      <c r="A2963" s="2" t="s">
        <v>2260</v>
      </c>
      <c r="B2963" s="2" t="s">
        <v>2296</v>
      </c>
      <c r="C2963" s="2">
        <v>9686.0</v>
      </c>
      <c r="D2963" s="8" t="s">
        <v>22</v>
      </c>
      <c r="E2963" s="9" t="s">
        <v>18</v>
      </c>
      <c r="F2963" s="33">
        <v>1.0</v>
      </c>
      <c r="G2963" s="33">
        <v>2150.0</v>
      </c>
      <c r="H2963" s="35">
        <v>46182.0</v>
      </c>
      <c r="I2963" s="2" t="s">
        <v>1183</v>
      </c>
      <c r="J2963" s="12" t="s">
        <v>2263</v>
      </c>
    </row>
    <row r="2964" ht="22.5" customHeight="1">
      <c r="A2964" s="2" t="s">
        <v>2260</v>
      </c>
      <c r="B2964" s="2" t="s">
        <v>2242</v>
      </c>
      <c r="C2964" s="2" t="s">
        <v>2243</v>
      </c>
      <c r="D2964" s="8" t="s">
        <v>12</v>
      </c>
      <c r="E2964" s="9" t="s">
        <v>58</v>
      </c>
      <c r="F2964" s="33">
        <v>1.0</v>
      </c>
      <c r="G2964" s="33">
        <v>1990.0</v>
      </c>
      <c r="H2964" s="35">
        <v>46182.0</v>
      </c>
      <c r="I2964" s="2" t="s">
        <v>1645</v>
      </c>
      <c r="J2964" s="12" t="s">
        <v>2263</v>
      </c>
    </row>
    <row r="2965" ht="22.5" customHeight="1">
      <c r="A2965" s="2" t="s">
        <v>2297</v>
      </c>
      <c r="B2965" s="2" t="s">
        <v>762</v>
      </c>
      <c r="C2965" s="2" t="s">
        <v>763</v>
      </c>
      <c r="D2965" s="8" t="s">
        <v>46</v>
      </c>
      <c r="E2965" s="9" t="s">
        <v>2297</v>
      </c>
      <c r="F2965" s="33">
        <v>1.0</v>
      </c>
      <c r="G2965" s="33">
        <v>2190.0</v>
      </c>
      <c r="H2965" s="35">
        <v>46182.0</v>
      </c>
      <c r="I2965" s="2" t="s">
        <v>1645</v>
      </c>
      <c r="J2965" s="12" t="s">
        <v>2298</v>
      </c>
    </row>
    <row r="2966" ht="22.5" customHeight="1">
      <c r="A2966" s="2" t="s">
        <v>127</v>
      </c>
      <c r="B2966" s="2" t="s">
        <v>2296</v>
      </c>
      <c r="C2966" s="2">
        <v>9686.0</v>
      </c>
      <c r="D2966" s="8" t="s">
        <v>12</v>
      </c>
      <c r="E2966" s="9" t="s">
        <v>18</v>
      </c>
      <c r="F2966" s="33">
        <v>1.0</v>
      </c>
      <c r="G2966" s="33">
        <v>2150.0</v>
      </c>
      <c r="H2966" s="35">
        <v>46182.0</v>
      </c>
      <c r="I2966" s="2" t="s">
        <v>1183</v>
      </c>
      <c r="J2966" s="12" t="s">
        <v>1969</v>
      </c>
    </row>
    <row r="2967" ht="22.5" customHeight="1">
      <c r="A2967" s="2" t="s">
        <v>849</v>
      </c>
      <c r="B2967" s="2" t="s">
        <v>2296</v>
      </c>
      <c r="C2967" s="2">
        <v>9686.0</v>
      </c>
      <c r="D2967" s="8" t="s">
        <v>22</v>
      </c>
      <c r="E2967" s="9" t="s">
        <v>26</v>
      </c>
      <c r="F2967" s="33">
        <v>1.0</v>
      </c>
      <c r="G2967" s="33">
        <v>2150.0</v>
      </c>
      <c r="H2967" s="35">
        <v>46182.0</v>
      </c>
      <c r="I2967" s="2" t="s">
        <v>1183</v>
      </c>
      <c r="J2967" s="12" t="s">
        <v>2246</v>
      </c>
    </row>
    <row r="2968" ht="22.5" customHeight="1">
      <c r="A2968" s="2" t="s">
        <v>2299</v>
      </c>
      <c r="B2968" s="2" t="s">
        <v>2296</v>
      </c>
      <c r="C2968" s="2">
        <v>9686.0</v>
      </c>
      <c r="D2968" s="8" t="s">
        <v>12</v>
      </c>
      <c r="E2968" s="9" t="s">
        <v>13</v>
      </c>
      <c r="F2968" s="33">
        <v>1.0</v>
      </c>
      <c r="G2968" s="33">
        <v>2150.0</v>
      </c>
      <c r="H2968" s="35">
        <v>46182.0</v>
      </c>
      <c r="I2968" s="2" t="s">
        <v>1183</v>
      </c>
      <c r="J2968" s="12" t="s">
        <v>2300</v>
      </c>
    </row>
    <row r="2969" ht="22.5" customHeight="1">
      <c r="A2969" s="2" t="s">
        <v>1042</v>
      </c>
      <c r="B2969" s="2" t="s">
        <v>2296</v>
      </c>
      <c r="C2969" s="2">
        <v>9686.0</v>
      </c>
      <c r="D2969" s="8" t="s">
        <v>12</v>
      </c>
      <c r="E2969" s="9" t="s">
        <v>13</v>
      </c>
      <c r="F2969" s="33">
        <v>1.0</v>
      </c>
      <c r="G2969" s="33">
        <v>2150.0</v>
      </c>
      <c r="H2969" s="35">
        <v>46182.0</v>
      </c>
      <c r="I2969" s="2" t="s">
        <v>1183</v>
      </c>
      <c r="J2969" s="12" t="s">
        <v>1941</v>
      </c>
    </row>
    <row r="2970" ht="22.5" customHeight="1">
      <c r="A2970" s="2" t="s">
        <v>575</v>
      </c>
      <c r="B2970" s="2" t="s">
        <v>371</v>
      </c>
      <c r="C2970" s="2">
        <v>9140.0</v>
      </c>
      <c r="D2970" s="8" t="s">
        <v>22</v>
      </c>
      <c r="E2970" s="9" t="s">
        <v>18</v>
      </c>
      <c r="F2970" s="33">
        <v>1.0</v>
      </c>
      <c r="G2970" s="33">
        <v>1500.0</v>
      </c>
      <c r="H2970" s="35">
        <v>46182.0</v>
      </c>
      <c r="I2970" s="2" t="s">
        <v>24</v>
      </c>
      <c r="J2970" s="12" t="s">
        <v>1060</v>
      </c>
    </row>
    <row r="2971" ht="22.5" customHeight="1">
      <c r="A2971" s="2" t="s">
        <v>148</v>
      </c>
      <c r="B2971" s="2" t="s">
        <v>2301</v>
      </c>
      <c r="C2971" s="2">
        <v>9586.0</v>
      </c>
      <c r="D2971" s="8" t="s">
        <v>22</v>
      </c>
      <c r="E2971" s="9" t="s">
        <v>18</v>
      </c>
      <c r="F2971" s="33">
        <v>1.0</v>
      </c>
      <c r="G2971" s="33">
        <v>2590.0</v>
      </c>
      <c r="H2971" s="35">
        <v>46182.0</v>
      </c>
      <c r="I2971" s="2" t="s">
        <v>1183</v>
      </c>
      <c r="J2971" s="12" t="s">
        <v>1681</v>
      </c>
    </row>
    <row r="2972" ht="22.5" customHeight="1">
      <c r="A2972" s="2" t="s">
        <v>2302</v>
      </c>
      <c r="B2972" s="2" t="s">
        <v>2301</v>
      </c>
      <c r="C2972" s="2">
        <v>9586.0</v>
      </c>
      <c r="D2972" s="8" t="s">
        <v>12</v>
      </c>
      <c r="E2972" s="9" t="s">
        <v>415</v>
      </c>
      <c r="F2972" s="33">
        <v>1.0</v>
      </c>
      <c r="G2972" s="33">
        <v>2590.0</v>
      </c>
      <c r="H2972" s="35">
        <v>46182.0</v>
      </c>
      <c r="I2972" s="2" t="s">
        <v>1183</v>
      </c>
      <c r="J2972" s="12" t="s">
        <v>2303</v>
      </c>
    </row>
    <row r="2973" ht="22.5" customHeight="1">
      <c r="A2973" s="2" t="s">
        <v>2304</v>
      </c>
      <c r="B2973" s="2" t="s">
        <v>2250</v>
      </c>
      <c r="C2973" s="2" t="s">
        <v>2251</v>
      </c>
      <c r="D2973" s="8" t="s">
        <v>22</v>
      </c>
      <c r="E2973" s="9" t="s">
        <v>16</v>
      </c>
      <c r="F2973" s="33">
        <v>1.0</v>
      </c>
      <c r="G2973" s="33">
        <v>1350.0</v>
      </c>
      <c r="H2973" s="35">
        <v>46182.0</v>
      </c>
      <c r="I2973" s="2" t="s">
        <v>1645</v>
      </c>
      <c r="J2973" s="12" t="s">
        <v>2305</v>
      </c>
    </row>
    <row r="2974" ht="22.5" customHeight="1">
      <c r="A2974" s="2" t="s">
        <v>2304</v>
      </c>
      <c r="B2974" s="2" t="s">
        <v>182</v>
      </c>
      <c r="C2974" s="2">
        <v>9369.0</v>
      </c>
      <c r="D2974" s="8" t="s">
        <v>22</v>
      </c>
      <c r="E2974" s="9" t="s">
        <v>58</v>
      </c>
      <c r="F2974" s="33">
        <v>1.0</v>
      </c>
      <c r="G2974" s="33">
        <v>2600.0</v>
      </c>
      <c r="H2974" s="35">
        <v>46182.0</v>
      </c>
      <c r="I2974" s="2" t="s">
        <v>1183</v>
      </c>
      <c r="J2974" s="12" t="s">
        <v>2305</v>
      </c>
    </row>
    <row r="2975" ht="22.5" customHeight="1">
      <c r="A2975" s="2" t="s">
        <v>2304</v>
      </c>
      <c r="B2975" s="2" t="s">
        <v>2306</v>
      </c>
      <c r="C2975" s="2">
        <v>8837.0</v>
      </c>
      <c r="D2975" s="8" t="s">
        <v>12</v>
      </c>
      <c r="E2975" s="9" t="s">
        <v>13</v>
      </c>
      <c r="F2975" s="33">
        <v>1.0</v>
      </c>
      <c r="G2975" s="33">
        <v>1500.0</v>
      </c>
      <c r="H2975" s="35">
        <v>46182.0</v>
      </c>
      <c r="I2975" s="2" t="s">
        <v>1183</v>
      </c>
      <c r="J2975" s="12" t="s">
        <v>2305</v>
      </c>
    </row>
    <row r="2976" ht="22.5" customHeight="1">
      <c r="A2976" s="2" t="s">
        <v>2133</v>
      </c>
      <c r="B2976" s="2" t="s">
        <v>2306</v>
      </c>
      <c r="C2976" s="2">
        <v>8837.0</v>
      </c>
      <c r="D2976" s="8" t="s">
        <v>12</v>
      </c>
      <c r="E2976" s="9" t="s">
        <v>13</v>
      </c>
      <c r="F2976" s="33">
        <v>1.0</v>
      </c>
      <c r="G2976" s="33">
        <v>1500.0</v>
      </c>
      <c r="H2976" s="35">
        <v>46182.0</v>
      </c>
      <c r="I2976" s="2" t="s">
        <v>1183</v>
      </c>
      <c r="J2976" s="12" t="s">
        <v>2258</v>
      </c>
    </row>
    <row r="2977" ht="22.5" customHeight="1">
      <c r="A2977" s="2" t="s">
        <v>1083</v>
      </c>
      <c r="B2977" s="2" t="s">
        <v>2306</v>
      </c>
      <c r="C2977" s="2">
        <v>8837.0</v>
      </c>
      <c r="D2977" s="8" t="s">
        <v>12</v>
      </c>
      <c r="E2977" s="9" t="s">
        <v>18</v>
      </c>
      <c r="F2977" s="33">
        <v>1.0</v>
      </c>
      <c r="G2977" s="33">
        <v>1500.0</v>
      </c>
      <c r="H2977" s="35">
        <v>46182.0</v>
      </c>
      <c r="I2977" s="2" t="s">
        <v>1183</v>
      </c>
      <c r="J2977" s="12" t="s">
        <v>1915</v>
      </c>
    </row>
    <row r="2978" ht="22.5" customHeight="1">
      <c r="A2978" s="2" t="s">
        <v>1083</v>
      </c>
      <c r="B2978" s="2" t="s">
        <v>2306</v>
      </c>
      <c r="C2978" s="2">
        <v>8837.0</v>
      </c>
      <c r="D2978" s="8" t="s">
        <v>12</v>
      </c>
      <c r="E2978" s="9" t="s">
        <v>13</v>
      </c>
      <c r="F2978" s="33">
        <v>1.0</v>
      </c>
      <c r="G2978" s="33">
        <v>1500.0</v>
      </c>
      <c r="H2978" s="35">
        <v>46182.0</v>
      </c>
      <c r="I2978" s="2" t="s">
        <v>1183</v>
      </c>
      <c r="J2978" s="12" t="s">
        <v>1915</v>
      </c>
    </row>
    <row r="2979" ht="22.5" customHeight="1">
      <c r="A2979" s="2" t="s">
        <v>1175</v>
      </c>
      <c r="B2979" s="2" t="s">
        <v>2306</v>
      </c>
      <c r="C2979" s="2">
        <v>8837.0</v>
      </c>
      <c r="D2979" s="8" t="s">
        <v>12</v>
      </c>
      <c r="E2979" s="9" t="s">
        <v>18</v>
      </c>
      <c r="F2979" s="33">
        <v>1.0</v>
      </c>
      <c r="G2979" s="33">
        <v>1500.0</v>
      </c>
      <c r="H2979" s="35">
        <v>46182.0</v>
      </c>
      <c r="I2979" s="2" t="s">
        <v>1183</v>
      </c>
      <c r="J2979" s="12" t="s">
        <v>1177</v>
      </c>
    </row>
    <row r="2980" ht="22.5" customHeight="1">
      <c r="A2980" s="2" t="s">
        <v>1175</v>
      </c>
      <c r="B2980" s="2" t="s">
        <v>2307</v>
      </c>
      <c r="C2980" s="2">
        <v>9272.0</v>
      </c>
      <c r="D2980" s="8" t="s">
        <v>12</v>
      </c>
      <c r="E2980" s="9" t="s">
        <v>58</v>
      </c>
      <c r="F2980" s="33">
        <v>1.0</v>
      </c>
      <c r="G2980" s="33">
        <v>1750.0</v>
      </c>
      <c r="H2980" s="35">
        <v>46182.0</v>
      </c>
      <c r="I2980" s="2" t="s">
        <v>1183</v>
      </c>
      <c r="J2980" s="12" t="s">
        <v>1177</v>
      </c>
    </row>
    <row r="2981" ht="22.5" customHeight="1">
      <c r="A2981" s="2" t="s">
        <v>1541</v>
      </c>
      <c r="B2981" s="2" t="s">
        <v>2306</v>
      </c>
      <c r="C2981" s="2">
        <v>8837.0</v>
      </c>
      <c r="D2981" s="8" t="s">
        <v>12</v>
      </c>
      <c r="E2981" s="9" t="s">
        <v>18</v>
      </c>
      <c r="F2981" s="33">
        <v>1.0</v>
      </c>
      <c r="G2981" s="33">
        <v>1500.0</v>
      </c>
      <c r="H2981" s="35">
        <v>46182.0</v>
      </c>
      <c r="I2981" s="2" t="s">
        <v>1183</v>
      </c>
      <c r="J2981" s="12" t="s">
        <v>1813</v>
      </c>
    </row>
    <row r="2982" ht="22.5" customHeight="1">
      <c r="A2982" s="2" t="s">
        <v>490</v>
      </c>
      <c r="B2982" s="2" t="s">
        <v>182</v>
      </c>
      <c r="C2982" s="2">
        <v>9369.0</v>
      </c>
      <c r="D2982" s="8" t="s">
        <v>22</v>
      </c>
      <c r="E2982" s="9" t="s">
        <v>58</v>
      </c>
      <c r="F2982" s="33">
        <v>1.0</v>
      </c>
      <c r="G2982" s="33">
        <v>2600.0</v>
      </c>
      <c r="H2982" s="35">
        <v>46182.0</v>
      </c>
      <c r="I2982" s="2" t="s">
        <v>1183</v>
      </c>
      <c r="J2982" s="12" t="s">
        <v>2308</v>
      </c>
    </row>
    <row r="2983" ht="22.5" customHeight="1">
      <c r="A2983" s="2" t="s">
        <v>329</v>
      </c>
      <c r="B2983" s="2" t="s">
        <v>182</v>
      </c>
      <c r="C2983" s="2">
        <v>9369.0</v>
      </c>
      <c r="D2983" s="8" t="s">
        <v>12</v>
      </c>
      <c r="E2983" s="9" t="s">
        <v>58</v>
      </c>
      <c r="F2983" s="33">
        <v>1.0</v>
      </c>
      <c r="G2983" s="33">
        <v>2600.0</v>
      </c>
      <c r="H2983" s="35">
        <v>46182.0</v>
      </c>
      <c r="I2983" s="2" t="s">
        <v>1183</v>
      </c>
      <c r="J2983" s="12" t="s">
        <v>2309</v>
      </c>
    </row>
    <row r="2984" ht="22.5" customHeight="1">
      <c r="A2984" s="2" t="s">
        <v>2133</v>
      </c>
      <c r="B2984" s="2" t="s">
        <v>2307</v>
      </c>
      <c r="C2984" s="2">
        <v>9272.0</v>
      </c>
      <c r="D2984" s="8" t="s">
        <v>12</v>
      </c>
      <c r="E2984" s="9" t="s">
        <v>58</v>
      </c>
      <c r="F2984" s="33">
        <v>1.0</v>
      </c>
      <c r="G2984" s="33">
        <v>1750.0</v>
      </c>
      <c r="H2984" s="35">
        <v>46182.0</v>
      </c>
      <c r="I2984" s="2" t="s">
        <v>1183</v>
      </c>
      <c r="J2984" s="12" t="s">
        <v>2258</v>
      </c>
    </row>
    <row r="2985" ht="22.5" customHeight="1">
      <c r="A2985" s="2" t="s">
        <v>312</v>
      </c>
      <c r="B2985" s="2" t="s">
        <v>2307</v>
      </c>
      <c r="C2985" s="2">
        <v>9272.0</v>
      </c>
      <c r="D2985" s="8" t="s">
        <v>12</v>
      </c>
      <c r="E2985" s="9" t="s">
        <v>58</v>
      </c>
      <c r="F2985" s="33">
        <v>1.0</v>
      </c>
      <c r="G2985" s="33">
        <v>1750.0</v>
      </c>
      <c r="H2985" s="35">
        <v>46182.0</v>
      </c>
      <c r="I2985" s="2" t="s">
        <v>1183</v>
      </c>
      <c r="J2985" s="12" t="s">
        <v>2113</v>
      </c>
    </row>
    <row r="2986" ht="22.5" customHeight="1">
      <c r="A2986" s="2" t="s">
        <v>886</v>
      </c>
      <c r="B2986" s="2" t="s">
        <v>2307</v>
      </c>
      <c r="C2986" s="2">
        <v>9272.0</v>
      </c>
      <c r="D2986" s="8" t="s">
        <v>22</v>
      </c>
      <c r="E2986" s="9" t="s">
        <v>58</v>
      </c>
      <c r="F2986" s="33">
        <v>1.0</v>
      </c>
      <c r="G2986" s="33">
        <v>1750.0</v>
      </c>
      <c r="H2986" s="35">
        <v>46182.0</v>
      </c>
      <c r="I2986" s="2" t="s">
        <v>1183</v>
      </c>
      <c r="J2986" s="12" t="s">
        <v>2310</v>
      </c>
    </row>
    <row r="2987" ht="22.5" customHeight="1">
      <c r="A2987" s="2" t="s">
        <v>886</v>
      </c>
      <c r="B2987" s="2" t="s">
        <v>2250</v>
      </c>
      <c r="C2987" s="2" t="s">
        <v>2251</v>
      </c>
      <c r="D2987" s="8" t="s">
        <v>22</v>
      </c>
      <c r="E2987" s="9" t="s">
        <v>16</v>
      </c>
      <c r="F2987" s="33">
        <v>1.0</v>
      </c>
      <c r="G2987" s="33">
        <v>1350.0</v>
      </c>
      <c r="H2987" s="35">
        <v>46182.0</v>
      </c>
      <c r="I2987" s="2" t="s">
        <v>1645</v>
      </c>
      <c r="J2987" s="12" t="s">
        <v>2310</v>
      </c>
    </row>
    <row r="2988" ht="22.5" customHeight="1">
      <c r="A2988" s="2" t="s">
        <v>1977</v>
      </c>
      <c r="B2988" s="2" t="s">
        <v>2311</v>
      </c>
      <c r="C2988" s="2">
        <v>7367.0</v>
      </c>
      <c r="D2988" s="8" t="s">
        <v>12</v>
      </c>
      <c r="E2988" s="9" t="s">
        <v>26</v>
      </c>
      <c r="F2988" s="33">
        <v>1.0</v>
      </c>
      <c r="G2988" s="33">
        <v>2600.0</v>
      </c>
      <c r="H2988" s="35">
        <v>46182.0</v>
      </c>
      <c r="I2988" s="2" t="s">
        <v>1183</v>
      </c>
      <c r="J2988" s="12" t="s">
        <v>1978</v>
      </c>
    </row>
    <row r="2989" ht="22.5" customHeight="1">
      <c r="A2989" s="2" t="s">
        <v>2312</v>
      </c>
      <c r="B2989" s="2" t="s">
        <v>2311</v>
      </c>
      <c r="C2989" s="2">
        <v>7367.0</v>
      </c>
      <c r="D2989" s="8" t="s">
        <v>12</v>
      </c>
      <c r="E2989" s="9" t="s">
        <v>13</v>
      </c>
      <c r="F2989" s="33">
        <v>1.0</v>
      </c>
      <c r="G2989" s="33">
        <v>2600.0</v>
      </c>
      <c r="H2989" s="35">
        <v>46182.0</v>
      </c>
      <c r="I2989" s="2" t="s">
        <v>1183</v>
      </c>
      <c r="J2989" s="12" t="s">
        <v>2313</v>
      </c>
    </row>
    <row r="2990" ht="22.5" customHeight="1">
      <c r="A2990" s="2" t="s">
        <v>921</v>
      </c>
      <c r="B2990" s="2" t="s">
        <v>2311</v>
      </c>
      <c r="C2990" s="2">
        <v>7367.0</v>
      </c>
      <c r="D2990" s="8" t="s">
        <v>12</v>
      </c>
      <c r="E2990" s="9" t="s">
        <v>13</v>
      </c>
      <c r="F2990" s="33">
        <v>1.0</v>
      </c>
      <c r="G2990" s="33">
        <v>2600.0</v>
      </c>
      <c r="H2990" s="35">
        <v>46182.0</v>
      </c>
      <c r="I2990" s="2" t="s">
        <v>1183</v>
      </c>
      <c r="J2990" s="12" t="s">
        <v>2218</v>
      </c>
    </row>
    <row r="2991" ht="22.5" customHeight="1">
      <c r="A2991" s="2" t="s">
        <v>2314</v>
      </c>
      <c r="B2991" s="2" t="s">
        <v>2058</v>
      </c>
      <c r="C2991" s="2" t="s">
        <v>2059</v>
      </c>
      <c r="D2991" s="8" t="s">
        <v>46</v>
      </c>
      <c r="E2991" s="9" t="s">
        <v>16</v>
      </c>
      <c r="F2991" s="33">
        <v>1.0</v>
      </c>
      <c r="G2991" s="33">
        <v>1550.0</v>
      </c>
      <c r="H2991" s="35">
        <v>46182.0</v>
      </c>
      <c r="I2991" s="2" t="s">
        <v>1645</v>
      </c>
      <c r="J2991" s="12" t="s">
        <v>2315</v>
      </c>
    </row>
    <row r="2992" ht="22.5" customHeight="1">
      <c r="A2992" s="2" t="s">
        <v>2316</v>
      </c>
      <c r="B2992" s="2" t="s">
        <v>2250</v>
      </c>
      <c r="C2992" s="2" t="s">
        <v>2251</v>
      </c>
      <c r="D2992" s="8" t="s">
        <v>22</v>
      </c>
      <c r="E2992" s="9" t="s">
        <v>16</v>
      </c>
      <c r="F2992" s="33">
        <v>1.0</v>
      </c>
      <c r="G2992" s="33">
        <v>1350.0</v>
      </c>
      <c r="H2992" s="35">
        <v>46182.0</v>
      </c>
      <c r="I2992" s="2" t="s">
        <v>1645</v>
      </c>
      <c r="J2992" s="12" t="s">
        <v>2317</v>
      </c>
    </row>
    <row r="2993" ht="22.5" customHeight="1">
      <c r="A2993" s="2" t="s">
        <v>166</v>
      </c>
      <c r="B2993" s="2" t="s">
        <v>1232</v>
      </c>
      <c r="C2993" s="2" t="s">
        <v>1233</v>
      </c>
      <c r="D2993" s="8" t="s">
        <v>46</v>
      </c>
      <c r="E2993" s="9" t="s">
        <v>13</v>
      </c>
      <c r="F2993" s="33">
        <v>1.0</v>
      </c>
      <c r="G2993" s="33">
        <v>1550.0</v>
      </c>
      <c r="H2993" s="35">
        <v>46182.0</v>
      </c>
      <c r="I2993" s="2" t="s">
        <v>1645</v>
      </c>
      <c r="J2993" s="12" t="s">
        <v>2318</v>
      </c>
    </row>
    <row r="2994" ht="22.5" customHeight="1">
      <c r="A2994" s="2" t="s">
        <v>781</v>
      </c>
      <c r="B2994" s="2" t="s">
        <v>1894</v>
      </c>
      <c r="C2994" s="2" t="s">
        <v>1895</v>
      </c>
      <c r="D2994" s="8" t="s">
        <v>46</v>
      </c>
      <c r="E2994" s="9"/>
      <c r="F2994" s="33">
        <v>2.0</v>
      </c>
      <c r="G2994" s="33">
        <v>1550.0</v>
      </c>
      <c r="H2994" s="35">
        <v>46182.0</v>
      </c>
      <c r="I2994" s="2" t="s">
        <v>1645</v>
      </c>
      <c r="J2994" s="12" t="s">
        <v>1226</v>
      </c>
    </row>
    <row r="2995" ht="22.5" customHeight="1">
      <c r="A2995" s="2" t="s">
        <v>498</v>
      </c>
      <c r="B2995" s="2" t="s">
        <v>1212</v>
      </c>
      <c r="C2995" s="2">
        <v>92212.0</v>
      </c>
      <c r="D2995" s="8" t="s">
        <v>46</v>
      </c>
      <c r="E2995" s="9" t="s">
        <v>47</v>
      </c>
      <c r="F2995" s="33">
        <v>2.0</v>
      </c>
      <c r="G2995" s="33">
        <v>1700.0</v>
      </c>
      <c r="H2995" s="35">
        <v>46182.0</v>
      </c>
      <c r="I2995" s="2" t="s">
        <v>1645</v>
      </c>
      <c r="J2995" s="12" t="s">
        <v>2319</v>
      </c>
    </row>
    <row r="2996" ht="22.5" customHeight="1">
      <c r="A2996" s="2" t="s">
        <v>2320</v>
      </c>
      <c r="B2996" s="2" t="s">
        <v>2058</v>
      </c>
      <c r="C2996" s="2" t="s">
        <v>2059</v>
      </c>
      <c r="D2996" s="8" t="s">
        <v>46</v>
      </c>
      <c r="E2996" s="9"/>
      <c r="F2996" s="33">
        <v>1.0</v>
      </c>
      <c r="G2996" s="33">
        <v>1550.0</v>
      </c>
      <c r="H2996" s="35">
        <v>46182.0</v>
      </c>
      <c r="I2996" s="2" t="s">
        <v>1645</v>
      </c>
      <c r="J2996" s="12" t="s">
        <v>2321</v>
      </c>
    </row>
    <row r="2997" ht="22.5" customHeight="1">
      <c r="A2997" s="2" t="s">
        <v>2322</v>
      </c>
      <c r="B2997" s="2" t="s">
        <v>2261</v>
      </c>
      <c r="C2997" s="2" t="s">
        <v>2262</v>
      </c>
      <c r="D2997" s="8" t="s">
        <v>46</v>
      </c>
      <c r="E2997" s="9"/>
      <c r="F2997" s="33">
        <v>1.0</v>
      </c>
      <c r="G2997" s="33">
        <v>3900.0</v>
      </c>
      <c r="H2997" s="35">
        <v>46182.0</v>
      </c>
      <c r="I2997" s="2" t="s">
        <v>24</v>
      </c>
      <c r="J2997" s="12" t="s">
        <v>2323</v>
      </c>
    </row>
    <row r="2998" ht="22.5" customHeight="1">
      <c r="A2998" s="2" t="s">
        <v>559</v>
      </c>
      <c r="B2998" s="2" t="s">
        <v>2058</v>
      </c>
      <c r="C2998" s="2" t="s">
        <v>2059</v>
      </c>
      <c r="D2998" s="8" t="s">
        <v>46</v>
      </c>
      <c r="E2998" s="9"/>
      <c r="F2998" s="33">
        <v>1.0</v>
      </c>
      <c r="G2998" s="33">
        <v>1550.0</v>
      </c>
      <c r="H2998" s="35">
        <v>46182.0</v>
      </c>
      <c r="I2998" s="2" t="s">
        <v>24</v>
      </c>
      <c r="J2998" s="12" t="s">
        <v>2324</v>
      </c>
    </row>
    <row r="2999" ht="22.5" customHeight="1">
      <c r="A2999" s="2" t="s">
        <v>559</v>
      </c>
      <c r="B2999" s="2" t="s">
        <v>1991</v>
      </c>
      <c r="C2999" s="2" t="s">
        <v>1992</v>
      </c>
      <c r="D2999" s="8" t="s">
        <v>75</v>
      </c>
      <c r="E2999" s="9" t="s">
        <v>1996</v>
      </c>
      <c r="F2999" s="33">
        <v>1.0</v>
      </c>
      <c r="G2999" s="33">
        <v>1200.0</v>
      </c>
      <c r="H2999" s="35">
        <v>46182.0</v>
      </c>
      <c r="I2999" s="2" t="s">
        <v>1645</v>
      </c>
      <c r="J2999" s="12" t="s">
        <v>2324</v>
      </c>
    </row>
    <row r="3000" ht="22.5" customHeight="1">
      <c r="A3000" s="2" t="s">
        <v>559</v>
      </c>
      <c r="B3000" s="2" t="s">
        <v>1991</v>
      </c>
      <c r="C3000" s="2" t="s">
        <v>1992</v>
      </c>
      <c r="D3000" s="8" t="s">
        <v>75</v>
      </c>
      <c r="E3000" s="9" t="s">
        <v>1993</v>
      </c>
      <c r="F3000" s="33">
        <v>1.0</v>
      </c>
      <c r="G3000" s="33">
        <v>1200.0</v>
      </c>
      <c r="H3000" s="35">
        <v>46182.0</v>
      </c>
      <c r="I3000" s="2" t="s">
        <v>1645</v>
      </c>
      <c r="J3000" s="12" t="s">
        <v>2324</v>
      </c>
    </row>
    <row r="3001" ht="22.5" customHeight="1">
      <c r="A3001" s="2" t="s">
        <v>359</v>
      </c>
      <c r="B3001" s="2" t="s">
        <v>2277</v>
      </c>
      <c r="C3001" s="2">
        <v>8012.0</v>
      </c>
      <c r="D3001" s="8" t="s">
        <v>46</v>
      </c>
      <c r="E3001" s="9" t="s">
        <v>26</v>
      </c>
      <c r="F3001" s="33">
        <v>1.0</v>
      </c>
      <c r="G3001" s="33">
        <v>2990.0</v>
      </c>
      <c r="H3001" s="35">
        <v>46182.0</v>
      </c>
      <c r="I3001" s="2" t="s">
        <v>1645</v>
      </c>
      <c r="J3001" s="12" t="s">
        <v>2325</v>
      </c>
    </row>
    <row r="3002" ht="22.5" customHeight="1">
      <c r="A3002" s="2" t="s">
        <v>275</v>
      </c>
      <c r="B3002" s="2" t="s">
        <v>2261</v>
      </c>
      <c r="C3002" s="2" t="s">
        <v>2262</v>
      </c>
      <c r="D3002" s="8" t="s">
        <v>46</v>
      </c>
      <c r="E3002" s="9"/>
      <c r="F3002" s="33">
        <v>1.0</v>
      </c>
      <c r="G3002" s="33">
        <v>3900.0</v>
      </c>
      <c r="H3002" s="35">
        <v>46182.0</v>
      </c>
      <c r="I3002" s="2" t="s">
        <v>1645</v>
      </c>
      <c r="J3002" s="12" t="s">
        <v>2326</v>
      </c>
    </row>
    <row r="3003" ht="22.5" customHeight="1">
      <c r="A3003" s="2" t="s">
        <v>150</v>
      </c>
      <c r="B3003" s="2" t="s">
        <v>2261</v>
      </c>
      <c r="C3003" s="2" t="s">
        <v>2262</v>
      </c>
      <c r="D3003" s="8" t="s">
        <v>46</v>
      </c>
      <c r="E3003" s="9"/>
      <c r="F3003" s="33">
        <v>1.0</v>
      </c>
      <c r="G3003" s="33">
        <v>3900.0</v>
      </c>
      <c r="H3003" s="35">
        <v>46182.0</v>
      </c>
      <c r="I3003" s="2" t="s">
        <v>1645</v>
      </c>
      <c r="J3003" s="12" t="s">
        <v>2327</v>
      </c>
    </row>
    <row r="3004" ht="22.5" customHeight="1">
      <c r="A3004" s="2" t="s">
        <v>2328</v>
      </c>
      <c r="B3004" s="2" t="s">
        <v>2250</v>
      </c>
      <c r="C3004" s="2" t="s">
        <v>2251</v>
      </c>
      <c r="D3004" s="8" t="s">
        <v>75</v>
      </c>
      <c r="E3004" s="9" t="s">
        <v>16</v>
      </c>
      <c r="F3004" s="33">
        <v>1.0</v>
      </c>
      <c r="G3004" s="33">
        <v>1350.0</v>
      </c>
      <c r="H3004" s="35">
        <v>46182.0</v>
      </c>
      <c r="I3004" s="2" t="s">
        <v>1645</v>
      </c>
      <c r="J3004" s="12" t="s">
        <v>2329</v>
      </c>
    </row>
    <row r="3005" ht="22.5" customHeight="1">
      <c r="A3005" s="2" t="s">
        <v>2328</v>
      </c>
      <c r="B3005" s="2" t="s">
        <v>1991</v>
      </c>
      <c r="C3005" s="2" t="s">
        <v>1992</v>
      </c>
      <c r="D3005" s="8" t="s">
        <v>75</v>
      </c>
      <c r="E3005" s="9" t="s">
        <v>1993</v>
      </c>
      <c r="F3005" s="33">
        <v>1.0</v>
      </c>
      <c r="G3005" s="33">
        <v>1200.0</v>
      </c>
      <c r="H3005" s="35">
        <v>46182.0</v>
      </c>
      <c r="I3005" s="2" t="s">
        <v>1645</v>
      </c>
      <c r="J3005" s="12" t="s">
        <v>2329</v>
      </c>
    </row>
    <row r="3006" ht="22.5" customHeight="1">
      <c r="A3006" s="2" t="s">
        <v>2328</v>
      </c>
      <c r="B3006" s="2" t="s">
        <v>1991</v>
      </c>
      <c r="C3006" s="2" t="s">
        <v>1992</v>
      </c>
      <c r="D3006" s="8" t="s">
        <v>75</v>
      </c>
      <c r="E3006" s="9" t="s">
        <v>1996</v>
      </c>
      <c r="F3006" s="33">
        <v>1.0</v>
      </c>
      <c r="G3006" s="33">
        <v>1200.0</v>
      </c>
      <c r="H3006" s="35">
        <v>46182.0</v>
      </c>
      <c r="I3006" s="2" t="s">
        <v>1645</v>
      </c>
      <c r="J3006" s="12" t="s">
        <v>2329</v>
      </c>
    </row>
    <row r="3007" ht="22.5" customHeight="1">
      <c r="A3007" s="2" t="s">
        <v>1836</v>
      </c>
      <c r="B3007" s="2" t="s">
        <v>1619</v>
      </c>
      <c r="C3007" s="2" t="s">
        <v>1620</v>
      </c>
      <c r="D3007" s="8" t="s">
        <v>12</v>
      </c>
      <c r="E3007" s="9" t="s">
        <v>18</v>
      </c>
      <c r="F3007" s="33">
        <v>1.0</v>
      </c>
      <c r="G3007" s="33">
        <v>1650.0</v>
      </c>
      <c r="H3007" s="35">
        <v>46183.0</v>
      </c>
      <c r="I3007" s="2" t="s">
        <v>473</v>
      </c>
      <c r="J3007" s="2"/>
    </row>
    <row r="3008" ht="22.5" customHeight="1">
      <c r="A3008" s="2" t="s">
        <v>526</v>
      </c>
      <c r="B3008" s="2" t="s">
        <v>1011</v>
      </c>
      <c r="C3008" s="2">
        <v>3225.0</v>
      </c>
      <c r="D3008" s="8" t="s">
        <v>75</v>
      </c>
      <c r="E3008" s="9" t="s">
        <v>58</v>
      </c>
      <c r="F3008" s="33">
        <v>1.0</v>
      </c>
      <c r="G3008" s="33">
        <v>2350.0</v>
      </c>
      <c r="H3008" s="35">
        <v>46183.0</v>
      </c>
      <c r="I3008" s="2" t="s">
        <v>1645</v>
      </c>
      <c r="J3008" s="2"/>
    </row>
    <row r="3009" ht="22.5" customHeight="1">
      <c r="A3009" s="2" t="s">
        <v>313</v>
      </c>
      <c r="B3009" s="2" t="s">
        <v>2307</v>
      </c>
      <c r="C3009" s="2">
        <v>9272.0</v>
      </c>
      <c r="D3009" s="8" t="s">
        <v>12</v>
      </c>
      <c r="E3009" s="9" t="s">
        <v>58</v>
      </c>
      <c r="F3009" s="33">
        <v>1.0</v>
      </c>
      <c r="G3009" s="33">
        <v>1750.0</v>
      </c>
      <c r="H3009" s="35">
        <v>46183.0</v>
      </c>
      <c r="I3009" s="2" t="s">
        <v>1183</v>
      </c>
      <c r="J3009" s="12" t="s">
        <v>2115</v>
      </c>
    </row>
    <row r="3010" ht="22.5" customHeight="1">
      <c r="A3010" s="2" t="s">
        <v>1838</v>
      </c>
      <c r="B3010" s="2" t="s">
        <v>2307</v>
      </c>
      <c r="C3010" s="2">
        <v>9272.0</v>
      </c>
      <c r="D3010" s="8" t="s">
        <v>12</v>
      </c>
      <c r="E3010" s="9" t="s">
        <v>58</v>
      </c>
      <c r="F3010" s="33">
        <v>1.0</v>
      </c>
      <c r="G3010" s="33">
        <v>1750.0</v>
      </c>
      <c r="H3010" s="35">
        <v>46183.0</v>
      </c>
      <c r="I3010" s="2" t="s">
        <v>1183</v>
      </c>
      <c r="J3010" s="12" t="s">
        <v>2330</v>
      </c>
    </row>
    <row r="3011" ht="22.5" customHeight="1">
      <c r="A3011" s="2" t="s">
        <v>166</v>
      </c>
      <c r="B3011" s="2" t="s">
        <v>2307</v>
      </c>
      <c r="C3011" s="2">
        <v>9272.0</v>
      </c>
      <c r="D3011" s="8" t="s">
        <v>12</v>
      </c>
      <c r="E3011" s="9" t="s">
        <v>58</v>
      </c>
      <c r="F3011" s="33">
        <v>1.0</v>
      </c>
      <c r="G3011" s="33">
        <v>1750.0</v>
      </c>
      <c r="H3011" s="35">
        <v>46183.0</v>
      </c>
      <c r="I3011" s="2" t="s">
        <v>1183</v>
      </c>
      <c r="J3011" s="12" t="s">
        <v>2318</v>
      </c>
    </row>
    <row r="3012" ht="22.5" customHeight="1">
      <c r="A3012" s="2" t="s">
        <v>2331</v>
      </c>
      <c r="B3012" s="2" t="s">
        <v>1619</v>
      </c>
      <c r="C3012" s="2" t="s">
        <v>1620</v>
      </c>
      <c r="D3012" s="8" t="s">
        <v>22</v>
      </c>
      <c r="E3012" s="9" t="s">
        <v>914</v>
      </c>
      <c r="F3012" s="33">
        <v>1.0</v>
      </c>
      <c r="G3012" s="33">
        <v>1650.0</v>
      </c>
      <c r="H3012" s="35">
        <v>46183.0</v>
      </c>
      <c r="I3012" s="2" t="s">
        <v>1645</v>
      </c>
      <c r="J3012" s="12" t="s">
        <v>2332</v>
      </c>
    </row>
    <row r="3013" ht="22.5" customHeight="1">
      <c r="A3013" s="2" t="s">
        <v>1849</v>
      </c>
      <c r="B3013" s="2" t="s">
        <v>1203</v>
      </c>
      <c r="C3013" s="2" t="s">
        <v>1204</v>
      </c>
      <c r="D3013" s="8" t="s">
        <v>22</v>
      </c>
      <c r="E3013" s="9" t="s">
        <v>13</v>
      </c>
      <c r="F3013" s="33">
        <v>1.0</v>
      </c>
      <c r="G3013" s="33">
        <v>725.0</v>
      </c>
      <c r="H3013" s="35">
        <v>46183.0</v>
      </c>
      <c r="I3013" s="2" t="s">
        <v>1645</v>
      </c>
      <c r="J3013" s="12" t="s">
        <v>1850</v>
      </c>
    </row>
    <row r="3014" ht="22.5" customHeight="1">
      <c r="A3014" s="2" t="s">
        <v>1849</v>
      </c>
      <c r="B3014" s="2" t="s">
        <v>1201</v>
      </c>
      <c r="C3014" s="2" t="s">
        <v>1202</v>
      </c>
      <c r="D3014" s="8" t="s">
        <v>22</v>
      </c>
      <c r="E3014" s="9" t="s">
        <v>13</v>
      </c>
      <c r="F3014" s="33">
        <v>1.0</v>
      </c>
      <c r="G3014" s="33">
        <v>725.0</v>
      </c>
      <c r="H3014" s="35">
        <v>46183.0</v>
      </c>
      <c r="I3014" s="2" t="s">
        <v>1645</v>
      </c>
      <c r="J3014" s="12" t="s">
        <v>1850</v>
      </c>
    </row>
    <row r="3015" ht="22.5" customHeight="1">
      <c r="A3015" s="2" t="s">
        <v>2260</v>
      </c>
      <c r="B3015" s="2" t="s">
        <v>2242</v>
      </c>
      <c r="C3015" s="2" t="s">
        <v>2243</v>
      </c>
      <c r="D3015" s="8" t="s">
        <v>22</v>
      </c>
      <c r="E3015" s="9" t="s">
        <v>58</v>
      </c>
      <c r="F3015" s="33">
        <v>1.0</v>
      </c>
      <c r="G3015" s="33">
        <v>1990.0</v>
      </c>
      <c r="H3015" s="35">
        <v>46183.0</v>
      </c>
      <c r="I3015" s="2" t="s">
        <v>1645</v>
      </c>
      <c r="J3015" s="12" t="s">
        <v>2263</v>
      </c>
    </row>
    <row r="3016" ht="22.5" customHeight="1">
      <c r="A3016" s="2" t="s">
        <v>2260</v>
      </c>
      <c r="B3016" s="2" t="s">
        <v>1894</v>
      </c>
      <c r="C3016" s="2" t="s">
        <v>1895</v>
      </c>
      <c r="D3016" s="8" t="s">
        <v>46</v>
      </c>
      <c r="E3016" s="9" t="s">
        <v>914</v>
      </c>
      <c r="F3016" s="33">
        <v>2.0</v>
      </c>
      <c r="G3016" s="33">
        <v>1550.0</v>
      </c>
      <c r="H3016" s="35">
        <v>46183.0</v>
      </c>
      <c r="I3016" s="2" t="s">
        <v>1645</v>
      </c>
      <c r="J3016" s="12" t="s">
        <v>2263</v>
      </c>
    </row>
    <row r="3017" ht="22.5" customHeight="1">
      <c r="A3017" s="2" t="s">
        <v>2260</v>
      </c>
      <c r="B3017" s="2" t="s">
        <v>1232</v>
      </c>
      <c r="C3017" s="2" t="s">
        <v>1233</v>
      </c>
      <c r="D3017" s="8" t="s">
        <v>46</v>
      </c>
      <c r="E3017" s="9" t="s">
        <v>13</v>
      </c>
      <c r="F3017" s="33">
        <v>1.0</v>
      </c>
      <c r="G3017" s="33">
        <v>1550.0</v>
      </c>
      <c r="H3017" s="35">
        <v>46183.0</v>
      </c>
      <c r="I3017" s="2" t="s">
        <v>1645</v>
      </c>
      <c r="J3017" s="12" t="s">
        <v>2263</v>
      </c>
    </row>
    <row r="3018" ht="22.5" customHeight="1">
      <c r="A3018" s="2" t="s">
        <v>409</v>
      </c>
      <c r="B3018" s="2" t="s">
        <v>2250</v>
      </c>
      <c r="C3018" s="2" t="s">
        <v>2251</v>
      </c>
      <c r="D3018" s="8" t="s">
        <v>989</v>
      </c>
      <c r="E3018" s="9" t="s">
        <v>198</v>
      </c>
      <c r="F3018" s="33">
        <v>1.0</v>
      </c>
      <c r="G3018" s="33">
        <v>1350.0</v>
      </c>
      <c r="H3018" s="35">
        <v>46183.0</v>
      </c>
      <c r="I3018" s="2" t="s">
        <v>1645</v>
      </c>
      <c r="J3018" s="12" t="s">
        <v>2057</v>
      </c>
    </row>
    <row r="3019" ht="22.5" customHeight="1">
      <c r="A3019" s="2" t="s">
        <v>409</v>
      </c>
      <c r="B3019" s="2" t="s">
        <v>2277</v>
      </c>
      <c r="C3019" s="2">
        <v>8012.0</v>
      </c>
      <c r="D3019" s="8" t="s">
        <v>46</v>
      </c>
      <c r="E3019" s="9" t="s">
        <v>58</v>
      </c>
      <c r="F3019" s="33">
        <v>1.0</v>
      </c>
      <c r="G3019" s="33">
        <v>2990.0</v>
      </c>
      <c r="H3019" s="35">
        <v>46183.0</v>
      </c>
      <c r="I3019" s="2" t="s">
        <v>1645</v>
      </c>
      <c r="J3019" s="12" t="s">
        <v>2057</v>
      </c>
    </row>
    <row r="3020" ht="22.5" customHeight="1">
      <c r="A3020" s="2" t="s">
        <v>409</v>
      </c>
      <c r="B3020" s="2" t="s">
        <v>2284</v>
      </c>
      <c r="C3020" s="2">
        <v>627.0</v>
      </c>
      <c r="D3020" s="8" t="s">
        <v>46</v>
      </c>
      <c r="E3020" s="9" t="s">
        <v>18</v>
      </c>
      <c r="F3020" s="33">
        <v>1.0</v>
      </c>
      <c r="G3020" s="33">
        <v>850.0</v>
      </c>
      <c r="H3020" s="35">
        <v>46183.0</v>
      </c>
      <c r="I3020" s="2" t="s">
        <v>1645</v>
      </c>
      <c r="J3020" s="12" t="s">
        <v>2057</v>
      </c>
    </row>
    <row r="3021" ht="22.5" customHeight="1">
      <c r="A3021" s="2" t="s">
        <v>409</v>
      </c>
      <c r="B3021" s="2" t="s">
        <v>2284</v>
      </c>
      <c r="C3021" s="2">
        <v>627.0</v>
      </c>
      <c r="D3021" s="8" t="s">
        <v>46</v>
      </c>
      <c r="E3021" s="9" t="s">
        <v>23</v>
      </c>
      <c r="F3021" s="33">
        <v>1.0</v>
      </c>
      <c r="G3021" s="33">
        <v>850.0</v>
      </c>
      <c r="H3021" s="35">
        <v>46183.0</v>
      </c>
      <c r="I3021" s="2" t="s">
        <v>1645</v>
      </c>
      <c r="J3021" s="12" t="s">
        <v>2057</v>
      </c>
    </row>
    <row r="3022" ht="22.5" customHeight="1">
      <c r="A3022" s="2" t="s">
        <v>937</v>
      </c>
      <c r="B3022" s="2" t="s">
        <v>2242</v>
      </c>
      <c r="C3022" s="2" t="s">
        <v>2243</v>
      </c>
      <c r="D3022" s="8" t="s">
        <v>75</v>
      </c>
      <c r="E3022" s="9" t="s">
        <v>58</v>
      </c>
      <c r="F3022" s="33">
        <v>1.0</v>
      </c>
      <c r="G3022" s="33">
        <v>1990.0</v>
      </c>
      <c r="H3022" s="35">
        <v>46183.0</v>
      </c>
      <c r="I3022" s="2" t="s">
        <v>1645</v>
      </c>
      <c r="J3022" s="2"/>
    </row>
    <row r="3023" ht="22.5" customHeight="1">
      <c r="A3023" s="2" t="s">
        <v>781</v>
      </c>
      <c r="B3023" s="2" t="s">
        <v>726</v>
      </c>
      <c r="C3023" s="2">
        <v>9091.0</v>
      </c>
      <c r="D3023" s="8" t="s">
        <v>75</v>
      </c>
      <c r="E3023" s="9" t="s">
        <v>58</v>
      </c>
      <c r="F3023" s="33">
        <v>2.0</v>
      </c>
      <c r="G3023" s="33">
        <v>1950.0</v>
      </c>
      <c r="H3023" s="35">
        <v>46183.0</v>
      </c>
      <c r="I3023" s="2" t="s">
        <v>1645</v>
      </c>
      <c r="J3023" s="12" t="s">
        <v>1226</v>
      </c>
    </row>
    <row r="3024" ht="22.5" customHeight="1">
      <c r="A3024" s="2" t="s">
        <v>781</v>
      </c>
      <c r="B3024" s="2" t="s">
        <v>726</v>
      </c>
      <c r="C3024" s="2">
        <v>9091.0</v>
      </c>
      <c r="D3024" s="8" t="s">
        <v>22</v>
      </c>
      <c r="E3024" s="9" t="s">
        <v>58</v>
      </c>
      <c r="F3024" s="33">
        <v>1.0</v>
      </c>
      <c r="G3024" s="33">
        <v>1950.0</v>
      </c>
      <c r="H3024" s="35">
        <v>46183.0</v>
      </c>
      <c r="I3024" s="2" t="s">
        <v>1645</v>
      </c>
      <c r="J3024" s="12" t="s">
        <v>1226</v>
      </c>
    </row>
    <row r="3025" ht="22.5" customHeight="1">
      <c r="A3025" s="2" t="s">
        <v>781</v>
      </c>
      <c r="B3025" s="2" t="s">
        <v>726</v>
      </c>
      <c r="C3025" s="2">
        <v>9091.0</v>
      </c>
      <c r="D3025" s="8" t="s">
        <v>22</v>
      </c>
      <c r="E3025" s="9" t="s">
        <v>13</v>
      </c>
      <c r="F3025" s="33">
        <v>1.0</v>
      </c>
      <c r="G3025" s="33">
        <v>1950.0</v>
      </c>
      <c r="H3025" s="35">
        <v>46183.0</v>
      </c>
      <c r="I3025" s="2" t="s">
        <v>1645</v>
      </c>
      <c r="J3025" s="12" t="s">
        <v>1226</v>
      </c>
    </row>
    <row r="3026" ht="22.5" customHeight="1">
      <c r="A3026" s="2" t="s">
        <v>781</v>
      </c>
      <c r="B3026" s="2" t="s">
        <v>1894</v>
      </c>
      <c r="C3026" s="2" t="s">
        <v>1895</v>
      </c>
      <c r="D3026" s="8" t="s">
        <v>46</v>
      </c>
      <c r="E3026" s="9" t="s">
        <v>914</v>
      </c>
      <c r="F3026" s="33">
        <v>1.0</v>
      </c>
      <c r="G3026" s="33">
        <v>1550.0</v>
      </c>
      <c r="H3026" s="35">
        <v>46183.0</v>
      </c>
      <c r="I3026" s="2" t="s">
        <v>1645</v>
      </c>
      <c r="J3026" s="12" t="s">
        <v>1226</v>
      </c>
    </row>
    <row r="3027" ht="22.5" customHeight="1">
      <c r="A3027" s="2" t="s">
        <v>781</v>
      </c>
      <c r="B3027" s="2" t="s">
        <v>1232</v>
      </c>
      <c r="C3027" s="2" t="s">
        <v>1233</v>
      </c>
      <c r="D3027" s="8" t="s">
        <v>46</v>
      </c>
      <c r="E3027" s="9" t="s">
        <v>13</v>
      </c>
      <c r="F3027" s="33">
        <v>1.0</v>
      </c>
      <c r="G3027" s="33">
        <v>1550.0</v>
      </c>
      <c r="H3027" s="35">
        <v>46183.0</v>
      </c>
      <c r="I3027" s="2" t="s">
        <v>1645</v>
      </c>
      <c r="J3027" s="12" t="s">
        <v>1226</v>
      </c>
    </row>
    <row r="3028" ht="22.5" customHeight="1">
      <c r="A3028" s="2" t="s">
        <v>575</v>
      </c>
      <c r="B3028" s="2" t="s">
        <v>2333</v>
      </c>
      <c r="C3028" s="2">
        <v>9273.0</v>
      </c>
      <c r="D3028" s="8" t="s">
        <v>22</v>
      </c>
      <c r="E3028" s="9" t="s">
        <v>47</v>
      </c>
      <c r="F3028" s="33">
        <v>1.0</v>
      </c>
      <c r="G3028" s="33">
        <v>1600.0</v>
      </c>
      <c r="H3028" s="35">
        <v>46183.0</v>
      </c>
      <c r="I3028" s="2" t="s">
        <v>1183</v>
      </c>
      <c r="J3028" s="12" t="s">
        <v>1060</v>
      </c>
    </row>
    <row r="3029" ht="22.5" customHeight="1">
      <c r="A3029" s="2" t="s">
        <v>412</v>
      </c>
      <c r="B3029" s="2" t="s">
        <v>2333</v>
      </c>
      <c r="C3029" s="2">
        <v>9273.0</v>
      </c>
      <c r="D3029" s="8" t="s">
        <v>12</v>
      </c>
      <c r="E3029" s="9" t="s">
        <v>47</v>
      </c>
      <c r="F3029" s="33">
        <v>1.0</v>
      </c>
      <c r="G3029" s="33">
        <v>1600.0</v>
      </c>
      <c r="H3029" s="35">
        <v>46183.0</v>
      </c>
      <c r="I3029" s="2" t="s">
        <v>1183</v>
      </c>
      <c r="J3029" s="12" t="s">
        <v>2334</v>
      </c>
    </row>
    <row r="3030" ht="22.5" customHeight="1">
      <c r="A3030" s="2" t="s">
        <v>71</v>
      </c>
      <c r="B3030" s="2" t="s">
        <v>2333</v>
      </c>
      <c r="C3030" s="2">
        <v>9273.0</v>
      </c>
      <c r="D3030" s="8" t="s">
        <v>22</v>
      </c>
      <c r="E3030" s="9" t="s">
        <v>47</v>
      </c>
      <c r="F3030" s="33">
        <v>1.0</v>
      </c>
      <c r="G3030" s="33">
        <v>1600.0</v>
      </c>
      <c r="H3030" s="35">
        <v>46183.0</v>
      </c>
      <c r="I3030" s="2" t="s">
        <v>1183</v>
      </c>
      <c r="J3030" s="12" t="s">
        <v>955</v>
      </c>
    </row>
    <row r="3031" ht="22.5" customHeight="1">
      <c r="A3031" s="2" t="s">
        <v>2335</v>
      </c>
      <c r="B3031" s="2" t="s">
        <v>182</v>
      </c>
      <c r="C3031" s="2">
        <v>9369.0</v>
      </c>
      <c r="D3031" s="8" t="s">
        <v>12</v>
      </c>
      <c r="E3031" s="9" t="s">
        <v>58</v>
      </c>
      <c r="F3031" s="33">
        <v>1.0</v>
      </c>
      <c r="G3031" s="33">
        <v>2600.0</v>
      </c>
      <c r="H3031" s="35">
        <v>46183.0</v>
      </c>
      <c r="I3031" s="2" t="s">
        <v>1183</v>
      </c>
      <c r="J3031" s="2"/>
    </row>
    <row r="3032" ht="22.5" customHeight="1">
      <c r="A3032" s="2" t="s">
        <v>2133</v>
      </c>
      <c r="B3032" s="2" t="s">
        <v>2296</v>
      </c>
      <c r="C3032" s="2">
        <v>9686.0</v>
      </c>
      <c r="D3032" s="8" t="s">
        <v>12</v>
      </c>
      <c r="E3032" s="9" t="s">
        <v>26</v>
      </c>
      <c r="F3032" s="33">
        <v>1.0</v>
      </c>
      <c r="G3032" s="33">
        <v>2150.0</v>
      </c>
      <c r="H3032" s="35">
        <v>46183.0</v>
      </c>
      <c r="I3032" s="2" t="s">
        <v>1183</v>
      </c>
      <c r="J3032" s="12" t="s">
        <v>2258</v>
      </c>
    </row>
    <row r="3033" ht="22.5" customHeight="1">
      <c r="A3033" s="2" t="s">
        <v>575</v>
      </c>
      <c r="B3033" s="2" t="s">
        <v>2296</v>
      </c>
      <c r="C3033" s="2">
        <v>9686.0</v>
      </c>
      <c r="D3033" s="8" t="s">
        <v>22</v>
      </c>
      <c r="E3033" s="9" t="s">
        <v>13</v>
      </c>
      <c r="F3033" s="33">
        <v>1.0</v>
      </c>
      <c r="G3033" s="33">
        <v>2150.0</v>
      </c>
      <c r="H3033" s="35">
        <v>46183.0</v>
      </c>
      <c r="I3033" s="2" t="s">
        <v>1183</v>
      </c>
      <c r="J3033" s="12" t="s">
        <v>1060</v>
      </c>
    </row>
    <row r="3034" ht="22.5" customHeight="1">
      <c r="A3034" s="2" t="s">
        <v>1181</v>
      </c>
      <c r="B3034" s="2" t="s">
        <v>1376</v>
      </c>
      <c r="C3034" s="2" t="s">
        <v>1377</v>
      </c>
      <c r="D3034" s="8">
        <v>37.0</v>
      </c>
      <c r="E3034" s="9" t="s">
        <v>47</v>
      </c>
      <c r="F3034" s="33">
        <v>1.0</v>
      </c>
      <c r="G3034" s="33">
        <v>7000.0</v>
      </c>
      <c r="H3034" s="35">
        <v>46184.0</v>
      </c>
      <c r="I3034" s="2" t="s">
        <v>473</v>
      </c>
      <c r="J3034" s="12" t="s">
        <v>1182</v>
      </c>
    </row>
    <row r="3035" ht="22.5" customHeight="1">
      <c r="A3035" s="2" t="s">
        <v>2336</v>
      </c>
      <c r="B3035" s="2" t="s">
        <v>1376</v>
      </c>
      <c r="C3035" s="2" t="s">
        <v>1377</v>
      </c>
      <c r="D3035" s="8">
        <v>38.0</v>
      </c>
      <c r="E3035" s="9" t="s">
        <v>47</v>
      </c>
      <c r="F3035" s="33">
        <v>1.0</v>
      </c>
      <c r="G3035" s="33">
        <v>7000.0</v>
      </c>
      <c r="H3035" s="35">
        <v>46184.0</v>
      </c>
      <c r="I3035" s="2" t="s">
        <v>473</v>
      </c>
      <c r="J3035" s="2"/>
    </row>
    <row r="3036" ht="22.5" customHeight="1">
      <c r="A3036" s="2" t="s">
        <v>2336</v>
      </c>
      <c r="B3036" s="2" t="s">
        <v>1376</v>
      </c>
      <c r="C3036" s="2" t="s">
        <v>1377</v>
      </c>
      <c r="D3036" s="8">
        <v>39.0</v>
      </c>
      <c r="E3036" s="9" t="s">
        <v>47</v>
      </c>
      <c r="F3036" s="33">
        <v>1.0</v>
      </c>
      <c r="G3036" s="33">
        <v>7000.0</v>
      </c>
      <c r="H3036" s="35">
        <v>46184.0</v>
      </c>
      <c r="I3036" s="2" t="s">
        <v>473</v>
      </c>
      <c r="J3036" s="2"/>
    </row>
    <row r="3037" ht="22.5" customHeight="1">
      <c r="A3037" s="2" t="s">
        <v>2337</v>
      </c>
      <c r="B3037" s="2" t="s">
        <v>1325</v>
      </c>
      <c r="C3037" s="2" t="s">
        <v>1435</v>
      </c>
      <c r="D3037" s="8">
        <v>40.0</v>
      </c>
      <c r="E3037" s="9" t="s">
        <v>47</v>
      </c>
      <c r="F3037" s="33">
        <v>1.0</v>
      </c>
      <c r="G3037" s="33">
        <v>6990.0</v>
      </c>
      <c r="H3037" s="35">
        <v>46184.0</v>
      </c>
      <c r="I3037" s="2" t="s">
        <v>473</v>
      </c>
      <c r="J3037" s="2"/>
    </row>
    <row r="3038" ht="22.5" customHeight="1">
      <c r="A3038" s="2" t="s">
        <v>2338</v>
      </c>
      <c r="B3038" s="2" t="s">
        <v>1325</v>
      </c>
      <c r="C3038" s="2" t="s">
        <v>1435</v>
      </c>
      <c r="D3038" s="8">
        <v>35.0</v>
      </c>
      <c r="E3038" s="9" t="s">
        <v>47</v>
      </c>
      <c r="F3038" s="33">
        <v>1.0</v>
      </c>
      <c r="G3038" s="33">
        <v>6990.0</v>
      </c>
      <c r="H3038" s="35">
        <v>46184.0</v>
      </c>
      <c r="I3038" s="2" t="s">
        <v>473</v>
      </c>
      <c r="J3038" s="2"/>
    </row>
    <row r="3039" ht="22.5" customHeight="1">
      <c r="A3039" s="2" t="s">
        <v>2339</v>
      </c>
      <c r="B3039" s="2" t="s">
        <v>1325</v>
      </c>
      <c r="C3039" s="2" t="s">
        <v>1435</v>
      </c>
      <c r="D3039" s="8">
        <v>38.0</v>
      </c>
      <c r="E3039" s="9" t="s">
        <v>47</v>
      </c>
      <c r="F3039" s="33">
        <v>1.0</v>
      </c>
      <c r="G3039" s="33">
        <v>6990.0</v>
      </c>
      <c r="H3039" s="35">
        <v>46184.0</v>
      </c>
      <c r="I3039" s="2" t="s">
        <v>473</v>
      </c>
      <c r="J3039" s="2"/>
    </row>
    <row r="3040" ht="22.5" customHeight="1">
      <c r="A3040" s="2" t="s">
        <v>2340</v>
      </c>
      <c r="B3040" s="2" t="s">
        <v>1325</v>
      </c>
      <c r="C3040" s="2" t="s">
        <v>1435</v>
      </c>
      <c r="D3040" s="8">
        <v>36.0</v>
      </c>
      <c r="E3040" s="9" t="s">
        <v>47</v>
      </c>
      <c r="F3040" s="33">
        <v>1.0</v>
      </c>
      <c r="G3040" s="33">
        <v>6990.0</v>
      </c>
      <c r="H3040" s="35">
        <v>46184.0</v>
      </c>
      <c r="I3040" s="2" t="s">
        <v>473</v>
      </c>
      <c r="J3040" s="2"/>
    </row>
    <row r="3041" ht="22.5" customHeight="1">
      <c r="A3041" s="2" t="s">
        <v>2260</v>
      </c>
      <c r="B3041" s="2" t="s">
        <v>2341</v>
      </c>
      <c r="C3041" s="2" t="s">
        <v>2342</v>
      </c>
      <c r="D3041" s="8">
        <v>37.0</v>
      </c>
      <c r="E3041" s="9" t="s">
        <v>26</v>
      </c>
      <c r="F3041" s="33">
        <v>1.0</v>
      </c>
      <c r="G3041" s="33">
        <v>6000.0</v>
      </c>
      <c r="H3041" s="35">
        <v>46184.0</v>
      </c>
      <c r="I3041" s="2" t="s">
        <v>473</v>
      </c>
      <c r="J3041" s="12" t="s">
        <v>2263</v>
      </c>
    </row>
    <row r="3042" ht="22.5" customHeight="1">
      <c r="A3042" s="2" t="s">
        <v>2343</v>
      </c>
      <c r="B3042" s="2" t="s">
        <v>1325</v>
      </c>
      <c r="C3042" s="2" t="s">
        <v>1435</v>
      </c>
      <c r="D3042" s="8">
        <v>39.0</v>
      </c>
      <c r="E3042" s="9" t="s">
        <v>47</v>
      </c>
      <c r="F3042" s="33">
        <v>1.0</v>
      </c>
      <c r="G3042" s="33">
        <v>6990.0</v>
      </c>
      <c r="H3042" s="35">
        <v>46184.0</v>
      </c>
      <c r="I3042" s="2" t="s">
        <v>473</v>
      </c>
      <c r="J3042" s="2"/>
    </row>
    <row r="3043" ht="22.5" customHeight="1">
      <c r="A3043" s="2" t="s">
        <v>409</v>
      </c>
      <c r="B3043" s="2" t="s">
        <v>1325</v>
      </c>
      <c r="C3043" s="2" t="s">
        <v>1435</v>
      </c>
      <c r="D3043" s="8">
        <v>37.0</v>
      </c>
      <c r="E3043" s="9" t="s">
        <v>914</v>
      </c>
      <c r="F3043" s="33">
        <v>1.0</v>
      </c>
      <c r="G3043" s="33">
        <v>6990.0</v>
      </c>
      <c r="H3043" s="35">
        <v>46184.0</v>
      </c>
      <c r="I3043" s="2" t="s">
        <v>473</v>
      </c>
      <c r="J3043" s="12" t="s">
        <v>2057</v>
      </c>
    </row>
    <row r="3044" ht="22.5" customHeight="1">
      <c r="A3044" s="2" t="s">
        <v>466</v>
      </c>
      <c r="B3044" s="2" t="s">
        <v>1293</v>
      </c>
      <c r="C3044" s="2" t="s">
        <v>1378</v>
      </c>
      <c r="D3044" s="8">
        <v>39.0</v>
      </c>
      <c r="E3044" s="9" t="s">
        <v>26</v>
      </c>
      <c r="F3044" s="33">
        <v>1.0</v>
      </c>
      <c r="G3044" s="33">
        <v>2900.0</v>
      </c>
      <c r="H3044" s="35">
        <v>46184.0</v>
      </c>
      <c r="I3044" s="2" t="s">
        <v>473</v>
      </c>
      <c r="J3044" s="2"/>
    </row>
    <row r="3045" ht="22.5" customHeight="1">
      <c r="A3045" s="2" t="s">
        <v>2344</v>
      </c>
      <c r="B3045" s="2" t="s">
        <v>1888</v>
      </c>
      <c r="C3045" s="2" t="s">
        <v>1889</v>
      </c>
      <c r="D3045" s="8">
        <v>37.0</v>
      </c>
      <c r="E3045" s="9" t="s">
        <v>47</v>
      </c>
      <c r="F3045" s="33">
        <v>1.0</v>
      </c>
      <c r="G3045" s="33">
        <v>7400.0</v>
      </c>
      <c r="H3045" s="35">
        <v>46184.0</v>
      </c>
      <c r="I3045" s="2" t="s">
        <v>473</v>
      </c>
      <c r="J3045" s="2"/>
    </row>
    <row r="3046" ht="22.5" customHeight="1">
      <c r="A3046" s="2" t="s">
        <v>2336</v>
      </c>
      <c r="B3046" s="2" t="s">
        <v>2250</v>
      </c>
      <c r="C3046" s="2" t="s">
        <v>2251</v>
      </c>
      <c r="D3046" s="8" t="s">
        <v>75</v>
      </c>
      <c r="E3046" s="9" t="s">
        <v>198</v>
      </c>
      <c r="F3046" s="33">
        <v>1.0</v>
      </c>
      <c r="G3046" s="33">
        <v>1350.0</v>
      </c>
      <c r="H3046" s="35">
        <v>46184.0</v>
      </c>
      <c r="I3046" s="2" t="s">
        <v>1645</v>
      </c>
      <c r="J3046" s="2"/>
    </row>
  </sheetData>
  <autoFilter ref="$A$1:$A$3046">
    <filterColumn colId="0">
      <filters>
        <filter val="Trang Bống"/>
        <filter val="Ng Ngọc Hân"/>
        <filter val="Đinh Thị Mai Lan"/>
        <filter val="Thu Quỳnh"/>
        <filter val="Khánh Phínhh"/>
        <filter val="LinLa Sa"/>
        <filter val="Nguyễn Linhh"/>
        <filter val="Huyền Trang3"/>
        <filter val="Hoàii Thươngg"/>
        <filter val="Điệp Thảo"/>
        <filter val="Bích Du Vũ Thị"/>
        <filter val="Phạm Lê"/>
        <filter val="Hoa Anh Đào"/>
        <filter val="Phạm Ngân"/>
        <filter val="Ngô Thu Uyên"/>
        <filter val="Lường Thị Hiếm"/>
        <filter val="Nguyễn Thị Ánh"/>
        <filter val="Nguyễn Diệu Ánh"/>
        <filter val="Đinh Phương"/>
        <filter val="Thắm Nguyễn"/>
        <filter val="Phạm Thị Thuỳ Linh"/>
        <filter val="Phương Trà-VN"/>
        <filter val="Hoàng Thị Ngọc"/>
        <filter val="Hoàn Trần"/>
        <filter val="Hoàng Hương"/>
        <filter val="Vũ Quỳnh Nhung"/>
        <filter val="Nhung Đỗ1"/>
        <filter val="Yu Kari"/>
        <filter val="Cao Khạn Uyen"/>
        <filter val="Thuỳ Bt"/>
        <filter val="Bảo Ngọc"/>
        <filter val="Vũ Thu Hường"/>
        <filter val="Trần Thanh Nhi Bình"/>
        <filter val="Thanh Phạm"/>
        <filter val="Nguyễn Thị Tuyết Kha"/>
        <filter val="リキン　メイ"/>
        <filter val="Trinh Ngyn"/>
        <filter val="Đoàn Khánh Chi"/>
        <filter val="Mỹ Chi"/>
        <filter val="Nana Purple"/>
        <filter val="Lương Như Quỳnh"/>
        <filter val="Quỳnh Trang"/>
        <filter val="Vương Minh"/>
        <filter val="Nguyễn Kim Anh"/>
        <filter val="Ngô Ngọc Duyên"/>
        <filter val="Phạm Trang"/>
        <filter val="Ánh Xuân"/>
        <filter val="Nguyễn Phươnganh"/>
        <filter val="Trần T. Thuỳ"/>
        <filter val="Angelia Tran"/>
        <filter val="Cicih"/>
        <filter val="Yến Phi"/>
        <filter val="Nguyen Hoai Ngoc"/>
        <filter val="Trang Karry"/>
        <filter val="Hônq Loan"/>
        <filter val="Ngà Mina"/>
        <filter val="Phùng Hậu"/>
        <filter val="Vu Huong Giang"/>
        <filter val="Quynh kani"/>
        <filter val="Bảo Bảo"/>
        <filter val="Dưa Hấu"/>
        <filter val="Nhậtt Quyên"/>
        <filter val="Dinh Thuy Dung"/>
        <filter val="Nguyễn hoàng"/>
        <filter val="San Bao"/>
        <filter val="Yến Peach"/>
        <filter val="Nguyễn Thị Thuý"/>
        <filter val="Hằng Hoon"/>
        <filter val="Mei Chan"/>
        <filter val="Hang Nguyen"/>
        <filter val="An Hy"/>
        <filter val="Ngát Suri"/>
        <filter val="Linh Hoàng"/>
        <filter val="Huyenn Trangg"/>
        <filter val="Dương Lê Khang Trang"/>
        <filter val="Voi Conn"/>
        <filter val="Trinh Dathao"/>
        <filter val="Ka Xu"/>
        <filter val="Hoàng Ngọc Tú"/>
        <filter val="Trịnh Tân"/>
        <filter val="Phươngg Hoa"/>
        <filter val="Hiền Lương"/>
        <filter val="Trần T. Thu"/>
        <filter val="Phương Phương"/>
        <filter val="Tâm Giang"/>
        <filter val="Triệu T.Hà"/>
        <filter val="Bùi Thị Nhung"/>
        <filter val="Nguyễn VanAnh"/>
        <filter val="THu Hiền"/>
        <filter val="Kiều Linh"/>
        <filter val="Hoahonggai thon"/>
        <filter val="Minh Khánh"/>
        <filter val="Tây Phàm"/>
        <filter val="Thu ichi"/>
        <filter val="Mỹ Anh Yini"/>
        <filter val="Huyền My"/>
        <filter val="Vũ Thị Kim Dung"/>
        <filter val="Hà Nguyen"/>
        <filter val="Huế"/>
        <filter val="Phượng Phạm"/>
        <filter val="Diệu Thuỳ Linh"/>
        <filter val="Trần Phương Trang"/>
        <filter val="Nguyễn Mây"/>
        <filter val="NLê Phương"/>
        <filter val="Linh Linh"/>
        <filter val="Xuân Thảo"/>
        <filter val="Cẩm Nguyên"/>
        <filter val="Hương AKi"/>
        <filter val="Tú Nguyễn"/>
        <filter val="Xù"/>
        <filter val="Hoàng Thu Diễm"/>
        <filter val="Thuý Huỳnh"/>
        <filter val="Hương Hương"/>
        <filter val="Ki Mi"/>
        <filter val="Minihon Chan"/>
        <filter val="Yến Như"/>
        <filter val="Linh Khiet"/>
        <filter val="Mỹ Duyên"/>
        <filter val="Ng Yenn"/>
        <filter val="Dạ Thảo"/>
        <filter val="Kim Thư"/>
        <filter val="Nguyen T Huyen"/>
        <filter val="Vân Cherry"/>
        <filter val="Võ Thị Kiều Oanh"/>
        <filter val="Quyen Tran"/>
        <filter val="Quỳnh Hương"/>
        <filter val="Yến Chip"/>
        <filter val="Hoàgg Ank"/>
        <filter val="Hoahong gai thon"/>
        <filter val="Nguyễn Oanh1"/>
        <filter val="Hoàng Lan"/>
        <filter val="Nguyễn T.Thu Hoài"/>
        <filter val="Mai Suppy"/>
        <filter val="Trang Tũnn"/>
        <filter val="Tam Thanh Nguyen"/>
        <filter val="Diễm Trinh"/>
        <filter val="Thái Lễ"/>
        <filter val="Nguyễn Trang"/>
        <filter val="Dương Như Mơ"/>
        <filter val="Linh Anh"/>
        <filter val="Bé Nhỏ"/>
        <filter val="Tran Lan Huong"/>
        <filter val="Nguyễn Thị Duyên"/>
        <filter val="Phạm Hà Thanh"/>
        <filter val="Trịnh Đình Hiếu"/>
        <filter val="Đỗ Kim Nữ"/>
        <filter val="Jolly Bùu"/>
        <filter val="Ngoc LH"/>
        <filter val="Huỳnh Thư"/>
        <filter val="Cải Thảo"/>
        <filter val="Phương Trà"/>
        <filter val="Thuý Thuý"/>
        <filter val="Nt Hoa"/>
        <filter val="Tiểuu Dii"/>
        <filter val="Nguyễn Huyền1"/>
        <filter val="Phạm Minh"/>
        <filter val="Bông Thành Trần"/>
        <filter val="Triệu Thị Hậu"/>
        <filter val="Linh Đỗ"/>
        <filter val="Đặng Thuỳ"/>
        <filter val="Xuyến Chi"/>
        <filter val="Hợi Hoàng"/>
        <filter val="Hoa Bich"/>
        <filter val="Lê Cẩm Ly"/>
        <filter val="Kiều Lan Hương"/>
        <filter val="Sáu Dollars"/>
        <filter val="Huỳnh Thị Chúc Ly"/>
        <filter val="Nguyễn Chung"/>
        <filter val="Kaoru"/>
        <filter val="Nguyễn T. Hồng"/>
        <filter val="Nhã Trang"/>
        <filter val="Công Dăng"/>
        <filter val="Thu Nhi"/>
        <filter val="Phạm Kiều Linh"/>
        <filter val="Hảii Yến"/>
        <filter val="Quỳnh Lương"/>
        <filter val="Linh Chi"/>
        <filter val="Nhàn Nhàn"/>
        <filter val="Thuý Thuý1"/>
        <filter val="Mi Tienn"/>
        <filter val="Linh Babie"/>
        <filter val="Thuỷ Đặng"/>
        <filter val="Thuỳ Đỗ"/>
        <filter val="Luỹ Phấn"/>
        <filter val="Thảo Nguyễn"/>
        <filter val="Song Tử Hướng Nội"/>
        <filter val="Hà Thu Thuỷ"/>
        <filter val="Nguyễn Huệ Tatto"/>
        <filter val="Huyền Diệu"/>
        <filter val="Bùi Thị Khánh Linh"/>
        <filter val="Trần Phương Dung"/>
        <filter val="Ngo Thuy Anh"/>
        <filter val="Nhat Anh"/>
        <filter val="Trang Hoàng"/>
        <filter val="Đỗ Thị Ngọc Liên"/>
        <filter val="Trần Khánh An"/>
        <filter val="Cỏ"/>
        <filter val="Huỳnh Mỹ Linh"/>
        <filter val="Thư Lê"/>
        <filter val="Giang Vũ"/>
        <filter val="Trần Ngọc"/>
        <filter val="Đỗ AnhThu"/>
        <filter val="Vũ Thị Thuỳ Trang"/>
        <filter val="Mai Thương"/>
        <filter val="Hiền Nguyễn"/>
        <filter val="Đinh Ánh Tuyết"/>
        <filter val="Bích Hiệp"/>
        <filter val="Hà Đoàn"/>
        <filter val="Min Lê"/>
        <filter val="My Nguyễn"/>
        <filter val="Ly Thị Nguyễn"/>
        <filter val="Nguyễn Thị Tuyết"/>
        <filter val="Khánh Ly"/>
      </filters>
    </filterColumn>
  </autoFilter>
  <conditionalFormatting sqref="H1:H3046">
    <cfRule type="notContainsBlanks" dxfId="5" priority="1" stopIfTrue="1">
      <formula>LEN(TRIM(H1))&gt;0</formula>
    </cfRule>
  </conditionalFormatting>
  <conditionalFormatting sqref="H1:H3046">
    <cfRule type="colorScale" priority="2">
      <colorScale>
        <cfvo type="min"/>
        <cfvo type="max"/>
        <color rgb="FFFFFFFF"/>
        <color rgb="FF57BB8A"/>
      </colorScale>
    </cfRule>
  </conditionalFormatting>
  <conditionalFormatting sqref="I2:I661">
    <cfRule type="cellIs" dxfId="6" priority="3" stopIfTrue="1" operator="equal">
      <formula>"CHƯA ĐẶT"</formula>
    </cfRule>
  </conditionalFormatting>
  <conditionalFormatting sqref="I2:I661">
    <cfRule type="cellIs" dxfId="7" priority="4" stopIfTrue="1" operator="equal">
      <formula>"Chờ hàng"</formula>
    </cfRule>
  </conditionalFormatting>
  <conditionalFormatting sqref="I2:I661">
    <cfRule type="cellIs" dxfId="8" priority="5" stopIfTrue="1" operator="equal">
      <formula>"Đang ship"</formula>
    </cfRule>
  </conditionalFormatting>
  <conditionalFormatting sqref="I2:I661">
    <cfRule type="cellIs" dxfId="9" priority="6" stopIfTrue="1" operator="equal">
      <formula>"Về kho"</formula>
    </cfRule>
  </conditionalFormatting>
  <conditionalFormatting sqref="I2:I661">
    <cfRule type="cellIs" dxfId="10" priority="7" stopIfTrue="1" operator="equal">
      <formula>"Đã gửi"</formula>
    </cfRule>
  </conditionalFormatting>
  <conditionalFormatting sqref="I2:I661">
    <cfRule type="cellIs" dxfId="11" priority="8" stopIfTrue="1" operator="equal">
      <formula>"Đã xoá"</formula>
    </cfRule>
  </conditionalFormatting>
  <dataValidations>
    <dataValidation type="list" allowBlank="1" sqref="D2:D3046">
      <formula1>"S,M,L,FZ,35,36,37,38,39,40,XL,2XL,42,5XL"</formula1>
    </dataValidation>
    <dataValidation type="list" allowBlank="1" showErrorMessage="1" sqref="I662:I3046">
      <formula1>"Chờ hàng,Đã đặt GZ,Đang ship,Về kho,Đã giao,Đã gửi,CHƯA ĐẶT,Đã xoá"</formula1>
    </dataValidation>
    <dataValidation type="list" allowBlank="1" showErrorMessage="1" sqref="I2:I661">
      <formula1>"CHƯA ĐẶT,Chờ hàng,Đang ship,Về kho,Đã gửi,Đã xoá"</formula1>
    </dataValidation>
    <dataValidation type="list" allowBlank="1" sqref="E2:E3046">
      <formula1>"ĐEN,TRẮNG,XÁM,HỒNG,XANH THAN,NÂU,XÁM ĐẬM,BE,ĐỎ,VÀNG,XANH NHẠT,NÂU NHẠT,SỌC HỒNG"</formula1>
    </dataValidation>
  </dataValidations>
  <hyperlinks>
    <hyperlink r:id="rId2" ref="J2"/>
    <hyperlink r:id="rId3" ref="J42"/>
    <hyperlink r:id="rId4" ref="J55"/>
    <hyperlink r:id="rId5" ref="J63"/>
    <hyperlink r:id="rId6" ref="J65"/>
    <hyperlink r:id="rId7" ref="J74"/>
    <hyperlink r:id="rId8" ref="J92"/>
    <hyperlink r:id="rId9" ref="J117"/>
    <hyperlink r:id="rId10" ref="J134"/>
    <hyperlink r:id="rId11" ref="J148"/>
    <hyperlink r:id="rId12" ref="J149"/>
    <hyperlink r:id="rId13" ref="J150"/>
    <hyperlink r:id="rId14" ref="J180"/>
    <hyperlink r:id="rId15" ref="J202"/>
    <hyperlink r:id="rId16" ref="J218"/>
    <hyperlink r:id="rId17" ref="J301"/>
    <hyperlink r:id="rId18" ref="J317"/>
    <hyperlink r:id="rId19" ref="J323"/>
    <hyperlink r:id="rId20" ref="J345"/>
    <hyperlink r:id="rId21" ref="J362"/>
    <hyperlink r:id="rId22" ref="J378"/>
    <hyperlink r:id="rId23" ref="J384"/>
    <hyperlink r:id="rId24" ref="J390"/>
    <hyperlink r:id="rId25" ref="J391"/>
    <hyperlink r:id="rId26" ref="J393"/>
    <hyperlink r:id="rId27" ref="J395"/>
    <hyperlink r:id="rId28" ref="J396"/>
    <hyperlink r:id="rId29" ref="J398"/>
    <hyperlink r:id="rId30" ref="J399"/>
    <hyperlink r:id="rId31" ref="J416"/>
    <hyperlink r:id="rId32" ref="J438"/>
    <hyperlink r:id="rId33" ref="J445"/>
    <hyperlink r:id="rId34" ref="J449"/>
    <hyperlink r:id="rId35" ref="J530"/>
    <hyperlink r:id="rId36" ref="J638"/>
    <hyperlink r:id="rId37" ref="J660"/>
    <hyperlink r:id="rId38" ref="J662"/>
    <hyperlink r:id="rId39" ref="J663"/>
    <hyperlink r:id="rId40" ref="J664"/>
    <hyperlink r:id="rId41" ref="J665"/>
    <hyperlink r:id="rId42" ref="J666"/>
    <hyperlink r:id="rId43" ref="J667"/>
    <hyperlink r:id="rId44" ref="J668"/>
    <hyperlink r:id="rId45" ref="J669"/>
    <hyperlink r:id="rId46" ref="J670"/>
    <hyperlink r:id="rId47" ref="J671"/>
    <hyperlink r:id="rId48" ref="J672"/>
    <hyperlink r:id="rId49" ref="J673"/>
    <hyperlink r:id="rId50" ref="J674"/>
    <hyperlink r:id="rId51" ref="J675"/>
    <hyperlink r:id="rId52" ref="J676"/>
    <hyperlink r:id="rId53" ref="J677"/>
    <hyperlink r:id="rId54" ref="J678"/>
    <hyperlink r:id="rId55" ref="J679"/>
    <hyperlink r:id="rId56" ref="J680"/>
    <hyperlink r:id="rId57" ref="J681"/>
    <hyperlink r:id="rId58" ref="J682"/>
    <hyperlink r:id="rId59" ref="J683"/>
    <hyperlink r:id="rId60" ref="J684"/>
    <hyperlink r:id="rId61" ref="J685"/>
    <hyperlink r:id="rId62" ref="J686"/>
    <hyperlink r:id="rId63" ref="J687"/>
    <hyperlink r:id="rId64" ref="J688"/>
    <hyperlink r:id="rId65" ref="J689"/>
    <hyperlink r:id="rId66" ref="J690"/>
    <hyperlink r:id="rId67" ref="J691"/>
    <hyperlink r:id="rId68" ref="J692"/>
    <hyperlink r:id="rId69" ref="J693"/>
    <hyperlink r:id="rId70" ref="J694"/>
    <hyperlink r:id="rId71" ref="J695"/>
    <hyperlink r:id="rId72" ref="J696"/>
    <hyperlink r:id="rId73" ref="J697"/>
    <hyperlink r:id="rId74" ref="J698"/>
    <hyperlink r:id="rId75" ref="J699"/>
    <hyperlink r:id="rId76" ref="J700"/>
    <hyperlink r:id="rId77" ref="J701"/>
    <hyperlink r:id="rId78" ref="J702"/>
    <hyperlink r:id="rId79" ref="J703"/>
    <hyperlink r:id="rId80" ref="J704"/>
    <hyperlink r:id="rId81" ref="J705"/>
    <hyperlink r:id="rId82" ref="J706"/>
    <hyperlink r:id="rId83" ref="J707"/>
    <hyperlink r:id="rId84" ref="J708"/>
    <hyperlink r:id="rId85" ref="J709"/>
    <hyperlink r:id="rId86" ref="J710"/>
    <hyperlink r:id="rId87" ref="J711"/>
    <hyperlink r:id="rId88" ref="J712"/>
    <hyperlink r:id="rId89" ref="J713"/>
    <hyperlink r:id="rId90" ref="J714"/>
    <hyperlink r:id="rId91" ref="J715"/>
    <hyperlink r:id="rId92" ref="J716"/>
    <hyperlink r:id="rId93" ref="J717"/>
    <hyperlink r:id="rId94" ref="J718"/>
    <hyperlink r:id="rId95" ref="J719"/>
    <hyperlink r:id="rId96" ref="J720"/>
    <hyperlink r:id="rId97" ref="J721"/>
    <hyperlink r:id="rId98" ref="J722"/>
    <hyperlink r:id="rId99" ref="J723"/>
    <hyperlink r:id="rId100" ref="J724"/>
    <hyperlink r:id="rId101" ref="J725"/>
    <hyperlink r:id="rId102" ref="J726"/>
    <hyperlink r:id="rId103" ref="J727"/>
    <hyperlink r:id="rId104" ref="J728"/>
    <hyperlink r:id="rId105" ref="J729"/>
    <hyperlink r:id="rId106" ref="J730"/>
    <hyperlink r:id="rId107" ref="J731"/>
    <hyperlink r:id="rId108" ref="J732"/>
    <hyperlink r:id="rId109" ref="J733"/>
    <hyperlink r:id="rId110" ref="J734"/>
    <hyperlink r:id="rId111" ref="J735"/>
    <hyperlink r:id="rId112" ref="J737"/>
    <hyperlink r:id="rId113" ref="J738"/>
    <hyperlink r:id="rId114" ref="J739"/>
    <hyperlink r:id="rId115" ref="J740"/>
    <hyperlink r:id="rId116" ref="J741"/>
    <hyperlink r:id="rId117" ref="J742"/>
    <hyperlink r:id="rId118" ref="J743"/>
    <hyperlink r:id="rId119" ref="J744"/>
    <hyperlink r:id="rId120" ref="J745"/>
    <hyperlink r:id="rId121" ref="J746"/>
    <hyperlink r:id="rId122" ref="J747"/>
    <hyperlink r:id="rId123" ref="J748"/>
    <hyperlink r:id="rId124" ref="J749"/>
    <hyperlink r:id="rId125" ref="J750"/>
    <hyperlink r:id="rId126" ref="J751"/>
    <hyperlink r:id="rId127" ref="J752"/>
    <hyperlink r:id="rId128" ref="J753"/>
    <hyperlink r:id="rId129" ref="J754"/>
    <hyperlink r:id="rId130" ref="J755"/>
    <hyperlink r:id="rId131" ref="J756"/>
    <hyperlink r:id="rId132" ref="J757"/>
    <hyperlink r:id="rId133" ref="J758"/>
    <hyperlink r:id="rId134" ref="J759"/>
    <hyperlink r:id="rId135" ref="J760"/>
    <hyperlink r:id="rId136" ref="J761"/>
    <hyperlink r:id="rId137" ref="J762"/>
    <hyperlink r:id="rId138" ref="J763"/>
    <hyperlink r:id="rId139" ref="J764"/>
    <hyperlink r:id="rId140" ref="J765"/>
    <hyperlink r:id="rId141" ref="J766"/>
    <hyperlink r:id="rId142" ref="J767"/>
    <hyperlink r:id="rId143" ref="J768"/>
    <hyperlink r:id="rId144" ref="J771"/>
    <hyperlink r:id="rId145" ref="J772"/>
    <hyperlink r:id="rId146" ref="J773"/>
    <hyperlink r:id="rId147" ref="J774"/>
    <hyperlink r:id="rId148" ref="J775"/>
    <hyperlink r:id="rId149" ref="J776"/>
    <hyperlink r:id="rId150" ref="J777"/>
    <hyperlink r:id="rId151" ref="J778"/>
    <hyperlink r:id="rId152" ref="J779"/>
    <hyperlink r:id="rId153" ref="J780"/>
    <hyperlink r:id="rId154" ref="J781"/>
    <hyperlink r:id="rId155" ref="J782"/>
    <hyperlink r:id="rId156" ref="J783"/>
    <hyperlink r:id="rId157" ref="J784"/>
    <hyperlink r:id="rId158" ref="J785"/>
    <hyperlink r:id="rId159" ref="J786"/>
    <hyperlink r:id="rId160" ref="J787"/>
    <hyperlink r:id="rId161" ref="J788"/>
    <hyperlink r:id="rId162" ref="J789"/>
    <hyperlink r:id="rId163" ref="J790"/>
    <hyperlink r:id="rId164" ref="J791"/>
    <hyperlink r:id="rId165" ref="J792"/>
    <hyperlink r:id="rId166" ref="J793"/>
    <hyperlink r:id="rId167" ref="J794"/>
    <hyperlink r:id="rId168" ref="J795"/>
    <hyperlink r:id="rId169" ref="J796"/>
    <hyperlink r:id="rId170" ref="J797"/>
    <hyperlink r:id="rId171" ref="J798"/>
    <hyperlink r:id="rId172" ref="J799"/>
    <hyperlink r:id="rId173" ref="J800"/>
    <hyperlink r:id="rId174" ref="J801"/>
    <hyperlink r:id="rId175" ref="J802"/>
    <hyperlink r:id="rId176" ref="J803"/>
    <hyperlink r:id="rId177" ref="J804"/>
    <hyperlink r:id="rId178" ref="J805"/>
    <hyperlink r:id="rId179" ref="J806"/>
    <hyperlink r:id="rId180" ref="J807"/>
    <hyperlink r:id="rId181" ref="J808"/>
    <hyperlink r:id="rId182" ref="J809"/>
    <hyperlink r:id="rId183" ref="J810"/>
    <hyperlink r:id="rId184" ref="J811"/>
    <hyperlink r:id="rId185" ref="J812"/>
    <hyperlink r:id="rId186" ref="J813"/>
    <hyperlink r:id="rId187" ref="J814"/>
    <hyperlink r:id="rId188" ref="J815"/>
    <hyperlink r:id="rId189" ref="J816"/>
    <hyperlink r:id="rId190" ref="J817"/>
    <hyperlink r:id="rId191" ref="J818"/>
    <hyperlink r:id="rId192" ref="J819"/>
    <hyperlink r:id="rId193" ref="J820"/>
    <hyperlink r:id="rId194" ref="J821"/>
    <hyperlink r:id="rId195" ref="J822"/>
    <hyperlink r:id="rId196" ref="J823"/>
    <hyperlink r:id="rId197" ref="J824"/>
    <hyperlink r:id="rId198" ref="J825"/>
    <hyperlink r:id="rId199" ref="J826"/>
    <hyperlink r:id="rId200" ref="J827"/>
    <hyperlink r:id="rId201" ref="J828"/>
    <hyperlink r:id="rId202" ref="J829"/>
    <hyperlink r:id="rId203" ref="J830"/>
    <hyperlink r:id="rId204" ref="J831"/>
    <hyperlink r:id="rId205" ref="J832"/>
    <hyperlink r:id="rId206" ref="J833"/>
    <hyperlink r:id="rId207" ref="J835"/>
    <hyperlink r:id="rId208" ref="J836"/>
    <hyperlink r:id="rId209" ref="J837"/>
    <hyperlink r:id="rId210" ref="J838"/>
    <hyperlink r:id="rId211" ref="J839"/>
    <hyperlink r:id="rId212" ref="J840"/>
    <hyperlink r:id="rId213" ref="J841"/>
    <hyperlink r:id="rId214" ref="J842"/>
    <hyperlink r:id="rId215" ref="J843"/>
    <hyperlink r:id="rId216" ref="J844"/>
    <hyperlink r:id="rId217" ref="J845"/>
    <hyperlink r:id="rId218" ref="J846"/>
    <hyperlink r:id="rId219" ref="J847"/>
    <hyperlink r:id="rId220" ref="J848"/>
    <hyperlink r:id="rId221" ref="J849"/>
    <hyperlink r:id="rId222" ref="J850"/>
    <hyperlink r:id="rId223" ref="J851"/>
    <hyperlink r:id="rId224" ref="J852"/>
    <hyperlink r:id="rId225" ref="J853"/>
    <hyperlink r:id="rId226" ref="J854"/>
    <hyperlink r:id="rId227" ref="J855"/>
    <hyperlink r:id="rId228" ref="J856"/>
    <hyperlink r:id="rId229" ref="J857"/>
    <hyperlink r:id="rId230" ref="J858"/>
    <hyperlink r:id="rId231" ref="J859"/>
    <hyperlink r:id="rId232" ref="J860"/>
    <hyperlink r:id="rId233" ref="J861"/>
    <hyperlink r:id="rId234" ref="J862"/>
    <hyperlink r:id="rId235" ref="J863"/>
    <hyperlink r:id="rId236" ref="J864"/>
    <hyperlink r:id="rId237" ref="J865"/>
    <hyperlink r:id="rId238" ref="J866"/>
    <hyperlink r:id="rId239" ref="J867"/>
    <hyperlink r:id="rId240" ref="J868"/>
    <hyperlink r:id="rId241" ref="J869"/>
    <hyperlink r:id="rId242" ref="J870"/>
    <hyperlink r:id="rId243" ref="J871"/>
    <hyperlink r:id="rId244" ref="J872"/>
    <hyperlink r:id="rId245" ref="J873"/>
    <hyperlink r:id="rId246" ref="J874"/>
    <hyperlink r:id="rId247" ref="J875"/>
    <hyperlink r:id="rId248" ref="J876"/>
    <hyperlink r:id="rId249" ref="J877"/>
    <hyperlink r:id="rId250" ref="J878"/>
    <hyperlink r:id="rId251" ref="J879"/>
    <hyperlink r:id="rId252" ref="J880"/>
    <hyperlink r:id="rId253" ref="J881"/>
    <hyperlink r:id="rId254" ref="J882"/>
    <hyperlink r:id="rId255" ref="J883"/>
    <hyperlink r:id="rId256" ref="J884"/>
    <hyperlink r:id="rId257" ref="J885"/>
    <hyperlink r:id="rId258" ref="J886"/>
    <hyperlink r:id="rId259" ref="J887"/>
    <hyperlink r:id="rId260" ref="J888"/>
    <hyperlink r:id="rId261" ref="J889"/>
    <hyperlink r:id="rId262" ref="J890"/>
    <hyperlink r:id="rId263" ref="J891"/>
    <hyperlink r:id="rId264" ref="J892"/>
    <hyperlink r:id="rId265" ref="J893"/>
    <hyperlink r:id="rId266" ref="J894"/>
    <hyperlink r:id="rId267" ref="J895"/>
    <hyperlink r:id="rId268" ref="J896"/>
    <hyperlink r:id="rId269" ref="J897"/>
    <hyperlink r:id="rId270" ref="J898"/>
    <hyperlink r:id="rId271" ref="J899"/>
    <hyperlink r:id="rId272" ref="J900"/>
    <hyperlink r:id="rId273" ref="J901"/>
    <hyperlink r:id="rId274" ref="J902"/>
    <hyperlink r:id="rId275" ref="J903"/>
    <hyperlink r:id="rId276" ref="J904"/>
    <hyperlink r:id="rId277" ref="J905"/>
    <hyperlink r:id="rId278" ref="J906"/>
    <hyperlink r:id="rId279" ref="J907"/>
    <hyperlink r:id="rId280" ref="J908"/>
    <hyperlink r:id="rId281" ref="J909"/>
    <hyperlink r:id="rId282" ref="J910"/>
    <hyperlink r:id="rId283" ref="J911"/>
    <hyperlink r:id="rId284" ref="J912"/>
    <hyperlink r:id="rId285" ref="J913"/>
    <hyperlink r:id="rId286" ref="J914"/>
    <hyperlink r:id="rId287" ref="J915"/>
    <hyperlink r:id="rId288" ref="J916"/>
    <hyperlink r:id="rId289" ref="J917"/>
    <hyperlink r:id="rId290" ref="J918"/>
    <hyperlink r:id="rId291" ref="J919"/>
    <hyperlink r:id="rId292" ref="J920"/>
    <hyperlink r:id="rId293" ref="J921"/>
    <hyperlink r:id="rId294" ref="J922"/>
    <hyperlink r:id="rId295" ref="J923"/>
    <hyperlink r:id="rId296" ref="J924"/>
    <hyperlink r:id="rId297" ref="J925"/>
    <hyperlink r:id="rId298" ref="J926"/>
    <hyperlink r:id="rId299" ref="J927"/>
    <hyperlink r:id="rId300" ref="J928"/>
    <hyperlink r:id="rId301" ref="J929"/>
    <hyperlink r:id="rId302" ref="J930"/>
    <hyperlink r:id="rId303" ref="J931"/>
    <hyperlink r:id="rId304" ref="J932"/>
    <hyperlink r:id="rId305" ref="J933"/>
    <hyperlink r:id="rId306" ref="J934"/>
    <hyperlink r:id="rId307" ref="J935"/>
    <hyperlink r:id="rId308" ref="J936"/>
    <hyperlink r:id="rId309" ref="J937"/>
    <hyperlink r:id="rId310" ref="J939"/>
    <hyperlink r:id="rId311" ref="J940"/>
    <hyperlink r:id="rId312" ref="J941"/>
    <hyperlink r:id="rId313" ref="J942"/>
    <hyperlink r:id="rId314" ref="J943"/>
    <hyperlink r:id="rId315" ref="J944"/>
    <hyperlink r:id="rId316" ref="J945"/>
    <hyperlink r:id="rId317" ref="J946"/>
    <hyperlink r:id="rId318" ref="J947"/>
    <hyperlink r:id="rId319" ref="J948"/>
    <hyperlink r:id="rId320" ref="J949"/>
    <hyperlink r:id="rId321" ref="J950"/>
    <hyperlink r:id="rId322" ref="J951"/>
    <hyperlink r:id="rId323" ref="J952"/>
    <hyperlink r:id="rId324" ref="J953"/>
    <hyperlink r:id="rId325" ref="J954"/>
    <hyperlink r:id="rId326" ref="J955"/>
    <hyperlink r:id="rId327" ref="J956"/>
    <hyperlink r:id="rId328" ref="J957"/>
    <hyperlink r:id="rId329" ref="J958"/>
    <hyperlink r:id="rId330" ref="J959"/>
    <hyperlink r:id="rId331" ref="J960"/>
    <hyperlink r:id="rId332" ref="J961"/>
    <hyperlink r:id="rId333" ref="J962"/>
    <hyperlink r:id="rId334" ref="J963"/>
    <hyperlink r:id="rId335" ref="J964"/>
    <hyperlink r:id="rId336" ref="J965"/>
    <hyperlink r:id="rId337" ref="J966"/>
    <hyperlink r:id="rId338" ref="J967"/>
    <hyperlink r:id="rId339" ref="J968"/>
    <hyperlink r:id="rId340" ref="J969"/>
    <hyperlink r:id="rId341" ref="J970"/>
    <hyperlink r:id="rId342" ref="J971"/>
    <hyperlink r:id="rId343" ref="J972"/>
    <hyperlink r:id="rId344" ref="J973"/>
    <hyperlink r:id="rId345" ref="J974"/>
    <hyperlink r:id="rId346" ref="J975"/>
    <hyperlink r:id="rId347" ref="J976"/>
    <hyperlink r:id="rId348" ref="J977"/>
    <hyperlink r:id="rId349" ref="J978"/>
    <hyperlink r:id="rId350" ref="J979"/>
    <hyperlink r:id="rId351" ref="J980"/>
    <hyperlink r:id="rId352" ref="J981"/>
    <hyperlink r:id="rId353" ref="J982"/>
    <hyperlink r:id="rId354" ref="J983"/>
    <hyperlink r:id="rId355" ref="J984"/>
    <hyperlink r:id="rId356" ref="J985"/>
    <hyperlink r:id="rId357" ref="J986"/>
    <hyperlink r:id="rId358" ref="J987"/>
    <hyperlink r:id="rId359" ref="J988"/>
    <hyperlink r:id="rId360" ref="J989"/>
    <hyperlink r:id="rId361" ref="J990"/>
    <hyperlink r:id="rId362" ref="J991"/>
    <hyperlink r:id="rId363" ref="J992"/>
    <hyperlink r:id="rId364" ref="J993"/>
    <hyperlink r:id="rId365" ref="J994"/>
    <hyperlink r:id="rId366" ref="J995"/>
    <hyperlink r:id="rId367" ref="J996"/>
    <hyperlink r:id="rId368" ref="J999"/>
    <hyperlink r:id="rId369" ref="J1000"/>
    <hyperlink r:id="rId370" ref="J1001"/>
    <hyperlink r:id="rId371" ref="J1002"/>
    <hyperlink r:id="rId372" ref="J1003"/>
    <hyperlink r:id="rId373" ref="J1004"/>
    <hyperlink r:id="rId374" ref="J1005"/>
    <hyperlink r:id="rId375" ref="J1006"/>
    <hyperlink r:id="rId376" ref="J1007"/>
    <hyperlink r:id="rId377" ref="J1008"/>
    <hyperlink r:id="rId378" ref="J1009"/>
    <hyperlink r:id="rId379" ref="J1010"/>
    <hyperlink r:id="rId380" ref="J1011"/>
    <hyperlink r:id="rId381" ref="J1012"/>
    <hyperlink r:id="rId382" ref="J1013"/>
    <hyperlink r:id="rId383" ref="J1014"/>
    <hyperlink r:id="rId384" ref="J1015"/>
    <hyperlink r:id="rId385" ref="J1016"/>
    <hyperlink r:id="rId386" ref="J1017"/>
    <hyperlink r:id="rId387" ref="J1018"/>
    <hyperlink r:id="rId388" ref="J1019"/>
    <hyperlink r:id="rId389" ref="J1020"/>
    <hyperlink r:id="rId390" ref="J1021"/>
    <hyperlink r:id="rId391" ref="J1022"/>
    <hyperlink r:id="rId392" ref="J1023"/>
    <hyperlink r:id="rId393" ref="J1024"/>
    <hyperlink r:id="rId394" ref="J1025"/>
    <hyperlink r:id="rId395" ref="J1026"/>
    <hyperlink r:id="rId396" ref="J1027"/>
    <hyperlink r:id="rId397" ref="J1028"/>
    <hyperlink r:id="rId398" ref="J1029"/>
    <hyperlink r:id="rId399" ref="J1030"/>
    <hyperlink r:id="rId400" ref="J1031"/>
    <hyperlink r:id="rId401" ref="J1032"/>
    <hyperlink r:id="rId402" ref="J1033"/>
    <hyperlink r:id="rId403" ref="J1034"/>
    <hyperlink r:id="rId404" ref="J1035"/>
    <hyperlink r:id="rId405" ref="J1036"/>
    <hyperlink r:id="rId406" ref="J1037"/>
    <hyperlink r:id="rId407" ref="J1038"/>
    <hyperlink r:id="rId408" ref="J1039"/>
    <hyperlink r:id="rId409" ref="J1040"/>
    <hyperlink r:id="rId410" ref="J1041"/>
    <hyperlink r:id="rId411" ref="J1042"/>
    <hyperlink r:id="rId412" ref="J1043"/>
    <hyperlink r:id="rId413" ref="J1044"/>
    <hyperlink r:id="rId414" ref="J1045"/>
    <hyperlink r:id="rId415" ref="J1046"/>
    <hyperlink r:id="rId416" ref="J1047"/>
    <hyperlink r:id="rId417" ref="J1048"/>
    <hyperlink r:id="rId418" ref="J1049"/>
    <hyperlink r:id="rId419" ref="J1050"/>
    <hyperlink r:id="rId420" ref="J1051"/>
    <hyperlink r:id="rId421" ref="J1052"/>
    <hyperlink r:id="rId422" ref="J1053"/>
    <hyperlink r:id="rId423" ref="J1054"/>
    <hyperlink r:id="rId424" ref="J1055"/>
    <hyperlink r:id="rId425" ref="J1056"/>
    <hyperlink r:id="rId426" ref="J1057"/>
    <hyperlink r:id="rId427" ref="J1058"/>
    <hyperlink r:id="rId428" ref="J1059"/>
    <hyperlink r:id="rId429" ref="J1060"/>
    <hyperlink r:id="rId430" ref="J1061"/>
    <hyperlink r:id="rId431" ref="J1062"/>
    <hyperlink r:id="rId432" ref="J1063"/>
    <hyperlink r:id="rId433" ref="J1064"/>
    <hyperlink r:id="rId434" ref="J1065"/>
    <hyperlink r:id="rId435" ref="J1066"/>
    <hyperlink r:id="rId436" ref="J1067"/>
    <hyperlink r:id="rId437" ref="J1068"/>
    <hyperlink r:id="rId438" ref="J1069"/>
    <hyperlink r:id="rId439" ref="J1070"/>
    <hyperlink r:id="rId440" ref="J1071"/>
    <hyperlink r:id="rId441" ref="J1072"/>
    <hyperlink r:id="rId442" ref="J1073"/>
    <hyperlink r:id="rId443" ref="J1074"/>
    <hyperlink r:id="rId444" ref="J1075"/>
    <hyperlink r:id="rId445" ref="J1076"/>
    <hyperlink r:id="rId446" ref="J1077"/>
    <hyperlink r:id="rId447" ref="J1079"/>
    <hyperlink r:id="rId448" ref="J1080"/>
    <hyperlink r:id="rId449" ref="J1081"/>
    <hyperlink r:id="rId450" ref="J1082"/>
    <hyperlink r:id="rId451" ref="J1083"/>
    <hyperlink r:id="rId452" ref="J1084"/>
    <hyperlink r:id="rId453" ref="J1085"/>
    <hyperlink r:id="rId454" ref="J1086"/>
    <hyperlink r:id="rId455" ref="J1087"/>
    <hyperlink r:id="rId456" ref="J1088"/>
    <hyperlink r:id="rId457" ref="J1089"/>
    <hyperlink r:id="rId458" ref="J1090"/>
    <hyperlink r:id="rId459" ref="J1091"/>
    <hyperlink r:id="rId460" ref="J1092"/>
    <hyperlink r:id="rId461" ref="J1093"/>
    <hyperlink r:id="rId462" ref="J1094"/>
    <hyperlink r:id="rId463" ref="J1095"/>
    <hyperlink r:id="rId464" ref="J1097"/>
    <hyperlink r:id="rId465" ref="J1098"/>
    <hyperlink r:id="rId466" ref="J1099"/>
    <hyperlink r:id="rId467" ref="J1100"/>
    <hyperlink r:id="rId468" ref="J1101"/>
    <hyperlink r:id="rId469" ref="J1102"/>
    <hyperlink r:id="rId470" ref="J1103"/>
    <hyperlink r:id="rId471" ref="J1104"/>
    <hyperlink r:id="rId472" ref="J1105"/>
    <hyperlink r:id="rId473" ref="J1106"/>
    <hyperlink r:id="rId474" ref="J1107"/>
    <hyperlink r:id="rId475" ref="J1108"/>
    <hyperlink r:id="rId476" ref="J1109"/>
    <hyperlink r:id="rId477" ref="J1110"/>
    <hyperlink r:id="rId478" ref="J1111"/>
    <hyperlink r:id="rId479" ref="J1112"/>
    <hyperlink r:id="rId480" ref="J1113"/>
    <hyperlink r:id="rId481" ref="J1114"/>
    <hyperlink r:id="rId482" ref="J1115"/>
    <hyperlink r:id="rId483" ref="J1116"/>
    <hyperlink r:id="rId484" ref="J1117"/>
    <hyperlink r:id="rId485" ref="J1118"/>
    <hyperlink r:id="rId486" ref="J1119"/>
    <hyperlink r:id="rId487" ref="J1120"/>
    <hyperlink r:id="rId488" ref="J1121"/>
    <hyperlink r:id="rId489" ref="J1122"/>
    <hyperlink r:id="rId490" ref="J1123"/>
    <hyperlink r:id="rId491" ref="J1124"/>
    <hyperlink r:id="rId492" ref="J1125"/>
    <hyperlink r:id="rId493" ref="J1126"/>
    <hyperlink r:id="rId494" ref="J1127"/>
    <hyperlink r:id="rId495" ref="J1128"/>
    <hyperlink r:id="rId496" ref="J1130"/>
    <hyperlink r:id="rId497" ref="J1131"/>
    <hyperlink r:id="rId498" ref="J1132"/>
    <hyperlink r:id="rId499" ref="J1133"/>
    <hyperlink r:id="rId500" ref="J1134"/>
    <hyperlink r:id="rId501" ref="J1135"/>
    <hyperlink r:id="rId502" ref="J1136"/>
    <hyperlink r:id="rId503" ref="J1137"/>
    <hyperlink r:id="rId504" ref="J1138"/>
    <hyperlink r:id="rId505" ref="J1139"/>
    <hyperlink r:id="rId506" ref="J1140"/>
    <hyperlink r:id="rId507" ref="J1141"/>
    <hyperlink r:id="rId508" ref="J1142"/>
    <hyperlink r:id="rId509" ref="J1143"/>
    <hyperlink r:id="rId510" ref="J1144"/>
    <hyperlink r:id="rId511" ref="J1145"/>
    <hyperlink r:id="rId512" ref="J1146"/>
    <hyperlink r:id="rId513" ref="J1147"/>
    <hyperlink r:id="rId514" ref="J1148"/>
    <hyperlink r:id="rId515" ref="J1149"/>
    <hyperlink r:id="rId516" ref="J1150"/>
    <hyperlink r:id="rId517" ref="J1151"/>
    <hyperlink r:id="rId518" ref="J1152"/>
    <hyperlink r:id="rId519" ref="J1153"/>
    <hyperlink r:id="rId520" ref="J1154"/>
    <hyperlink r:id="rId521" ref="J1155"/>
    <hyperlink r:id="rId522" ref="J1156"/>
    <hyperlink r:id="rId523" ref="J1157"/>
    <hyperlink r:id="rId524" ref="J1158"/>
    <hyperlink r:id="rId525" ref="J1159"/>
    <hyperlink r:id="rId526" ref="J1160"/>
    <hyperlink r:id="rId527" ref="J1161"/>
    <hyperlink r:id="rId528" ref="J1162"/>
    <hyperlink r:id="rId529" ref="J1163"/>
    <hyperlink r:id="rId530" ref="J1164"/>
    <hyperlink r:id="rId531" ref="J1165"/>
    <hyperlink r:id="rId532" ref="J1166"/>
    <hyperlink r:id="rId533" ref="J1170"/>
    <hyperlink r:id="rId534" ref="J1171"/>
    <hyperlink r:id="rId535" ref="J1172"/>
    <hyperlink r:id="rId536" ref="J1173"/>
    <hyperlink r:id="rId537" ref="J1174"/>
    <hyperlink r:id="rId538" ref="J1175"/>
    <hyperlink r:id="rId539" ref="J1179"/>
    <hyperlink r:id="rId540" ref="J1180"/>
    <hyperlink r:id="rId541" ref="J1181"/>
    <hyperlink r:id="rId542" ref="J1182"/>
    <hyperlink r:id="rId543" ref="J1183"/>
    <hyperlink r:id="rId544" ref="J1184"/>
    <hyperlink r:id="rId545" ref="J1185"/>
    <hyperlink r:id="rId546" ref="J1186"/>
    <hyperlink r:id="rId547" ref="J1187"/>
    <hyperlink r:id="rId548" ref="J1188"/>
    <hyperlink r:id="rId549" ref="J1189"/>
    <hyperlink r:id="rId550" ref="J1190"/>
    <hyperlink r:id="rId551" ref="J1194"/>
    <hyperlink r:id="rId552" ref="J1195"/>
    <hyperlink r:id="rId553" ref="J1196"/>
    <hyperlink r:id="rId554" ref="J1197"/>
    <hyperlink r:id="rId555" ref="J1198"/>
    <hyperlink r:id="rId556" ref="J1199"/>
    <hyperlink r:id="rId557" ref="J1200"/>
    <hyperlink r:id="rId558" ref="J1201"/>
    <hyperlink r:id="rId559" ref="J1202"/>
    <hyperlink r:id="rId560" ref="J1203"/>
    <hyperlink r:id="rId561" ref="J1205"/>
    <hyperlink r:id="rId562" ref="J1206"/>
    <hyperlink r:id="rId563" ref="J1207"/>
    <hyperlink r:id="rId564" ref="J1208"/>
    <hyperlink r:id="rId565" ref="J1210"/>
    <hyperlink r:id="rId566" ref="J1211"/>
    <hyperlink r:id="rId567" ref="J1212"/>
    <hyperlink r:id="rId568" ref="J1213"/>
    <hyperlink r:id="rId569" ref="J1214"/>
    <hyperlink r:id="rId570" ref="J1215"/>
    <hyperlink r:id="rId571" ref="J1216"/>
    <hyperlink r:id="rId572" ref="J1217"/>
    <hyperlink r:id="rId573" ref="J1218"/>
    <hyperlink r:id="rId574" ref="J1219"/>
    <hyperlink r:id="rId575" ref="J1220"/>
    <hyperlink r:id="rId576" ref="J1221"/>
    <hyperlink r:id="rId577" ref="J1222"/>
    <hyperlink r:id="rId578" ref="J1223"/>
    <hyperlink r:id="rId579" ref="J1224"/>
    <hyperlink r:id="rId580" ref="J1225"/>
    <hyperlink r:id="rId581" ref="J1226"/>
    <hyperlink r:id="rId582" ref="J1227"/>
    <hyperlink r:id="rId583" ref="J1228"/>
    <hyperlink r:id="rId584" ref="J1229"/>
    <hyperlink r:id="rId585" ref="J1230"/>
    <hyperlink r:id="rId586" ref="J1231"/>
    <hyperlink r:id="rId587" ref="J1232"/>
    <hyperlink r:id="rId588" ref="J1233"/>
    <hyperlink r:id="rId589" ref="J1234"/>
    <hyperlink r:id="rId590" ref="J1235"/>
    <hyperlink r:id="rId591" ref="J1236"/>
    <hyperlink r:id="rId592" ref="J1237"/>
    <hyperlink r:id="rId593" ref="J1238"/>
    <hyperlink r:id="rId594" ref="J1239"/>
    <hyperlink r:id="rId595" ref="J1240"/>
    <hyperlink r:id="rId596" ref="J1241"/>
    <hyperlink r:id="rId597" ref="J1242"/>
    <hyperlink r:id="rId598" ref="J1243"/>
    <hyperlink r:id="rId599" ref="J1244"/>
    <hyperlink r:id="rId600" ref="J1245"/>
    <hyperlink r:id="rId601" ref="J1247"/>
    <hyperlink r:id="rId602" ref="J1248"/>
    <hyperlink r:id="rId603" ref="J1249"/>
    <hyperlink r:id="rId604" ref="J1250"/>
    <hyperlink r:id="rId605" ref="J1251"/>
    <hyperlink r:id="rId606" ref="J1252"/>
    <hyperlink r:id="rId607" ref="J1253"/>
    <hyperlink r:id="rId608" ref="J1254"/>
    <hyperlink r:id="rId609" ref="J1255"/>
    <hyperlink r:id="rId610" ref="J1256"/>
    <hyperlink r:id="rId611" ref="J1257"/>
    <hyperlink r:id="rId612" ref="J1258"/>
    <hyperlink r:id="rId613" ref="J1259"/>
    <hyperlink r:id="rId614" ref="J1260"/>
    <hyperlink r:id="rId615" ref="J1263"/>
    <hyperlink r:id="rId616" ref="J1264"/>
    <hyperlink r:id="rId617" ref="J1265"/>
    <hyperlink r:id="rId618" ref="J1266"/>
    <hyperlink r:id="rId619" ref="J1268"/>
    <hyperlink r:id="rId620" ref="J1269"/>
    <hyperlink r:id="rId621" ref="J1270"/>
    <hyperlink r:id="rId622" ref="J1271"/>
    <hyperlink r:id="rId623" ref="J1272"/>
    <hyperlink r:id="rId624" ref="J1273"/>
    <hyperlink r:id="rId625" ref="J1274"/>
    <hyperlink r:id="rId626" ref="J1275"/>
    <hyperlink r:id="rId627" ref="J1276"/>
    <hyperlink r:id="rId628" ref="J1277"/>
    <hyperlink r:id="rId629" ref="J1278"/>
    <hyperlink r:id="rId630" ref="J1279"/>
    <hyperlink r:id="rId631" ref="J1280"/>
    <hyperlink r:id="rId632" ref="J1281"/>
    <hyperlink r:id="rId633" ref="J1282"/>
    <hyperlink r:id="rId634" ref="J1283"/>
    <hyperlink r:id="rId635" ref="J1284"/>
    <hyperlink r:id="rId636" ref="J1285"/>
    <hyperlink r:id="rId637" ref="J1286"/>
    <hyperlink r:id="rId638" ref="J1287"/>
    <hyperlink r:id="rId639" ref="J1288"/>
    <hyperlink r:id="rId640" ref="J1289"/>
    <hyperlink r:id="rId641" ref="J1290"/>
    <hyperlink r:id="rId642" ref="J1291"/>
    <hyperlink r:id="rId643" ref="J1292"/>
    <hyperlink r:id="rId644" ref="J1293"/>
    <hyperlink r:id="rId645" ref="J1294"/>
    <hyperlink r:id="rId646" ref="J1295"/>
    <hyperlink r:id="rId647" ref="J1296"/>
    <hyperlink r:id="rId648" ref="J1297"/>
    <hyperlink r:id="rId649" ref="J1298"/>
    <hyperlink r:id="rId650" ref="J1299"/>
    <hyperlink r:id="rId651" ref="J1300"/>
    <hyperlink r:id="rId652" ref="J1301"/>
    <hyperlink r:id="rId653" ref="J1302"/>
    <hyperlink r:id="rId654" ref="J1303"/>
    <hyperlink r:id="rId655" ref="J1304"/>
    <hyperlink r:id="rId656" ref="J1305"/>
    <hyperlink r:id="rId657" ref="J1306"/>
    <hyperlink r:id="rId658" ref="J1307"/>
    <hyperlink r:id="rId659" ref="J1308"/>
    <hyperlink r:id="rId660" ref="J1309"/>
    <hyperlink r:id="rId661" ref="J1310"/>
    <hyperlink r:id="rId662" ref="J1311"/>
    <hyperlink r:id="rId663" ref="J1312"/>
    <hyperlink r:id="rId664" ref="J1313"/>
    <hyperlink r:id="rId665" ref="J1314"/>
    <hyperlink r:id="rId666" ref="J1315"/>
    <hyperlink r:id="rId667" ref="J1316"/>
    <hyperlink r:id="rId668" ref="J1317"/>
    <hyperlink r:id="rId669" ref="J1318"/>
    <hyperlink r:id="rId670" ref="J1319"/>
    <hyperlink r:id="rId671" ref="J1320"/>
    <hyperlink r:id="rId672" ref="J1321"/>
    <hyperlink r:id="rId673" ref="J1322"/>
    <hyperlink r:id="rId674" ref="J1323"/>
    <hyperlink r:id="rId675" ref="J1324"/>
    <hyperlink r:id="rId676" ref="J1325"/>
    <hyperlink r:id="rId677" ref="J1326"/>
    <hyperlink r:id="rId678" ref="J1327"/>
    <hyperlink r:id="rId679" ref="J1328"/>
    <hyperlink r:id="rId680" ref="J1329"/>
    <hyperlink r:id="rId681" ref="J1330"/>
    <hyperlink r:id="rId682" ref="J1331"/>
    <hyperlink r:id="rId683" ref="J1332"/>
    <hyperlink r:id="rId684" ref="J1333"/>
    <hyperlink r:id="rId685" ref="J1334"/>
    <hyperlink r:id="rId686" ref="J1335"/>
    <hyperlink r:id="rId687" ref="J1336"/>
    <hyperlink r:id="rId688" ref="J1337"/>
    <hyperlink r:id="rId689" ref="J1338"/>
    <hyperlink r:id="rId690" ref="J1339"/>
    <hyperlink r:id="rId691" ref="J1340"/>
    <hyperlink r:id="rId692" ref="J1341"/>
    <hyperlink r:id="rId693" ref="J1342"/>
    <hyperlink r:id="rId694" ref="J1343"/>
    <hyperlink r:id="rId695" ref="J1344"/>
    <hyperlink r:id="rId696" ref="J1345"/>
    <hyperlink r:id="rId697" ref="J1346"/>
    <hyperlink r:id="rId698" ref="J1347"/>
    <hyperlink r:id="rId699" ref="J1348"/>
    <hyperlink r:id="rId700" ref="J1349"/>
    <hyperlink r:id="rId701" ref="J1350"/>
    <hyperlink r:id="rId702" ref="J1351"/>
    <hyperlink r:id="rId703" ref="J1352"/>
    <hyperlink r:id="rId704" ref="J1353"/>
    <hyperlink r:id="rId705" ref="J1354"/>
    <hyperlink r:id="rId706" ref="J1355"/>
    <hyperlink r:id="rId707" ref="J1356"/>
    <hyperlink r:id="rId708" ref="J1357"/>
    <hyperlink r:id="rId709" ref="J1358"/>
    <hyperlink r:id="rId710" ref="J1359"/>
    <hyperlink r:id="rId711" ref="J1360"/>
    <hyperlink r:id="rId712" ref="J1361"/>
    <hyperlink r:id="rId713" ref="J1362"/>
    <hyperlink r:id="rId714" ref="J1363"/>
    <hyperlink r:id="rId715" ref="J1364"/>
    <hyperlink r:id="rId716" ref="J1365"/>
    <hyperlink r:id="rId717" ref="J1366"/>
    <hyperlink r:id="rId718" ref="J1367"/>
    <hyperlink r:id="rId719" ref="J1368"/>
    <hyperlink r:id="rId720" ref="J1369"/>
    <hyperlink r:id="rId721" ref="J1370"/>
    <hyperlink r:id="rId722" ref="J1371"/>
    <hyperlink r:id="rId723" ref="J1372"/>
    <hyperlink r:id="rId724" ref="J1373"/>
    <hyperlink r:id="rId725" ref="J1374"/>
    <hyperlink r:id="rId726" ref="J1375"/>
    <hyperlink r:id="rId727" ref="J1376"/>
    <hyperlink r:id="rId728" ref="J1377"/>
    <hyperlink r:id="rId729" ref="J1378"/>
    <hyperlink r:id="rId730" ref="J1379"/>
    <hyperlink r:id="rId731" ref="J1380"/>
    <hyperlink r:id="rId732" ref="J1381"/>
    <hyperlink r:id="rId733" ref="J1382"/>
    <hyperlink r:id="rId734" ref="J1383"/>
    <hyperlink r:id="rId735" ref="J1384"/>
    <hyperlink r:id="rId736" ref="J1385"/>
    <hyperlink r:id="rId737" ref="J1386"/>
    <hyperlink r:id="rId738" ref="J1387"/>
    <hyperlink r:id="rId739" ref="J1388"/>
    <hyperlink r:id="rId740" ref="J1389"/>
    <hyperlink r:id="rId741" ref="J1390"/>
    <hyperlink r:id="rId742" ref="J1391"/>
    <hyperlink r:id="rId743" ref="J1395"/>
    <hyperlink r:id="rId744" ref="J1396"/>
    <hyperlink r:id="rId745" ref="J1397"/>
    <hyperlink r:id="rId746" ref="J1398"/>
    <hyperlink r:id="rId747" ref="J1399"/>
    <hyperlink r:id="rId748" ref="J1400"/>
    <hyperlink r:id="rId749" ref="J1401"/>
    <hyperlink r:id="rId750" ref="J1402"/>
    <hyperlink r:id="rId751" ref="J1405"/>
    <hyperlink r:id="rId752" ref="J1406"/>
    <hyperlink r:id="rId753" ref="J1407"/>
    <hyperlink r:id="rId754" ref="J1408"/>
    <hyperlink r:id="rId755" ref="J1409"/>
    <hyperlink r:id="rId756" ref="J1410"/>
    <hyperlink r:id="rId757" ref="J1411"/>
    <hyperlink r:id="rId758" ref="J1412"/>
    <hyperlink r:id="rId759" ref="J1413"/>
    <hyperlink r:id="rId760" ref="J1414"/>
    <hyperlink r:id="rId761" ref="J1415"/>
    <hyperlink r:id="rId762" ref="J1416"/>
    <hyperlink r:id="rId763" ref="J1417"/>
    <hyperlink r:id="rId764" ref="J1418"/>
    <hyperlink r:id="rId765" ref="J1419"/>
    <hyperlink r:id="rId766" ref="J1420"/>
    <hyperlink r:id="rId767" ref="J1421"/>
    <hyperlink r:id="rId768" ref="J1422"/>
    <hyperlink r:id="rId769" ref="J1423"/>
    <hyperlink r:id="rId770" ref="J1424"/>
    <hyperlink r:id="rId771" ref="J1425"/>
    <hyperlink r:id="rId772" ref="J1426"/>
    <hyperlink r:id="rId773" ref="J1427"/>
    <hyperlink r:id="rId774" ref="J1428"/>
    <hyperlink r:id="rId775" ref="J1429"/>
    <hyperlink r:id="rId776" ref="J1430"/>
    <hyperlink r:id="rId777" ref="J1431"/>
    <hyperlink r:id="rId778" ref="J1432"/>
    <hyperlink r:id="rId779" ref="J1433"/>
    <hyperlink r:id="rId780" ref="J1434"/>
    <hyperlink r:id="rId781" ref="J1435"/>
    <hyperlink r:id="rId782" ref="J1436"/>
    <hyperlink r:id="rId783" ref="J1437"/>
    <hyperlink r:id="rId784" ref="J1438"/>
    <hyperlink r:id="rId785" ref="J1439"/>
    <hyperlink r:id="rId786" ref="J1440"/>
    <hyperlink r:id="rId787" ref="J1441"/>
    <hyperlink r:id="rId788" ref="J1442"/>
    <hyperlink r:id="rId789" ref="J1443"/>
    <hyperlink r:id="rId790" ref="J1444"/>
    <hyperlink r:id="rId791" ref="J1445"/>
    <hyperlink r:id="rId792" ref="J1446"/>
    <hyperlink r:id="rId793" ref="J1447"/>
    <hyperlink r:id="rId794" ref="J1448"/>
    <hyperlink r:id="rId795" ref="J1449"/>
    <hyperlink r:id="rId796" ref="J1450"/>
    <hyperlink r:id="rId797" ref="J1451"/>
    <hyperlink r:id="rId798" ref="J1452"/>
    <hyperlink r:id="rId799" ref="J1453"/>
    <hyperlink r:id="rId800" ref="J1454"/>
    <hyperlink r:id="rId801" ref="J1455"/>
    <hyperlink r:id="rId802" ref="J1456"/>
    <hyperlink r:id="rId803" ref="J1457"/>
    <hyperlink r:id="rId804" ref="J1458"/>
    <hyperlink r:id="rId805" ref="J1459"/>
    <hyperlink r:id="rId806" ref="J1460"/>
    <hyperlink r:id="rId807" ref="J1461"/>
    <hyperlink r:id="rId808" ref="J1462"/>
    <hyperlink r:id="rId809" ref="J1463"/>
    <hyperlink r:id="rId810" ref="J1464"/>
    <hyperlink r:id="rId811" ref="J1465"/>
    <hyperlink r:id="rId812" ref="J1466"/>
    <hyperlink r:id="rId813" ref="J1467"/>
    <hyperlink r:id="rId814" ref="J1468"/>
    <hyperlink r:id="rId815" ref="J1469"/>
    <hyperlink r:id="rId816" ref="J1470"/>
    <hyperlink r:id="rId817" ref="J1471"/>
    <hyperlink r:id="rId818" ref="J1472"/>
    <hyperlink r:id="rId819" ref="J1473"/>
    <hyperlink r:id="rId820" ref="J1474"/>
    <hyperlink r:id="rId821" ref="J1475"/>
    <hyperlink r:id="rId822" ref="J1476"/>
    <hyperlink r:id="rId823" ref="J1477"/>
    <hyperlink r:id="rId824" ref="J1478"/>
    <hyperlink r:id="rId825" ref="J1479"/>
    <hyperlink r:id="rId826" ref="J1480"/>
    <hyperlink r:id="rId827" ref="J1481"/>
    <hyperlink r:id="rId828" ref="J1482"/>
    <hyperlink r:id="rId829" ref="J1483"/>
    <hyperlink r:id="rId830" ref="J1484"/>
    <hyperlink r:id="rId831" ref="J1485"/>
    <hyperlink r:id="rId832" ref="J1486"/>
    <hyperlink r:id="rId833" ref="J1487"/>
    <hyperlink r:id="rId834" ref="J1488"/>
    <hyperlink r:id="rId835" ref="J1489"/>
    <hyperlink r:id="rId836" ref="J1490"/>
    <hyperlink r:id="rId837" ref="J1491"/>
    <hyperlink r:id="rId838" ref="J1492"/>
    <hyperlink r:id="rId839" ref="J1493"/>
    <hyperlink r:id="rId840" ref="J1494"/>
    <hyperlink r:id="rId841" ref="J1495"/>
    <hyperlink r:id="rId842" ref="J1496"/>
    <hyperlink r:id="rId843" ref="J1497"/>
    <hyperlink r:id="rId844" ref="J1498"/>
    <hyperlink r:id="rId845" ref="J1499"/>
    <hyperlink r:id="rId846" ref="J1500"/>
    <hyperlink r:id="rId847" ref="J1501"/>
    <hyperlink r:id="rId848" ref="J1502"/>
    <hyperlink r:id="rId849" ref="J1503"/>
    <hyperlink r:id="rId850" ref="J1504"/>
    <hyperlink r:id="rId851" ref="J1505"/>
    <hyperlink r:id="rId852" ref="J1506"/>
    <hyperlink r:id="rId853" ref="J1507"/>
    <hyperlink r:id="rId854" ref="J1508"/>
    <hyperlink r:id="rId855" ref="J1509"/>
    <hyperlink r:id="rId856" ref="J1510"/>
    <hyperlink r:id="rId857" ref="J1511"/>
    <hyperlink r:id="rId858" ref="J1512"/>
    <hyperlink r:id="rId859" ref="J1513"/>
    <hyperlink r:id="rId860" ref="J1514"/>
    <hyperlink r:id="rId861" ref="J1515"/>
    <hyperlink r:id="rId862" ref="J1516"/>
    <hyperlink r:id="rId863" ref="J1517"/>
    <hyperlink r:id="rId864" ref="J1518"/>
    <hyperlink r:id="rId865" ref="J1519"/>
    <hyperlink r:id="rId866" ref="J1520"/>
    <hyperlink r:id="rId867" ref="J1521"/>
    <hyperlink r:id="rId868" ref="J1522"/>
    <hyperlink r:id="rId869" ref="J1525"/>
    <hyperlink r:id="rId870" ref="J1526"/>
    <hyperlink r:id="rId871" ref="J1527"/>
    <hyperlink r:id="rId872" ref="J1528"/>
    <hyperlink r:id="rId873" ref="J1529"/>
    <hyperlink r:id="rId874" ref="J1530"/>
    <hyperlink r:id="rId875" ref="J1531"/>
    <hyperlink r:id="rId876" ref="J1534"/>
    <hyperlink r:id="rId877" ref="J1535"/>
    <hyperlink r:id="rId878" ref="J1536"/>
    <hyperlink r:id="rId879" ref="J1537"/>
    <hyperlink r:id="rId880" ref="J1538"/>
    <hyperlink r:id="rId881" ref="J1539"/>
    <hyperlink r:id="rId882" ref="J1540"/>
    <hyperlink r:id="rId883" ref="J1541"/>
    <hyperlink r:id="rId884" ref="J1542"/>
    <hyperlink r:id="rId885" ref="J1543"/>
    <hyperlink r:id="rId886" ref="J1544"/>
    <hyperlink r:id="rId887" ref="J1545"/>
    <hyperlink r:id="rId888" ref="J1546"/>
    <hyperlink r:id="rId889" ref="J1547"/>
    <hyperlink r:id="rId890" ref="J1548"/>
    <hyperlink r:id="rId891" ref="J1549"/>
    <hyperlink r:id="rId892" ref="J1550"/>
    <hyperlink r:id="rId893" ref="J1551"/>
    <hyperlink r:id="rId894" ref="J1552"/>
    <hyperlink r:id="rId895" ref="J1553"/>
    <hyperlink r:id="rId896" ref="J1554"/>
    <hyperlink r:id="rId897" ref="J1555"/>
    <hyperlink r:id="rId898" ref="J1556"/>
    <hyperlink r:id="rId899" ref="J1557"/>
    <hyperlink r:id="rId900" ref="J1558"/>
    <hyperlink r:id="rId901" ref="J1559"/>
    <hyperlink r:id="rId902" ref="J1560"/>
    <hyperlink r:id="rId903" ref="J1561"/>
    <hyperlink r:id="rId904" ref="J1562"/>
    <hyperlink r:id="rId905" ref="J1563"/>
    <hyperlink r:id="rId906" ref="J1564"/>
    <hyperlink r:id="rId907" ref="J1565"/>
    <hyperlink r:id="rId908" ref="J1566"/>
    <hyperlink r:id="rId909" ref="J1567"/>
    <hyperlink r:id="rId910" ref="J1568"/>
    <hyperlink r:id="rId911" ref="J1569"/>
    <hyperlink r:id="rId912" ref="J1570"/>
    <hyperlink r:id="rId913" ref="J1571"/>
    <hyperlink r:id="rId914" ref="J1572"/>
    <hyperlink r:id="rId915" ref="J1573"/>
    <hyperlink r:id="rId916" ref="J1574"/>
    <hyperlink r:id="rId917" ref="J1575"/>
    <hyperlink r:id="rId918" ref="J1576"/>
    <hyperlink r:id="rId919" ref="J1577"/>
    <hyperlink r:id="rId920" ref="J1578"/>
    <hyperlink r:id="rId921" ref="J1579"/>
    <hyperlink r:id="rId922" ref="J1580"/>
    <hyperlink r:id="rId923" ref="J1581"/>
    <hyperlink r:id="rId924" ref="J1582"/>
    <hyperlink r:id="rId925" ref="J1583"/>
    <hyperlink r:id="rId926" ref="J1584"/>
    <hyperlink r:id="rId927" ref="J1585"/>
    <hyperlink r:id="rId928" ref="J1586"/>
    <hyperlink r:id="rId929" ref="J1587"/>
    <hyperlink r:id="rId930" ref="J1588"/>
    <hyperlink r:id="rId931" ref="J1589"/>
    <hyperlink r:id="rId932" ref="J1590"/>
    <hyperlink r:id="rId933" ref="J1591"/>
    <hyperlink r:id="rId934" ref="J1592"/>
    <hyperlink r:id="rId935" ref="J1593"/>
    <hyperlink r:id="rId936" ref="J1594"/>
    <hyperlink r:id="rId937" ref="J1595"/>
    <hyperlink r:id="rId938" ref="J1596"/>
    <hyperlink r:id="rId939" ref="J1597"/>
    <hyperlink r:id="rId940" ref="J1598"/>
    <hyperlink r:id="rId941" ref="J1599"/>
    <hyperlink r:id="rId942" ref="J1600"/>
    <hyperlink r:id="rId943" ref="J1601"/>
    <hyperlink r:id="rId944" ref="J1602"/>
    <hyperlink r:id="rId945" ref="J1603"/>
    <hyperlink r:id="rId946" ref="J1604"/>
    <hyperlink r:id="rId947" ref="J1605"/>
    <hyperlink r:id="rId948" ref="J1606"/>
    <hyperlink r:id="rId949" ref="J1607"/>
    <hyperlink r:id="rId950" ref="J1608"/>
    <hyperlink r:id="rId951" ref="J1609"/>
    <hyperlink r:id="rId952" ref="J1610"/>
    <hyperlink r:id="rId953" ref="J1611"/>
    <hyperlink r:id="rId954" ref="J1612"/>
    <hyperlink r:id="rId955" ref="J1613"/>
    <hyperlink r:id="rId956" ref="J1614"/>
    <hyperlink r:id="rId957" ref="J1615"/>
    <hyperlink r:id="rId958" ref="J1616"/>
    <hyperlink r:id="rId959" ref="J1617"/>
    <hyperlink r:id="rId960" ref="J1618"/>
    <hyperlink r:id="rId961" ref="J1619"/>
    <hyperlink r:id="rId962" ref="J1620"/>
    <hyperlink r:id="rId963" ref="J1621"/>
    <hyperlink r:id="rId964" ref="J1622"/>
    <hyperlink r:id="rId965" ref="J1623"/>
    <hyperlink r:id="rId966" ref="J1624"/>
    <hyperlink r:id="rId967" ref="J1625"/>
    <hyperlink r:id="rId968" ref="J1626"/>
    <hyperlink r:id="rId969" ref="J1627"/>
    <hyperlink r:id="rId970" ref="J1630"/>
    <hyperlink r:id="rId971" ref="J1631"/>
    <hyperlink r:id="rId972" ref="J1632"/>
    <hyperlink r:id="rId973" ref="J1633"/>
    <hyperlink r:id="rId974" ref="J1634"/>
    <hyperlink r:id="rId975" ref="J1635"/>
    <hyperlink r:id="rId976" ref="J1636"/>
    <hyperlink r:id="rId977" ref="J1637"/>
    <hyperlink r:id="rId978" ref="J1638"/>
    <hyperlink r:id="rId979" ref="J1639"/>
    <hyperlink r:id="rId980" ref="J1640"/>
    <hyperlink r:id="rId981" ref="J1641"/>
    <hyperlink r:id="rId982" ref="J1642"/>
    <hyperlink r:id="rId983" ref="J1643"/>
    <hyperlink r:id="rId984" ref="J1644"/>
    <hyperlink r:id="rId985" ref="J1645"/>
    <hyperlink r:id="rId986" ref="J1646"/>
    <hyperlink r:id="rId987" ref="J1647"/>
    <hyperlink r:id="rId988" ref="J1648"/>
    <hyperlink r:id="rId989" ref="J1649"/>
    <hyperlink r:id="rId990" ref="J1650"/>
    <hyperlink r:id="rId991" ref="J1651"/>
    <hyperlink r:id="rId992" ref="J1652"/>
    <hyperlink r:id="rId993" ref="J1653"/>
    <hyperlink r:id="rId994" ref="J1654"/>
    <hyperlink r:id="rId995" ref="J1655"/>
    <hyperlink r:id="rId996" ref="J1656"/>
    <hyperlink r:id="rId997" ref="J1657"/>
    <hyperlink r:id="rId998" ref="J1658"/>
    <hyperlink r:id="rId999" ref="J1659"/>
    <hyperlink r:id="rId1000" ref="J1660"/>
    <hyperlink r:id="rId1001" ref="J1661"/>
    <hyperlink r:id="rId1002" ref="J1662"/>
    <hyperlink r:id="rId1003" ref="J1663"/>
    <hyperlink r:id="rId1004" ref="J1664"/>
    <hyperlink r:id="rId1005" ref="J1665"/>
    <hyperlink r:id="rId1006" ref="J1666"/>
    <hyperlink r:id="rId1007" ref="J1667"/>
    <hyperlink r:id="rId1008" ref="J1668"/>
    <hyperlink r:id="rId1009" ref="J1669"/>
    <hyperlink r:id="rId1010" ref="J1670"/>
    <hyperlink r:id="rId1011" ref="J1671"/>
    <hyperlink r:id="rId1012" ref="J1672"/>
    <hyperlink r:id="rId1013" ref="J1673"/>
    <hyperlink r:id="rId1014" ref="J1674"/>
    <hyperlink r:id="rId1015" ref="J1675"/>
    <hyperlink r:id="rId1016" ref="J1676"/>
    <hyperlink r:id="rId1017" ref="J1677"/>
    <hyperlink r:id="rId1018" ref="J1678"/>
    <hyperlink r:id="rId1019" ref="J1679"/>
    <hyperlink r:id="rId1020" ref="J1680"/>
    <hyperlink r:id="rId1021" ref="J1681"/>
    <hyperlink r:id="rId1022" ref="J1682"/>
    <hyperlink r:id="rId1023" ref="J1683"/>
    <hyperlink r:id="rId1024" ref="J1684"/>
    <hyperlink r:id="rId1025" ref="J1685"/>
    <hyperlink r:id="rId1026" ref="J1686"/>
    <hyperlink r:id="rId1027" ref="J1687"/>
    <hyperlink r:id="rId1028" ref="J1688"/>
    <hyperlink r:id="rId1029" ref="J1689"/>
    <hyperlink r:id="rId1030" ref="J1690"/>
    <hyperlink r:id="rId1031" ref="J1691"/>
    <hyperlink r:id="rId1032" ref="J1692"/>
    <hyperlink r:id="rId1033" ref="J1693"/>
    <hyperlink r:id="rId1034" ref="J1694"/>
    <hyperlink r:id="rId1035" ref="J1695"/>
    <hyperlink r:id="rId1036" ref="J1696"/>
    <hyperlink r:id="rId1037" ref="J1697"/>
    <hyperlink r:id="rId1038" ref="J1698"/>
    <hyperlink r:id="rId1039" ref="J1699"/>
    <hyperlink r:id="rId1040" ref="J1700"/>
    <hyperlink r:id="rId1041" ref="J1701"/>
    <hyperlink r:id="rId1042" ref="J1702"/>
    <hyperlink r:id="rId1043" ref="J1703"/>
    <hyperlink r:id="rId1044" ref="J1704"/>
    <hyperlink r:id="rId1045" ref="J1705"/>
    <hyperlink r:id="rId1046" ref="J1706"/>
    <hyperlink r:id="rId1047" ref="J1707"/>
    <hyperlink r:id="rId1048" ref="J1708"/>
    <hyperlink r:id="rId1049" ref="J1709"/>
    <hyperlink r:id="rId1050" ref="J1712"/>
    <hyperlink r:id="rId1051" ref="J1713"/>
    <hyperlink r:id="rId1052" ref="J1714"/>
    <hyperlink r:id="rId1053" ref="J1716"/>
    <hyperlink r:id="rId1054" ref="J1717"/>
    <hyperlink r:id="rId1055" ref="J1719"/>
    <hyperlink r:id="rId1056" ref="J1720"/>
    <hyperlink r:id="rId1057" ref="J1721"/>
    <hyperlink r:id="rId1058" ref="J1722"/>
    <hyperlink r:id="rId1059" ref="J1723"/>
    <hyperlink r:id="rId1060" ref="J1724"/>
    <hyperlink r:id="rId1061" ref="J1725"/>
    <hyperlink r:id="rId1062" ref="J1726"/>
    <hyperlink r:id="rId1063" ref="J1727"/>
    <hyperlink r:id="rId1064" ref="J1728"/>
    <hyperlink r:id="rId1065" ref="J1729"/>
    <hyperlink r:id="rId1066" ref="J1730"/>
    <hyperlink r:id="rId1067" ref="J1732"/>
    <hyperlink r:id="rId1068" ref="J1733"/>
    <hyperlink r:id="rId1069" ref="J1734"/>
    <hyperlink r:id="rId1070" ref="J1735"/>
    <hyperlink r:id="rId1071" ref="J1736"/>
    <hyperlink r:id="rId1072" ref="J1737"/>
    <hyperlink r:id="rId1073" ref="J1738"/>
    <hyperlink r:id="rId1074" ref="J1739"/>
    <hyperlink r:id="rId1075" ref="J1740"/>
    <hyperlink r:id="rId1076" ref="J1741"/>
    <hyperlink r:id="rId1077" ref="J1742"/>
    <hyperlink r:id="rId1078" ref="J1743"/>
    <hyperlink r:id="rId1079" ref="J1744"/>
    <hyperlink r:id="rId1080" ref="J1746"/>
    <hyperlink r:id="rId1081" ref="J1747"/>
    <hyperlink r:id="rId1082" ref="J1748"/>
    <hyperlink r:id="rId1083" ref="J1749"/>
    <hyperlink r:id="rId1084" ref="J1750"/>
    <hyperlink r:id="rId1085" ref="J1751"/>
    <hyperlink r:id="rId1086" ref="J1752"/>
    <hyperlink r:id="rId1087" ref="J1753"/>
    <hyperlink r:id="rId1088" ref="J1754"/>
    <hyperlink r:id="rId1089" ref="J1755"/>
    <hyperlink r:id="rId1090" ref="J1756"/>
    <hyperlink r:id="rId1091" ref="J1757"/>
    <hyperlink r:id="rId1092" ref="J1758"/>
    <hyperlink r:id="rId1093" ref="J1760"/>
    <hyperlink r:id="rId1094" ref="J1761"/>
    <hyperlink r:id="rId1095" ref="J1762"/>
    <hyperlink r:id="rId1096" ref="J1763"/>
    <hyperlink r:id="rId1097" ref="J1764"/>
    <hyperlink r:id="rId1098" ref="J1765"/>
    <hyperlink r:id="rId1099" ref="J1766"/>
    <hyperlink r:id="rId1100" ref="J1767"/>
    <hyperlink r:id="rId1101" ref="J1768"/>
    <hyperlink r:id="rId1102" ref="J1769"/>
    <hyperlink r:id="rId1103" ref="J1770"/>
    <hyperlink r:id="rId1104" ref="J1771"/>
    <hyperlink r:id="rId1105" ref="J1772"/>
    <hyperlink r:id="rId1106" ref="J1773"/>
    <hyperlink r:id="rId1107" ref="J1774"/>
    <hyperlink r:id="rId1108" ref="J1775"/>
    <hyperlink r:id="rId1109" ref="J1776"/>
    <hyperlink r:id="rId1110" ref="J1777"/>
    <hyperlink r:id="rId1111" ref="J1778"/>
    <hyperlink r:id="rId1112" ref="J1779"/>
    <hyperlink r:id="rId1113" ref="J1780"/>
    <hyperlink r:id="rId1114" ref="J1781"/>
    <hyperlink r:id="rId1115" ref="J1782"/>
    <hyperlink r:id="rId1116" ref="J1783"/>
    <hyperlink r:id="rId1117" ref="J1784"/>
    <hyperlink r:id="rId1118" ref="J1785"/>
    <hyperlink r:id="rId1119" ref="J1786"/>
    <hyperlink r:id="rId1120" ref="J1787"/>
    <hyperlink r:id="rId1121" ref="J1788"/>
    <hyperlink r:id="rId1122" ref="J1789"/>
    <hyperlink r:id="rId1123" ref="J1790"/>
    <hyperlink r:id="rId1124" ref="J1791"/>
    <hyperlink r:id="rId1125" ref="J1792"/>
    <hyperlink r:id="rId1126" ref="J1793"/>
    <hyperlink r:id="rId1127" ref="J1794"/>
    <hyperlink r:id="rId1128" ref="J1795"/>
    <hyperlink r:id="rId1129" ref="J1796"/>
    <hyperlink r:id="rId1130" ref="J1797"/>
    <hyperlink r:id="rId1131" ref="J1798"/>
    <hyperlink r:id="rId1132" ref="J1800"/>
    <hyperlink r:id="rId1133" ref="J1803"/>
    <hyperlink r:id="rId1134" ref="J1807"/>
    <hyperlink r:id="rId1135" ref="J1809"/>
    <hyperlink r:id="rId1136" ref="J1810"/>
    <hyperlink r:id="rId1137" ref="J1811"/>
    <hyperlink r:id="rId1138" ref="J1812"/>
    <hyperlink r:id="rId1139" ref="J1813"/>
    <hyperlink r:id="rId1140" ref="J1814"/>
    <hyperlink r:id="rId1141" ref="J1815"/>
    <hyperlink r:id="rId1142" ref="J1816"/>
    <hyperlink r:id="rId1143" ref="J1817"/>
    <hyperlink r:id="rId1144" ref="J1818"/>
    <hyperlink r:id="rId1145" ref="J1819"/>
    <hyperlink r:id="rId1146" ref="J1820"/>
    <hyperlink r:id="rId1147" ref="J1821"/>
    <hyperlink r:id="rId1148" ref="J1823"/>
    <hyperlink r:id="rId1149" ref="J1824"/>
    <hyperlink r:id="rId1150" ref="J1825"/>
    <hyperlink r:id="rId1151" ref="J1826"/>
    <hyperlink r:id="rId1152" ref="J1827"/>
    <hyperlink r:id="rId1153" ref="J1828"/>
    <hyperlink r:id="rId1154" ref="J1829"/>
    <hyperlink r:id="rId1155" ref="J1830"/>
    <hyperlink r:id="rId1156" ref="J1831"/>
    <hyperlink r:id="rId1157" ref="J1832"/>
    <hyperlink r:id="rId1158" ref="J1833"/>
    <hyperlink r:id="rId1159" ref="J1834"/>
    <hyperlink r:id="rId1160" ref="J1835"/>
    <hyperlink r:id="rId1161" ref="J1836"/>
    <hyperlink r:id="rId1162" ref="J1837"/>
    <hyperlink r:id="rId1163" ref="J1838"/>
    <hyperlink r:id="rId1164" ref="J1839"/>
    <hyperlink r:id="rId1165" ref="J1840"/>
    <hyperlink r:id="rId1166" ref="J1841"/>
    <hyperlink r:id="rId1167" ref="J1842"/>
    <hyperlink r:id="rId1168" ref="J1843"/>
    <hyperlink r:id="rId1169" ref="J1844"/>
    <hyperlink r:id="rId1170" ref="J1845"/>
    <hyperlink r:id="rId1171" ref="J1846"/>
    <hyperlink r:id="rId1172" ref="J1847"/>
    <hyperlink r:id="rId1173" ref="J1848"/>
    <hyperlink r:id="rId1174" ref="J1849"/>
    <hyperlink r:id="rId1175" ref="J1850"/>
    <hyperlink r:id="rId1176" ref="J1851"/>
    <hyperlink r:id="rId1177" ref="J1853"/>
    <hyperlink r:id="rId1178" ref="J1854"/>
    <hyperlink r:id="rId1179" ref="J1855"/>
    <hyperlink r:id="rId1180" ref="J1856"/>
    <hyperlink r:id="rId1181" ref="J1857"/>
    <hyperlink r:id="rId1182" ref="J1858"/>
    <hyperlink r:id="rId1183" ref="J1859"/>
    <hyperlink r:id="rId1184" ref="J1860"/>
    <hyperlink r:id="rId1185" ref="J1861"/>
    <hyperlink r:id="rId1186" ref="J1862"/>
    <hyperlink r:id="rId1187" ref="J1863"/>
    <hyperlink r:id="rId1188" ref="J1864"/>
    <hyperlink r:id="rId1189" ref="J1865"/>
    <hyperlink r:id="rId1190" ref="J1866"/>
    <hyperlink r:id="rId1191" ref="J1867"/>
    <hyperlink r:id="rId1192" ref="J1868"/>
    <hyperlink r:id="rId1193" ref="J1874"/>
    <hyperlink r:id="rId1194" ref="J1875"/>
    <hyperlink r:id="rId1195" ref="J1876"/>
    <hyperlink r:id="rId1196" ref="J1877"/>
    <hyperlink r:id="rId1197" ref="J1878"/>
    <hyperlink r:id="rId1198" ref="J1879"/>
    <hyperlink r:id="rId1199" ref="J1880"/>
    <hyperlink r:id="rId1200" ref="J1881"/>
    <hyperlink r:id="rId1201" ref="J1882"/>
    <hyperlink r:id="rId1202" ref="J1883"/>
    <hyperlink r:id="rId1203" ref="J1884"/>
    <hyperlink r:id="rId1204" ref="J1885"/>
    <hyperlink r:id="rId1205" ref="J1886"/>
    <hyperlink r:id="rId1206" ref="J1887"/>
    <hyperlink r:id="rId1207" ref="J1888"/>
    <hyperlink r:id="rId1208" ref="J1889"/>
    <hyperlink r:id="rId1209" ref="J1890"/>
    <hyperlink r:id="rId1210" ref="J1891"/>
    <hyperlink r:id="rId1211" ref="J1892"/>
    <hyperlink r:id="rId1212" ref="J1893"/>
    <hyperlink r:id="rId1213" ref="J1894"/>
    <hyperlink r:id="rId1214" ref="J1895"/>
    <hyperlink r:id="rId1215" ref="J1896"/>
    <hyperlink r:id="rId1216" ref="J1897"/>
    <hyperlink r:id="rId1217" ref="J1898"/>
    <hyperlink r:id="rId1218" ref="J1899"/>
    <hyperlink r:id="rId1219" ref="J1900"/>
    <hyperlink r:id="rId1220" ref="J1901"/>
    <hyperlink r:id="rId1221" ref="J1902"/>
    <hyperlink r:id="rId1222" ref="J1903"/>
    <hyperlink r:id="rId1223" ref="J1904"/>
    <hyperlink r:id="rId1224" ref="J1905"/>
    <hyperlink r:id="rId1225" ref="J1906"/>
    <hyperlink r:id="rId1226" ref="J1907"/>
    <hyperlink r:id="rId1227" ref="J1908"/>
    <hyperlink r:id="rId1228" ref="J1909"/>
    <hyperlink r:id="rId1229" ref="J1910"/>
    <hyperlink r:id="rId1230" ref="J1911"/>
    <hyperlink r:id="rId1231" ref="J1912"/>
    <hyperlink r:id="rId1232" ref="J1913"/>
    <hyperlink r:id="rId1233" ref="J1914"/>
    <hyperlink r:id="rId1234" ref="J1915"/>
    <hyperlink r:id="rId1235" ref="J1916"/>
    <hyperlink r:id="rId1236" ref="J1917"/>
    <hyperlink r:id="rId1237" ref="J1918"/>
    <hyperlink r:id="rId1238" ref="J1919"/>
    <hyperlink r:id="rId1239" ref="J1920"/>
    <hyperlink r:id="rId1240" ref="J1921"/>
    <hyperlink r:id="rId1241" ref="J1922"/>
    <hyperlink r:id="rId1242" ref="J1923"/>
    <hyperlink r:id="rId1243" ref="J1924"/>
    <hyperlink r:id="rId1244" ref="J1925"/>
    <hyperlink r:id="rId1245" ref="J1926"/>
    <hyperlink r:id="rId1246" ref="J1927"/>
    <hyperlink r:id="rId1247" ref="J1928"/>
    <hyperlink r:id="rId1248" ref="J1929"/>
    <hyperlink r:id="rId1249" ref="J1930"/>
    <hyperlink r:id="rId1250" ref="J1931"/>
    <hyperlink r:id="rId1251" ref="J1932"/>
    <hyperlink r:id="rId1252" ref="J1933"/>
    <hyperlink r:id="rId1253" ref="J1934"/>
    <hyperlink r:id="rId1254" ref="J1935"/>
    <hyperlink r:id="rId1255" ref="J1936"/>
    <hyperlink r:id="rId1256" ref="J1937"/>
    <hyperlink r:id="rId1257" ref="J1938"/>
    <hyperlink r:id="rId1258" ref="J1939"/>
    <hyperlink r:id="rId1259" ref="J1940"/>
    <hyperlink r:id="rId1260" ref="J1941"/>
    <hyperlink r:id="rId1261" ref="J1942"/>
    <hyperlink r:id="rId1262" ref="J1943"/>
    <hyperlink r:id="rId1263" ref="J1944"/>
    <hyperlink r:id="rId1264" ref="J1945"/>
    <hyperlink r:id="rId1265" ref="J1946"/>
    <hyperlink r:id="rId1266" ref="J1947"/>
    <hyperlink r:id="rId1267" ref="J1948"/>
    <hyperlink r:id="rId1268" ref="J1949"/>
    <hyperlink r:id="rId1269" ref="J1950"/>
    <hyperlink r:id="rId1270" ref="J1951"/>
    <hyperlink r:id="rId1271" ref="J1952"/>
    <hyperlink r:id="rId1272" ref="J1953"/>
    <hyperlink r:id="rId1273" ref="J1954"/>
    <hyperlink r:id="rId1274" ref="J1955"/>
    <hyperlink r:id="rId1275" ref="J1956"/>
    <hyperlink r:id="rId1276" ref="J1957"/>
    <hyperlink r:id="rId1277" ref="J1958"/>
    <hyperlink r:id="rId1278" ref="J1959"/>
    <hyperlink r:id="rId1279" ref="J1960"/>
    <hyperlink r:id="rId1280" ref="J1961"/>
    <hyperlink r:id="rId1281" ref="J1962"/>
    <hyperlink r:id="rId1282" ref="J1963"/>
    <hyperlink r:id="rId1283" ref="J1964"/>
    <hyperlink r:id="rId1284" ref="J1965"/>
    <hyperlink r:id="rId1285" ref="J1966"/>
    <hyperlink r:id="rId1286" ref="J1967"/>
    <hyperlink r:id="rId1287" ref="J1968"/>
    <hyperlink r:id="rId1288" ref="J1969"/>
    <hyperlink r:id="rId1289" ref="J1970"/>
    <hyperlink r:id="rId1290" ref="J1971"/>
    <hyperlink r:id="rId1291" ref="J1972"/>
    <hyperlink r:id="rId1292" ref="J1973"/>
    <hyperlink r:id="rId1293" ref="J1974"/>
    <hyperlink r:id="rId1294" ref="J1975"/>
    <hyperlink r:id="rId1295" ref="J1976"/>
    <hyperlink r:id="rId1296" ref="J1977"/>
    <hyperlink r:id="rId1297" ref="J1978"/>
    <hyperlink r:id="rId1298" ref="J1979"/>
    <hyperlink r:id="rId1299" ref="J1980"/>
    <hyperlink r:id="rId1300" ref="J1981"/>
    <hyperlink r:id="rId1301" ref="J1982"/>
    <hyperlink r:id="rId1302" ref="J1983"/>
    <hyperlink r:id="rId1303" ref="J1984"/>
    <hyperlink r:id="rId1304" ref="J1985"/>
    <hyperlink r:id="rId1305" ref="J1986"/>
    <hyperlink r:id="rId1306" ref="J1987"/>
    <hyperlink r:id="rId1307" ref="J1988"/>
    <hyperlink r:id="rId1308" ref="J1995"/>
    <hyperlink r:id="rId1309" ref="J1996"/>
    <hyperlink r:id="rId1310" ref="J1997"/>
    <hyperlink r:id="rId1311" ref="J1999"/>
    <hyperlink r:id="rId1312" ref="J2000"/>
    <hyperlink r:id="rId1313" ref="J2001"/>
    <hyperlink r:id="rId1314" ref="J2002"/>
    <hyperlink r:id="rId1315" ref="J2003"/>
    <hyperlink r:id="rId1316" ref="J2004"/>
    <hyperlink r:id="rId1317" ref="J2007"/>
    <hyperlink r:id="rId1318" ref="J2008"/>
    <hyperlink r:id="rId1319" ref="J2009"/>
    <hyperlink r:id="rId1320" ref="J2016"/>
    <hyperlink r:id="rId1321" ref="J2017"/>
    <hyperlink r:id="rId1322" ref="J2018"/>
    <hyperlink r:id="rId1323" ref="J2019"/>
    <hyperlink r:id="rId1324" ref="J2020"/>
    <hyperlink r:id="rId1325" ref="J2021"/>
    <hyperlink r:id="rId1326" ref="J2023"/>
    <hyperlink r:id="rId1327" ref="J2024"/>
    <hyperlink r:id="rId1328" ref="J2025"/>
    <hyperlink r:id="rId1329" ref="J2026"/>
    <hyperlink r:id="rId1330" ref="J2027"/>
    <hyperlink r:id="rId1331" ref="J2028"/>
    <hyperlink r:id="rId1332" ref="J2029"/>
    <hyperlink r:id="rId1333" ref="J2030"/>
    <hyperlink r:id="rId1334" ref="J2031"/>
    <hyperlink r:id="rId1335" ref="J2032"/>
    <hyperlink r:id="rId1336" ref="J2033"/>
    <hyperlink r:id="rId1337" ref="J2034"/>
    <hyperlink r:id="rId1338" ref="J2035"/>
    <hyperlink r:id="rId1339" ref="J2036"/>
    <hyperlink r:id="rId1340" ref="J2037"/>
    <hyperlink r:id="rId1341" ref="J2038"/>
    <hyperlink r:id="rId1342" ref="J2039"/>
    <hyperlink r:id="rId1343" ref="J2040"/>
    <hyperlink r:id="rId1344" ref="J2041"/>
    <hyperlink r:id="rId1345" ref="J2042"/>
    <hyperlink r:id="rId1346" ref="J2043"/>
    <hyperlink r:id="rId1347" ref="J2044"/>
    <hyperlink r:id="rId1348" ref="J2045"/>
    <hyperlink r:id="rId1349" ref="J2046"/>
    <hyperlink r:id="rId1350" ref="J2047"/>
    <hyperlink r:id="rId1351" ref="J2048"/>
    <hyperlink r:id="rId1352" ref="J2049"/>
    <hyperlink r:id="rId1353" ref="J2050"/>
    <hyperlink r:id="rId1354" ref="J2051"/>
    <hyperlink r:id="rId1355" ref="J2052"/>
    <hyperlink r:id="rId1356" ref="J2053"/>
    <hyperlink r:id="rId1357" ref="J2054"/>
    <hyperlink r:id="rId1358" ref="J2055"/>
    <hyperlink r:id="rId1359" ref="J2056"/>
    <hyperlink r:id="rId1360" ref="J2057"/>
    <hyperlink r:id="rId1361" ref="J2058"/>
    <hyperlink r:id="rId1362" ref="J2061"/>
    <hyperlink r:id="rId1363" ref="J2062"/>
    <hyperlink r:id="rId1364" ref="J2063"/>
    <hyperlink r:id="rId1365" ref="J2064"/>
    <hyperlink r:id="rId1366" ref="J2065"/>
    <hyperlink r:id="rId1367" ref="J2067"/>
    <hyperlink r:id="rId1368" ref="J2068"/>
    <hyperlink r:id="rId1369" ref="J2069"/>
    <hyperlink r:id="rId1370" ref="J2070"/>
    <hyperlink r:id="rId1371" ref="J2071"/>
    <hyperlink r:id="rId1372" ref="J2072"/>
    <hyperlink r:id="rId1373" ref="J2073"/>
    <hyperlink r:id="rId1374" ref="J2074"/>
    <hyperlink r:id="rId1375" ref="J2075"/>
    <hyperlink r:id="rId1376" ref="J2076"/>
    <hyperlink r:id="rId1377" ref="J2077"/>
    <hyperlink r:id="rId1378" ref="J2078"/>
    <hyperlink r:id="rId1379" ref="J2079"/>
    <hyperlink r:id="rId1380" ref="J2080"/>
    <hyperlink r:id="rId1381" ref="J2081"/>
    <hyperlink r:id="rId1382" ref="J2082"/>
    <hyperlink r:id="rId1383" ref="J2083"/>
    <hyperlink r:id="rId1384" ref="J2084"/>
    <hyperlink r:id="rId1385" ref="J2085"/>
    <hyperlink r:id="rId1386" ref="J2086"/>
    <hyperlink r:id="rId1387" ref="J2087"/>
    <hyperlink r:id="rId1388" ref="J2088"/>
    <hyperlink r:id="rId1389" ref="J2089"/>
    <hyperlink r:id="rId1390" ref="J2090"/>
    <hyperlink r:id="rId1391" ref="J2091"/>
    <hyperlink r:id="rId1392" ref="J2092"/>
    <hyperlink r:id="rId1393" ref="J2093"/>
    <hyperlink r:id="rId1394" ref="J2094"/>
    <hyperlink r:id="rId1395" ref="J2095"/>
    <hyperlink r:id="rId1396" ref="J2096"/>
    <hyperlink r:id="rId1397" ref="J2097"/>
    <hyperlink r:id="rId1398" ref="J2098"/>
    <hyperlink r:id="rId1399" ref="J2099"/>
    <hyperlink r:id="rId1400" ref="J2100"/>
    <hyperlink r:id="rId1401" ref="J2101"/>
    <hyperlink r:id="rId1402" ref="J2102"/>
    <hyperlink r:id="rId1403" ref="J2103"/>
    <hyperlink r:id="rId1404" ref="J2104"/>
    <hyperlink r:id="rId1405" ref="J2105"/>
    <hyperlink r:id="rId1406" ref="J2106"/>
    <hyperlink r:id="rId1407" ref="J2107"/>
    <hyperlink r:id="rId1408" ref="J2108"/>
    <hyperlink r:id="rId1409" ref="J2109"/>
    <hyperlink r:id="rId1410" ref="J2110"/>
    <hyperlink r:id="rId1411" ref="J2111"/>
    <hyperlink r:id="rId1412" ref="J2112"/>
    <hyperlink r:id="rId1413" ref="J2113"/>
    <hyperlink r:id="rId1414" ref="J2114"/>
    <hyperlink r:id="rId1415" ref="J2115"/>
    <hyperlink r:id="rId1416" ref="J2116"/>
    <hyperlink r:id="rId1417" ref="J2117"/>
    <hyperlink r:id="rId1418" ref="J2118"/>
    <hyperlink r:id="rId1419" ref="J2119"/>
    <hyperlink r:id="rId1420" ref="J2120"/>
    <hyperlink r:id="rId1421" ref="J2121"/>
    <hyperlink r:id="rId1422" ref="J2122"/>
    <hyperlink r:id="rId1423" ref="J2123"/>
    <hyperlink r:id="rId1424" ref="J2124"/>
    <hyperlink r:id="rId1425" ref="J2125"/>
    <hyperlink r:id="rId1426" ref="J2126"/>
    <hyperlink r:id="rId1427" ref="J2127"/>
    <hyperlink r:id="rId1428" ref="J2128"/>
    <hyperlink r:id="rId1429" ref="J2129"/>
    <hyperlink r:id="rId1430" ref="J2130"/>
    <hyperlink r:id="rId1431" ref="J2131"/>
    <hyperlink r:id="rId1432" ref="J2132"/>
    <hyperlink r:id="rId1433" ref="J2133"/>
    <hyperlink r:id="rId1434" ref="J2134"/>
    <hyperlink r:id="rId1435" ref="J2135"/>
    <hyperlink r:id="rId1436" ref="J2136"/>
    <hyperlink r:id="rId1437" ref="J2137"/>
    <hyperlink r:id="rId1438" ref="J2138"/>
    <hyperlink r:id="rId1439" ref="J2139"/>
    <hyperlink r:id="rId1440" ref="J2140"/>
    <hyperlink r:id="rId1441" ref="J2141"/>
    <hyperlink r:id="rId1442" ref="J2142"/>
    <hyperlink r:id="rId1443" ref="J2143"/>
    <hyperlink r:id="rId1444" ref="J2144"/>
    <hyperlink r:id="rId1445" ref="J2145"/>
    <hyperlink r:id="rId1446" ref="J2146"/>
    <hyperlink r:id="rId1447" ref="J2147"/>
    <hyperlink r:id="rId1448" ref="J2148"/>
    <hyperlink r:id="rId1449" ref="J2149"/>
    <hyperlink r:id="rId1450" ref="J2150"/>
    <hyperlink r:id="rId1451" ref="J2151"/>
    <hyperlink r:id="rId1452" ref="J2152"/>
    <hyperlink r:id="rId1453" ref="J2153"/>
    <hyperlink r:id="rId1454" ref="J2154"/>
    <hyperlink r:id="rId1455" ref="J2155"/>
    <hyperlink r:id="rId1456" ref="J2156"/>
    <hyperlink r:id="rId1457" ref="J2157"/>
    <hyperlink r:id="rId1458" ref="J2158"/>
    <hyperlink r:id="rId1459" ref="J2159"/>
    <hyperlink r:id="rId1460" ref="J2160"/>
    <hyperlink r:id="rId1461" ref="J2161"/>
    <hyperlink r:id="rId1462" ref="J2162"/>
    <hyperlink r:id="rId1463" ref="J2163"/>
    <hyperlink r:id="rId1464" ref="J2164"/>
    <hyperlink r:id="rId1465" ref="J2165"/>
    <hyperlink r:id="rId1466" ref="J2166"/>
    <hyperlink r:id="rId1467" ref="J2167"/>
    <hyperlink r:id="rId1468" ref="J2168"/>
    <hyperlink r:id="rId1469" ref="J2169"/>
    <hyperlink r:id="rId1470" ref="J2170"/>
    <hyperlink r:id="rId1471" ref="J2171"/>
    <hyperlink r:id="rId1472" ref="J2172"/>
    <hyperlink r:id="rId1473" ref="J2173"/>
    <hyperlink r:id="rId1474" ref="J2174"/>
    <hyperlink r:id="rId1475" ref="J2175"/>
    <hyperlink r:id="rId1476" ref="J2176"/>
    <hyperlink r:id="rId1477" ref="J2177"/>
    <hyperlink r:id="rId1478" ref="J2178"/>
    <hyperlink r:id="rId1479" ref="J2179"/>
    <hyperlink r:id="rId1480" ref="J2180"/>
    <hyperlink r:id="rId1481" ref="J2181"/>
    <hyperlink r:id="rId1482" ref="J2182"/>
    <hyperlink r:id="rId1483" ref="J2185"/>
    <hyperlink r:id="rId1484" ref="J2186"/>
    <hyperlink r:id="rId1485" ref="J2187"/>
    <hyperlink r:id="rId1486" ref="J2188"/>
    <hyperlink r:id="rId1487" ref="J2189"/>
    <hyperlink r:id="rId1488" ref="J2190"/>
    <hyperlink r:id="rId1489" ref="J2191"/>
    <hyperlink r:id="rId1490" ref="J2192"/>
    <hyperlink r:id="rId1491" ref="J2193"/>
    <hyperlink r:id="rId1492" ref="J2194"/>
    <hyperlink r:id="rId1493" ref="J2195"/>
    <hyperlink r:id="rId1494" ref="J2196"/>
    <hyperlink r:id="rId1495" ref="J2197"/>
    <hyperlink r:id="rId1496" ref="J2198"/>
    <hyperlink r:id="rId1497" ref="J2199"/>
    <hyperlink r:id="rId1498" ref="J2201"/>
    <hyperlink r:id="rId1499" ref="J2202"/>
    <hyperlink r:id="rId1500" ref="J2203"/>
    <hyperlink r:id="rId1501" ref="J2206"/>
    <hyperlink r:id="rId1502" ref="J2207"/>
    <hyperlink r:id="rId1503" ref="J2208"/>
    <hyperlink r:id="rId1504" ref="J2210"/>
    <hyperlink r:id="rId1505" ref="J2211"/>
    <hyperlink r:id="rId1506" ref="J2212"/>
    <hyperlink r:id="rId1507" ref="J2213"/>
    <hyperlink r:id="rId1508" ref="J2214"/>
    <hyperlink r:id="rId1509" ref="J2215"/>
    <hyperlink r:id="rId1510" ref="J2216"/>
    <hyperlink r:id="rId1511" ref="J2217"/>
    <hyperlink r:id="rId1512" ref="J2218"/>
    <hyperlink r:id="rId1513" ref="J2219"/>
    <hyperlink r:id="rId1514" ref="J2221"/>
    <hyperlink r:id="rId1515" ref="J2222"/>
    <hyperlink r:id="rId1516" ref="J2223"/>
    <hyperlink r:id="rId1517" ref="J2224"/>
    <hyperlink r:id="rId1518" ref="J2225"/>
    <hyperlink r:id="rId1519" ref="J2226"/>
    <hyperlink r:id="rId1520" ref="J2227"/>
    <hyperlink r:id="rId1521" ref="J2228"/>
    <hyperlink r:id="rId1522" ref="J2229"/>
    <hyperlink r:id="rId1523" ref="J2230"/>
    <hyperlink r:id="rId1524" ref="J2231"/>
    <hyperlink r:id="rId1525" ref="J2232"/>
    <hyperlink r:id="rId1526" ref="J2233"/>
    <hyperlink r:id="rId1527" ref="J2234"/>
    <hyperlink r:id="rId1528" ref="J2235"/>
    <hyperlink r:id="rId1529" ref="J2236"/>
    <hyperlink r:id="rId1530" ref="J2237"/>
    <hyperlink r:id="rId1531" ref="J2238"/>
    <hyperlink r:id="rId1532" ref="J2239"/>
    <hyperlink r:id="rId1533" ref="J2240"/>
    <hyperlink r:id="rId1534" ref="J2241"/>
    <hyperlink r:id="rId1535" ref="J2242"/>
    <hyperlink r:id="rId1536" ref="J2243"/>
    <hyperlink r:id="rId1537" ref="J2244"/>
    <hyperlink r:id="rId1538" ref="J2245"/>
    <hyperlink r:id="rId1539" ref="J2246"/>
    <hyperlink r:id="rId1540" ref="J2247"/>
    <hyperlink r:id="rId1541" ref="J2248"/>
    <hyperlink r:id="rId1542" ref="J2249"/>
    <hyperlink r:id="rId1543" ref="J2250"/>
    <hyperlink r:id="rId1544" ref="J2251"/>
    <hyperlink r:id="rId1545" ref="J2252"/>
    <hyperlink r:id="rId1546" ref="J2253"/>
    <hyperlink r:id="rId1547" ref="J2254"/>
    <hyperlink r:id="rId1548" ref="J2255"/>
    <hyperlink r:id="rId1549" ref="J2256"/>
    <hyperlink r:id="rId1550" ref="J2257"/>
    <hyperlink r:id="rId1551" ref="J2258"/>
    <hyperlink r:id="rId1552" ref="J2259"/>
    <hyperlink r:id="rId1553" ref="J2260"/>
    <hyperlink r:id="rId1554" ref="J2261"/>
    <hyperlink r:id="rId1555" ref="J2262"/>
    <hyperlink r:id="rId1556" ref="J2263"/>
    <hyperlink r:id="rId1557" ref="J2264"/>
    <hyperlink r:id="rId1558" ref="J2265"/>
    <hyperlink r:id="rId1559" ref="J2266"/>
    <hyperlink r:id="rId1560" ref="J2267"/>
    <hyperlink r:id="rId1561" ref="J2268"/>
    <hyperlink r:id="rId1562" ref="J2269"/>
    <hyperlink r:id="rId1563" ref="J2270"/>
    <hyperlink r:id="rId1564" ref="J2271"/>
    <hyperlink r:id="rId1565" ref="J2272"/>
    <hyperlink r:id="rId1566" ref="J2273"/>
    <hyperlink r:id="rId1567" ref="J2274"/>
    <hyperlink r:id="rId1568" ref="J2275"/>
    <hyperlink r:id="rId1569" ref="J2276"/>
    <hyperlink r:id="rId1570" ref="J2277"/>
    <hyperlink r:id="rId1571" ref="J2278"/>
    <hyperlink r:id="rId1572" ref="J2280"/>
    <hyperlink r:id="rId1573" ref="J2281"/>
    <hyperlink r:id="rId1574" ref="J2282"/>
    <hyperlink r:id="rId1575" ref="J2283"/>
    <hyperlink r:id="rId1576" ref="J2284"/>
    <hyperlink r:id="rId1577" ref="J2285"/>
    <hyperlink r:id="rId1578" ref="J2286"/>
    <hyperlink r:id="rId1579" ref="J2287"/>
    <hyperlink r:id="rId1580" ref="J2288"/>
    <hyperlink r:id="rId1581" ref="J2289"/>
    <hyperlink r:id="rId1582" ref="J2290"/>
    <hyperlink r:id="rId1583" ref="J2291"/>
    <hyperlink r:id="rId1584" ref="J2292"/>
    <hyperlink r:id="rId1585" ref="J2293"/>
    <hyperlink r:id="rId1586" ref="J2294"/>
    <hyperlink r:id="rId1587" ref="J2295"/>
    <hyperlink r:id="rId1588" ref="J2296"/>
    <hyperlink r:id="rId1589" ref="J2297"/>
    <hyperlink r:id="rId1590" ref="J2298"/>
    <hyperlink r:id="rId1591" ref="J2299"/>
    <hyperlink r:id="rId1592" ref="J2300"/>
    <hyperlink r:id="rId1593" ref="J2301"/>
    <hyperlink r:id="rId1594" ref="J2302"/>
    <hyperlink r:id="rId1595" ref="J2303"/>
    <hyperlink r:id="rId1596" ref="J2304"/>
    <hyperlink r:id="rId1597" ref="J2305"/>
    <hyperlink r:id="rId1598" ref="J2306"/>
    <hyperlink r:id="rId1599" ref="J2307"/>
    <hyperlink r:id="rId1600" ref="J2308"/>
    <hyperlink r:id="rId1601" ref="J2309"/>
    <hyperlink r:id="rId1602" ref="J2310"/>
    <hyperlink r:id="rId1603" ref="J2314"/>
    <hyperlink r:id="rId1604" ref="J2315"/>
    <hyperlink r:id="rId1605" ref="J2316"/>
    <hyperlink r:id="rId1606" ref="J2317"/>
    <hyperlink r:id="rId1607" ref="J2318"/>
    <hyperlink r:id="rId1608" ref="J2319"/>
    <hyperlink r:id="rId1609" ref="J2320"/>
    <hyperlink r:id="rId1610" ref="J2321"/>
    <hyperlink r:id="rId1611" ref="J2322"/>
    <hyperlink r:id="rId1612" ref="J2323"/>
    <hyperlink r:id="rId1613" ref="J2324"/>
    <hyperlink r:id="rId1614" ref="J2325"/>
    <hyperlink r:id="rId1615" ref="J2326"/>
    <hyperlink r:id="rId1616" ref="J2327"/>
    <hyperlink r:id="rId1617" ref="J2328"/>
    <hyperlink r:id="rId1618" ref="J2329"/>
    <hyperlink r:id="rId1619" ref="J2330"/>
    <hyperlink r:id="rId1620" ref="J2331"/>
    <hyperlink r:id="rId1621" ref="J2332"/>
    <hyperlink r:id="rId1622" ref="J2334"/>
    <hyperlink r:id="rId1623" ref="J2335"/>
    <hyperlink r:id="rId1624" ref="J2336"/>
    <hyperlink r:id="rId1625" ref="J2337"/>
    <hyperlink r:id="rId1626" ref="J2338"/>
    <hyperlink r:id="rId1627" ref="J2339"/>
    <hyperlink r:id="rId1628" ref="J2340"/>
    <hyperlink r:id="rId1629" ref="J2341"/>
    <hyperlink r:id="rId1630" ref="J2342"/>
    <hyperlink r:id="rId1631" ref="J2343"/>
    <hyperlink r:id="rId1632" ref="J2344"/>
    <hyperlink r:id="rId1633" ref="J2345"/>
    <hyperlink r:id="rId1634" ref="J2346"/>
    <hyperlink r:id="rId1635" ref="J2348"/>
    <hyperlink r:id="rId1636" ref="J2349"/>
    <hyperlink r:id="rId1637" ref="J2350"/>
    <hyperlink r:id="rId1638" ref="J2351"/>
    <hyperlink r:id="rId1639" ref="J2352"/>
    <hyperlink r:id="rId1640" ref="J2353"/>
    <hyperlink r:id="rId1641" ref="J2354"/>
    <hyperlink r:id="rId1642" ref="J2355"/>
    <hyperlink r:id="rId1643" ref="J2356"/>
    <hyperlink r:id="rId1644" ref="J2357"/>
    <hyperlink r:id="rId1645" ref="J2358"/>
    <hyperlink r:id="rId1646" ref="J2359"/>
    <hyperlink r:id="rId1647" ref="J2360"/>
    <hyperlink r:id="rId1648" ref="J2361"/>
    <hyperlink r:id="rId1649" ref="J2362"/>
    <hyperlink r:id="rId1650" ref="J2363"/>
    <hyperlink r:id="rId1651" ref="J2364"/>
    <hyperlink r:id="rId1652" ref="J2365"/>
    <hyperlink r:id="rId1653" ref="J2366"/>
    <hyperlink r:id="rId1654" ref="J2367"/>
    <hyperlink r:id="rId1655" ref="J2368"/>
    <hyperlink r:id="rId1656" ref="J2369"/>
    <hyperlink r:id="rId1657" ref="J2370"/>
    <hyperlink r:id="rId1658" ref="J2372"/>
    <hyperlink r:id="rId1659" ref="J2373"/>
    <hyperlink r:id="rId1660" ref="J2374"/>
    <hyperlink r:id="rId1661" ref="J2375"/>
    <hyperlink r:id="rId1662" ref="J2376"/>
    <hyperlink r:id="rId1663" ref="J2377"/>
    <hyperlink r:id="rId1664" ref="J2378"/>
    <hyperlink r:id="rId1665" ref="J2379"/>
    <hyperlink r:id="rId1666" ref="J2380"/>
    <hyperlink r:id="rId1667" ref="J2381"/>
    <hyperlink r:id="rId1668" ref="J2382"/>
    <hyperlink r:id="rId1669" ref="J2383"/>
    <hyperlink r:id="rId1670" ref="J2384"/>
    <hyperlink r:id="rId1671" ref="J2385"/>
    <hyperlink r:id="rId1672" ref="J2386"/>
    <hyperlink r:id="rId1673" ref="J2387"/>
    <hyperlink r:id="rId1674" ref="J2388"/>
    <hyperlink r:id="rId1675" ref="J2389"/>
    <hyperlink r:id="rId1676" ref="J2390"/>
    <hyperlink r:id="rId1677" ref="J2391"/>
    <hyperlink r:id="rId1678" ref="J2392"/>
    <hyperlink r:id="rId1679" ref="J2393"/>
    <hyperlink r:id="rId1680" ref="J2394"/>
    <hyperlink r:id="rId1681" ref="J2395"/>
    <hyperlink r:id="rId1682" ref="J2396"/>
    <hyperlink r:id="rId1683" ref="J2397"/>
    <hyperlink r:id="rId1684" ref="J2398"/>
    <hyperlink r:id="rId1685" ref="J2399"/>
    <hyperlink r:id="rId1686" ref="J2400"/>
    <hyperlink r:id="rId1687" ref="J2401"/>
    <hyperlink r:id="rId1688" ref="J2402"/>
    <hyperlink r:id="rId1689" ref="J2403"/>
    <hyperlink r:id="rId1690" ref="J2404"/>
    <hyperlink r:id="rId1691" ref="J2405"/>
    <hyperlink r:id="rId1692" ref="J2406"/>
    <hyperlink r:id="rId1693" ref="J2407"/>
    <hyperlink r:id="rId1694" ref="J2408"/>
    <hyperlink r:id="rId1695" ref="J2409"/>
    <hyperlink r:id="rId1696" ref="J2410"/>
    <hyperlink r:id="rId1697" ref="J2411"/>
    <hyperlink r:id="rId1698" ref="J2412"/>
    <hyperlink r:id="rId1699" ref="J2413"/>
    <hyperlink r:id="rId1700" ref="J2414"/>
    <hyperlink r:id="rId1701" ref="J2415"/>
    <hyperlink r:id="rId1702" ref="J2416"/>
    <hyperlink r:id="rId1703" ref="J2417"/>
    <hyperlink r:id="rId1704" ref="J2418"/>
    <hyperlink r:id="rId1705" ref="J2419"/>
    <hyperlink r:id="rId1706" ref="J2420"/>
    <hyperlink r:id="rId1707" ref="J2421"/>
    <hyperlink r:id="rId1708" ref="J2422"/>
    <hyperlink r:id="rId1709" ref="J2423"/>
    <hyperlink r:id="rId1710" ref="J2424"/>
    <hyperlink r:id="rId1711" ref="J2425"/>
    <hyperlink r:id="rId1712" ref="J2426"/>
    <hyperlink r:id="rId1713" ref="J2427"/>
    <hyperlink r:id="rId1714" ref="J2428"/>
    <hyperlink r:id="rId1715" ref="J2431"/>
    <hyperlink r:id="rId1716" ref="J2432"/>
    <hyperlink r:id="rId1717" ref="J2434"/>
    <hyperlink r:id="rId1718" ref="J2435"/>
    <hyperlink r:id="rId1719" ref="J2437"/>
    <hyperlink r:id="rId1720" ref="J2438"/>
    <hyperlink r:id="rId1721" ref="J2439"/>
    <hyperlink r:id="rId1722" ref="J2440"/>
    <hyperlink r:id="rId1723" ref="J2441"/>
    <hyperlink r:id="rId1724" ref="J2442"/>
    <hyperlink r:id="rId1725" ref="J2443"/>
    <hyperlink r:id="rId1726" ref="J2444"/>
    <hyperlink r:id="rId1727" ref="J2445"/>
    <hyperlink r:id="rId1728" ref="J2449"/>
    <hyperlink r:id="rId1729" ref="J2451"/>
    <hyperlink r:id="rId1730" ref="J2453"/>
    <hyperlink r:id="rId1731" ref="J2454"/>
    <hyperlink r:id="rId1732" ref="J2455"/>
    <hyperlink r:id="rId1733" ref="J2456"/>
    <hyperlink r:id="rId1734" ref="J2460"/>
    <hyperlink r:id="rId1735" ref="J2461"/>
    <hyperlink r:id="rId1736" ref="J2462"/>
    <hyperlink r:id="rId1737" ref="J2463"/>
    <hyperlink r:id="rId1738" ref="J2465"/>
    <hyperlink r:id="rId1739" ref="J2466"/>
    <hyperlink r:id="rId1740" ref="J2467"/>
    <hyperlink r:id="rId1741" ref="J2468"/>
    <hyperlink r:id="rId1742" ref="J2469"/>
    <hyperlink r:id="rId1743" ref="J2470"/>
    <hyperlink r:id="rId1744" ref="J2471"/>
    <hyperlink r:id="rId1745" ref="J2472"/>
    <hyperlink r:id="rId1746" ref="J2473"/>
    <hyperlink r:id="rId1747" ref="J2474"/>
    <hyperlink r:id="rId1748" ref="J2475"/>
    <hyperlink r:id="rId1749" ref="J2476"/>
    <hyperlink r:id="rId1750" ref="J2477"/>
    <hyperlink r:id="rId1751" ref="J2478"/>
    <hyperlink r:id="rId1752" ref="J2479"/>
    <hyperlink r:id="rId1753" ref="J2480"/>
    <hyperlink r:id="rId1754" ref="J2481"/>
    <hyperlink r:id="rId1755" ref="J2482"/>
    <hyperlink r:id="rId1756" ref="J2483"/>
    <hyperlink r:id="rId1757" ref="J2484"/>
    <hyperlink r:id="rId1758" ref="J2485"/>
    <hyperlink r:id="rId1759" ref="J2486"/>
    <hyperlink r:id="rId1760" ref="J2487"/>
    <hyperlink r:id="rId1761" ref="J2488"/>
    <hyperlink r:id="rId1762" ref="J2489"/>
    <hyperlink r:id="rId1763" ref="J2490"/>
    <hyperlink r:id="rId1764" ref="J2491"/>
    <hyperlink r:id="rId1765" ref="J2492"/>
    <hyperlink r:id="rId1766" ref="J2493"/>
    <hyperlink r:id="rId1767" ref="J2494"/>
    <hyperlink r:id="rId1768" ref="J2495"/>
    <hyperlink r:id="rId1769" ref="J2496"/>
    <hyperlink r:id="rId1770" ref="J2497"/>
    <hyperlink r:id="rId1771" ref="J2498"/>
    <hyperlink r:id="rId1772" ref="J2499"/>
    <hyperlink r:id="rId1773" ref="J2500"/>
    <hyperlink r:id="rId1774" ref="J2501"/>
    <hyperlink r:id="rId1775" ref="J2505"/>
    <hyperlink r:id="rId1776" ref="J2506"/>
    <hyperlink r:id="rId1777" ref="J2507"/>
    <hyperlink r:id="rId1778" ref="J2508"/>
    <hyperlink r:id="rId1779" ref="J2509"/>
    <hyperlink r:id="rId1780" ref="J2510"/>
    <hyperlink r:id="rId1781" ref="J2511"/>
    <hyperlink r:id="rId1782" ref="J2512"/>
    <hyperlink r:id="rId1783" ref="J2513"/>
    <hyperlink r:id="rId1784" ref="J2514"/>
    <hyperlink r:id="rId1785" ref="J2515"/>
    <hyperlink r:id="rId1786" ref="J2516"/>
    <hyperlink r:id="rId1787" ref="J2517"/>
    <hyperlink r:id="rId1788" ref="J2518"/>
    <hyperlink r:id="rId1789" ref="J2519"/>
    <hyperlink r:id="rId1790" ref="J2520"/>
    <hyperlink r:id="rId1791" ref="J2521"/>
    <hyperlink r:id="rId1792" ref="J2522"/>
    <hyperlink r:id="rId1793" ref="J2524"/>
    <hyperlink r:id="rId1794" ref="J2525"/>
    <hyperlink r:id="rId1795" ref="J2526"/>
    <hyperlink r:id="rId1796" ref="J2527"/>
    <hyperlink r:id="rId1797" ref="J2528"/>
    <hyperlink r:id="rId1798" ref="J2529"/>
    <hyperlink r:id="rId1799" ref="J2530"/>
    <hyperlink r:id="rId1800" ref="J2531"/>
    <hyperlink r:id="rId1801" ref="J2535"/>
    <hyperlink r:id="rId1802" ref="J2536"/>
    <hyperlink r:id="rId1803" ref="J2538"/>
    <hyperlink r:id="rId1804" ref="J2540"/>
    <hyperlink r:id="rId1805" ref="J2541"/>
    <hyperlink r:id="rId1806" ref="J2542"/>
    <hyperlink r:id="rId1807" ref="J2543"/>
    <hyperlink r:id="rId1808" ref="J2544"/>
    <hyperlink r:id="rId1809" ref="J2545"/>
    <hyperlink r:id="rId1810" ref="J2546"/>
    <hyperlink r:id="rId1811" ref="J2547"/>
    <hyperlink r:id="rId1812" ref="J2548"/>
    <hyperlink r:id="rId1813" ref="J2549"/>
    <hyperlink r:id="rId1814" ref="J2550"/>
    <hyperlink r:id="rId1815" ref="J2551"/>
    <hyperlink r:id="rId1816" ref="J2552"/>
    <hyperlink r:id="rId1817" ref="J2553"/>
    <hyperlink r:id="rId1818" ref="J2554"/>
    <hyperlink r:id="rId1819" ref="J2555"/>
    <hyperlink r:id="rId1820" ref="J2556"/>
    <hyperlink r:id="rId1821" ref="J2557"/>
    <hyperlink r:id="rId1822" ref="J2558"/>
    <hyperlink r:id="rId1823" ref="J2559"/>
    <hyperlink r:id="rId1824" ref="J2560"/>
    <hyperlink r:id="rId1825" ref="J2561"/>
    <hyperlink r:id="rId1826" ref="J2562"/>
    <hyperlink r:id="rId1827" ref="J2563"/>
    <hyperlink r:id="rId1828" ref="J2564"/>
    <hyperlink r:id="rId1829" ref="J2565"/>
    <hyperlink r:id="rId1830" ref="J2566"/>
    <hyperlink r:id="rId1831" ref="J2567"/>
    <hyperlink r:id="rId1832" ref="J2568"/>
    <hyperlink r:id="rId1833" ref="J2569"/>
    <hyperlink r:id="rId1834" ref="J2570"/>
    <hyperlink r:id="rId1835" ref="J2571"/>
    <hyperlink r:id="rId1836" ref="J2572"/>
    <hyperlink r:id="rId1837" ref="J2573"/>
    <hyperlink r:id="rId1838" ref="J2574"/>
    <hyperlink r:id="rId1839" ref="J2575"/>
    <hyperlink r:id="rId1840" ref="J2576"/>
    <hyperlink r:id="rId1841" ref="J2577"/>
    <hyperlink r:id="rId1842" ref="J2578"/>
    <hyperlink r:id="rId1843" ref="J2579"/>
    <hyperlink r:id="rId1844" ref="J2580"/>
    <hyperlink r:id="rId1845" ref="J2581"/>
    <hyperlink r:id="rId1846" ref="J2582"/>
    <hyperlink r:id="rId1847" ref="J2583"/>
    <hyperlink r:id="rId1848" ref="J2584"/>
    <hyperlink r:id="rId1849" ref="J2585"/>
    <hyperlink r:id="rId1850" ref="J2586"/>
    <hyperlink r:id="rId1851" ref="J2587"/>
    <hyperlink r:id="rId1852" ref="J2588"/>
    <hyperlink r:id="rId1853" ref="J2589"/>
    <hyperlink r:id="rId1854" ref="J2590"/>
    <hyperlink r:id="rId1855" ref="J2591"/>
    <hyperlink r:id="rId1856" ref="J2592"/>
    <hyperlink r:id="rId1857" ref="J2593"/>
    <hyperlink r:id="rId1858" ref="J2594"/>
    <hyperlink r:id="rId1859" ref="J2595"/>
    <hyperlink r:id="rId1860" ref="J2596"/>
    <hyperlink r:id="rId1861" ref="J2597"/>
    <hyperlink r:id="rId1862" ref="J2598"/>
    <hyperlink r:id="rId1863" ref="J2599"/>
    <hyperlink r:id="rId1864" ref="J2600"/>
    <hyperlink r:id="rId1865" ref="J2601"/>
    <hyperlink r:id="rId1866" ref="J2602"/>
    <hyperlink r:id="rId1867" ref="J2603"/>
    <hyperlink r:id="rId1868" ref="J2604"/>
    <hyperlink r:id="rId1869" ref="J2605"/>
    <hyperlink r:id="rId1870" ref="J2606"/>
    <hyperlink r:id="rId1871" ref="J2607"/>
    <hyperlink r:id="rId1872" ref="J2608"/>
    <hyperlink r:id="rId1873" ref="J2609"/>
    <hyperlink r:id="rId1874" ref="J2610"/>
    <hyperlink r:id="rId1875" ref="J2611"/>
    <hyperlink r:id="rId1876" ref="J2612"/>
    <hyperlink r:id="rId1877" ref="J2614"/>
    <hyperlink r:id="rId1878" ref="J2615"/>
    <hyperlink r:id="rId1879" ref="J2616"/>
    <hyperlink r:id="rId1880" ref="J2617"/>
    <hyperlink r:id="rId1881" ref="J2618"/>
    <hyperlink r:id="rId1882" ref="J2619"/>
    <hyperlink r:id="rId1883" ref="J2620"/>
    <hyperlink r:id="rId1884" ref="J2621"/>
    <hyperlink r:id="rId1885" ref="J2622"/>
    <hyperlink r:id="rId1886" ref="J2623"/>
    <hyperlink r:id="rId1887" ref="J2624"/>
    <hyperlink r:id="rId1888" ref="J2625"/>
    <hyperlink r:id="rId1889" ref="J2626"/>
    <hyperlink r:id="rId1890" ref="J2627"/>
    <hyperlink r:id="rId1891" ref="J2628"/>
    <hyperlink r:id="rId1892" ref="J2629"/>
    <hyperlink r:id="rId1893" ref="J2630"/>
    <hyperlink r:id="rId1894" ref="J2631"/>
    <hyperlink r:id="rId1895" ref="J2632"/>
    <hyperlink r:id="rId1896" ref="J2633"/>
    <hyperlink r:id="rId1897" ref="J2634"/>
    <hyperlink r:id="rId1898" ref="J2635"/>
    <hyperlink r:id="rId1899" ref="J2636"/>
    <hyperlink r:id="rId1900" ref="J2637"/>
    <hyperlink r:id="rId1901" ref="J2638"/>
    <hyperlink r:id="rId1902" ref="J2639"/>
    <hyperlink r:id="rId1903" ref="J2640"/>
    <hyperlink r:id="rId1904" ref="J2641"/>
    <hyperlink r:id="rId1905" ref="J2642"/>
    <hyperlink r:id="rId1906" ref="J2643"/>
    <hyperlink r:id="rId1907" ref="J2644"/>
    <hyperlink r:id="rId1908" ref="J2645"/>
    <hyperlink r:id="rId1909" ref="J2646"/>
    <hyperlink r:id="rId1910" ref="J2647"/>
    <hyperlink r:id="rId1911" ref="J2648"/>
    <hyperlink r:id="rId1912" ref="J2649"/>
    <hyperlink r:id="rId1913" ref="J2650"/>
    <hyperlink r:id="rId1914" ref="J2651"/>
    <hyperlink r:id="rId1915" ref="J2652"/>
    <hyperlink r:id="rId1916" ref="J2653"/>
    <hyperlink r:id="rId1917" ref="J2654"/>
    <hyperlink r:id="rId1918" ref="J2655"/>
    <hyperlink r:id="rId1919" ref="J2656"/>
    <hyperlink r:id="rId1920" ref="J2658"/>
    <hyperlink r:id="rId1921" ref="J2659"/>
    <hyperlink r:id="rId1922" ref="J2660"/>
    <hyperlink r:id="rId1923" ref="J2661"/>
    <hyperlink r:id="rId1924" ref="J2662"/>
    <hyperlink r:id="rId1925" ref="J2663"/>
    <hyperlink r:id="rId1926" ref="J2664"/>
    <hyperlink r:id="rId1927" ref="J2665"/>
    <hyperlink r:id="rId1928" ref="J2666"/>
    <hyperlink r:id="rId1929" ref="J2667"/>
    <hyperlink r:id="rId1930" ref="J2669"/>
    <hyperlink r:id="rId1931" ref="J2670"/>
    <hyperlink r:id="rId1932" ref="J2672"/>
    <hyperlink r:id="rId1933" ref="J2673"/>
    <hyperlink r:id="rId1934" ref="J2674"/>
    <hyperlink r:id="rId1935" ref="J2675"/>
    <hyperlink r:id="rId1936" ref="J2676"/>
    <hyperlink r:id="rId1937" ref="J2677"/>
    <hyperlink r:id="rId1938" ref="J2678"/>
    <hyperlink r:id="rId1939" ref="J2679"/>
    <hyperlink r:id="rId1940" ref="J2680"/>
    <hyperlink r:id="rId1941" ref="J2681"/>
    <hyperlink r:id="rId1942" ref="J2682"/>
    <hyperlink r:id="rId1943" ref="J2683"/>
    <hyperlink r:id="rId1944" ref="J2684"/>
    <hyperlink r:id="rId1945" ref="J2685"/>
    <hyperlink r:id="rId1946" ref="J2686"/>
    <hyperlink r:id="rId1947" ref="J2687"/>
    <hyperlink r:id="rId1948" ref="J2688"/>
    <hyperlink r:id="rId1949" ref="J2689"/>
    <hyperlink r:id="rId1950" ref="J2690"/>
    <hyperlink r:id="rId1951" ref="J2691"/>
    <hyperlink r:id="rId1952" ref="J2692"/>
    <hyperlink r:id="rId1953" ref="J2693"/>
    <hyperlink r:id="rId1954" ref="J2694"/>
    <hyperlink r:id="rId1955" ref="J2695"/>
    <hyperlink r:id="rId1956" ref="J2696"/>
    <hyperlink r:id="rId1957" ref="J2697"/>
    <hyperlink r:id="rId1958" ref="J2698"/>
    <hyperlink r:id="rId1959" ref="J2699"/>
    <hyperlink r:id="rId1960" ref="J2700"/>
    <hyperlink r:id="rId1961" ref="J2701"/>
    <hyperlink r:id="rId1962" ref="J2702"/>
    <hyperlink r:id="rId1963" ref="J2703"/>
    <hyperlink r:id="rId1964" ref="J2704"/>
    <hyperlink r:id="rId1965" ref="J2705"/>
    <hyperlink r:id="rId1966" ref="J2706"/>
    <hyperlink r:id="rId1967" ref="J2707"/>
    <hyperlink r:id="rId1968" ref="J2708"/>
    <hyperlink r:id="rId1969" ref="J2709"/>
    <hyperlink r:id="rId1970" ref="J2710"/>
    <hyperlink r:id="rId1971" ref="J2711"/>
    <hyperlink r:id="rId1972" ref="J2712"/>
    <hyperlink r:id="rId1973" ref="J2713"/>
    <hyperlink r:id="rId1974" ref="J2714"/>
    <hyperlink r:id="rId1975" ref="J2715"/>
    <hyperlink r:id="rId1976" ref="J2716"/>
    <hyperlink r:id="rId1977" ref="J2717"/>
    <hyperlink r:id="rId1978" ref="J2718"/>
    <hyperlink r:id="rId1979" ref="J2719"/>
    <hyperlink r:id="rId1980" ref="J2720"/>
    <hyperlink r:id="rId1981" ref="J2721"/>
    <hyperlink r:id="rId1982" ref="J2722"/>
    <hyperlink r:id="rId1983" ref="J2723"/>
    <hyperlink r:id="rId1984" ref="J2724"/>
    <hyperlink r:id="rId1985" ref="J2725"/>
    <hyperlink r:id="rId1986" ref="J2726"/>
    <hyperlink r:id="rId1987" ref="J2727"/>
    <hyperlink r:id="rId1988" ref="J2728"/>
    <hyperlink r:id="rId1989" ref="J2729"/>
    <hyperlink r:id="rId1990" ref="J2730"/>
    <hyperlink r:id="rId1991" ref="J2731"/>
    <hyperlink r:id="rId1992" ref="J2732"/>
    <hyperlink r:id="rId1993" ref="J2734"/>
    <hyperlink r:id="rId1994" ref="J2735"/>
    <hyperlink r:id="rId1995" ref="J2741"/>
    <hyperlink r:id="rId1996" ref="J2748"/>
    <hyperlink r:id="rId1997" ref="J2749"/>
    <hyperlink r:id="rId1998" ref="J2750"/>
    <hyperlink r:id="rId1999" ref="J2751"/>
    <hyperlink r:id="rId2000" ref="J2752"/>
    <hyperlink r:id="rId2001" ref="J2754"/>
    <hyperlink r:id="rId2002" ref="J2755"/>
    <hyperlink r:id="rId2003" ref="J2756"/>
    <hyperlink r:id="rId2004" ref="J2757"/>
    <hyperlink r:id="rId2005" ref="J2758"/>
    <hyperlink r:id="rId2006" ref="J2759"/>
    <hyperlink r:id="rId2007" ref="J2760"/>
    <hyperlink r:id="rId2008" ref="J2761"/>
    <hyperlink r:id="rId2009" ref="J2762"/>
    <hyperlink r:id="rId2010" ref="J2763"/>
    <hyperlink r:id="rId2011" ref="J2764"/>
    <hyperlink r:id="rId2012" ref="J2765"/>
    <hyperlink r:id="rId2013" ref="J2766"/>
    <hyperlink r:id="rId2014" ref="J2767"/>
    <hyperlink r:id="rId2015" ref="J2768"/>
    <hyperlink r:id="rId2016" ref="J2769"/>
    <hyperlink r:id="rId2017" ref="J2770"/>
    <hyperlink r:id="rId2018" ref="J2771"/>
    <hyperlink r:id="rId2019" ref="J2772"/>
    <hyperlink r:id="rId2020" ref="J2773"/>
    <hyperlink r:id="rId2021" ref="J2774"/>
    <hyperlink r:id="rId2022" ref="J2775"/>
    <hyperlink r:id="rId2023" ref="J2776"/>
    <hyperlink r:id="rId2024" ref="J2777"/>
    <hyperlink r:id="rId2025" ref="J2778"/>
    <hyperlink r:id="rId2026" ref="J2779"/>
    <hyperlink r:id="rId2027" ref="J2780"/>
    <hyperlink r:id="rId2028" ref="J2781"/>
    <hyperlink r:id="rId2029" ref="J2782"/>
    <hyperlink r:id="rId2030" ref="J2783"/>
    <hyperlink r:id="rId2031" ref="J2784"/>
    <hyperlink r:id="rId2032" ref="J2788"/>
    <hyperlink r:id="rId2033" ref="J2789"/>
    <hyperlink r:id="rId2034" ref="J2790"/>
    <hyperlink r:id="rId2035" ref="J2791"/>
    <hyperlink r:id="rId2036" ref="J2792"/>
    <hyperlink r:id="rId2037" ref="J2793"/>
    <hyperlink r:id="rId2038" ref="J2794"/>
    <hyperlink r:id="rId2039" ref="J2795"/>
    <hyperlink r:id="rId2040" ref="J2796"/>
    <hyperlink r:id="rId2041" ref="J2797"/>
    <hyperlink r:id="rId2042" ref="J2798"/>
    <hyperlink r:id="rId2043" ref="J2799"/>
    <hyperlink r:id="rId2044" ref="J2800"/>
    <hyperlink r:id="rId2045" ref="J2801"/>
    <hyperlink r:id="rId2046" ref="J2802"/>
    <hyperlink r:id="rId2047" ref="J2803"/>
    <hyperlink r:id="rId2048" ref="J2804"/>
    <hyperlink r:id="rId2049" ref="J2805"/>
    <hyperlink r:id="rId2050" ref="J2806"/>
    <hyperlink r:id="rId2051" ref="J2807"/>
    <hyperlink r:id="rId2052" ref="J2808"/>
    <hyperlink r:id="rId2053" ref="J2809"/>
    <hyperlink r:id="rId2054" ref="J2810"/>
    <hyperlink r:id="rId2055" ref="J2811"/>
    <hyperlink r:id="rId2056" ref="J2812"/>
    <hyperlink r:id="rId2057" ref="J2814"/>
    <hyperlink r:id="rId2058" ref="J2815"/>
    <hyperlink r:id="rId2059" ref="J2816"/>
    <hyperlink r:id="rId2060" ref="J2817"/>
    <hyperlink r:id="rId2061" ref="J2818"/>
    <hyperlink r:id="rId2062" ref="J2819"/>
    <hyperlink r:id="rId2063" ref="J2820"/>
    <hyperlink r:id="rId2064" ref="J2821"/>
    <hyperlink r:id="rId2065" ref="J2822"/>
    <hyperlink r:id="rId2066" ref="J2823"/>
    <hyperlink r:id="rId2067" ref="J2824"/>
    <hyperlink r:id="rId2068" ref="J2825"/>
    <hyperlink r:id="rId2069" ref="J2826"/>
    <hyperlink r:id="rId2070" ref="J2827"/>
    <hyperlink r:id="rId2071" ref="J2828"/>
    <hyperlink r:id="rId2072" ref="J2829"/>
    <hyperlink r:id="rId2073" ref="J2830"/>
    <hyperlink r:id="rId2074" ref="J2831"/>
    <hyperlink r:id="rId2075" ref="J2832"/>
    <hyperlink r:id="rId2076" ref="J2833"/>
    <hyperlink r:id="rId2077" ref="J2836"/>
    <hyperlink r:id="rId2078" ref="J2837"/>
    <hyperlink r:id="rId2079" ref="J2840"/>
    <hyperlink r:id="rId2080" ref="J2843"/>
    <hyperlink r:id="rId2081" ref="J2844"/>
    <hyperlink r:id="rId2082" ref="J2845"/>
    <hyperlink r:id="rId2083" ref="J2846"/>
    <hyperlink r:id="rId2084" ref="J2847"/>
    <hyperlink r:id="rId2085" ref="J2849"/>
    <hyperlink r:id="rId2086" ref="J2850"/>
    <hyperlink r:id="rId2087" ref="J2851"/>
    <hyperlink r:id="rId2088" ref="J2852"/>
    <hyperlink r:id="rId2089" ref="J2853"/>
    <hyperlink r:id="rId2090" ref="J2856"/>
    <hyperlink r:id="rId2091" ref="J2857"/>
    <hyperlink r:id="rId2092" ref="J2858"/>
    <hyperlink r:id="rId2093" ref="J2859"/>
    <hyperlink r:id="rId2094" ref="J2861"/>
    <hyperlink r:id="rId2095" ref="J2862"/>
    <hyperlink r:id="rId2096" ref="J2863"/>
    <hyperlink r:id="rId2097" ref="J2864"/>
    <hyperlink r:id="rId2098" ref="J2865"/>
    <hyperlink r:id="rId2099" ref="J2866"/>
    <hyperlink r:id="rId2100" ref="J2867"/>
    <hyperlink r:id="rId2101" ref="J2868"/>
    <hyperlink r:id="rId2102" ref="J2869"/>
    <hyperlink r:id="rId2103" ref="J2870"/>
    <hyperlink r:id="rId2104" ref="J2871"/>
    <hyperlink r:id="rId2105" ref="J2872"/>
    <hyperlink r:id="rId2106" ref="J2873"/>
    <hyperlink r:id="rId2107" ref="J2874"/>
    <hyperlink r:id="rId2108" ref="J2875"/>
    <hyperlink r:id="rId2109" ref="J2876"/>
    <hyperlink r:id="rId2110" ref="J2877"/>
    <hyperlink r:id="rId2111" ref="J2878"/>
    <hyperlink r:id="rId2112" ref="J2879"/>
    <hyperlink r:id="rId2113" ref="J2880"/>
    <hyperlink r:id="rId2114" ref="J2881"/>
    <hyperlink r:id="rId2115" ref="J2882"/>
    <hyperlink r:id="rId2116" ref="J2883"/>
    <hyperlink r:id="rId2117" ref="J2884"/>
    <hyperlink r:id="rId2118" ref="J2885"/>
    <hyperlink r:id="rId2119" ref="J2886"/>
    <hyperlink r:id="rId2120" ref="J2887"/>
    <hyperlink r:id="rId2121" ref="J2888"/>
    <hyperlink r:id="rId2122" ref="J2889"/>
    <hyperlink r:id="rId2123" ref="J2890"/>
    <hyperlink r:id="rId2124" ref="J2891"/>
    <hyperlink r:id="rId2125" ref="J2892"/>
    <hyperlink r:id="rId2126" ref="J2893"/>
    <hyperlink r:id="rId2127" ref="J2894"/>
    <hyperlink r:id="rId2128" ref="J2895"/>
    <hyperlink r:id="rId2129" ref="J2897"/>
    <hyperlink r:id="rId2130" ref="J2898"/>
    <hyperlink r:id="rId2131" ref="J2899"/>
    <hyperlink r:id="rId2132" ref="J2900"/>
    <hyperlink r:id="rId2133" ref="J2901"/>
    <hyperlink r:id="rId2134" ref="J2902"/>
    <hyperlink r:id="rId2135" ref="J2903"/>
    <hyperlink r:id="rId2136" ref="J2904"/>
    <hyperlink r:id="rId2137" ref="J2905"/>
    <hyperlink r:id="rId2138" ref="J2906"/>
    <hyperlink r:id="rId2139" ref="J2907"/>
    <hyperlink r:id="rId2140" ref="J2908"/>
    <hyperlink r:id="rId2141" ref="J2909"/>
    <hyperlink r:id="rId2142" ref="J2910"/>
    <hyperlink r:id="rId2143" ref="J2911"/>
    <hyperlink r:id="rId2144" ref="J2912"/>
    <hyperlink r:id="rId2145" ref="J2913"/>
    <hyperlink r:id="rId2146" ref="J2914"/>
    <hyperlink r:id="rId2147" ref="J2915"/>
    <hyperlink r:id="rId2148" ref="J2916"/>
    <hyperlink r:id="rId2149" ref="J2917"/>
    <hyperlink r:id="rId2150" ref="J2918"/>
    <hyperlink r:id="rId2151" ref="J2919"/>
    <hyperlink r:id="rId2152" ref="J2920"/>
    <hyperlink r:id="rId2153" ref="J2921"/>
    <hyperlink r:id="rId2154" ref="J2922"/>
    <hyperlink r:id="rId2155" ref="J2923"/>
    <hyperlink r:id="rId2156" ref="J2924"/>
    <hyperlink r:id="rId2157" ref="J2925"/>
    <hyperlink r:id="rId2158" ref="J2926"/>
    <hyperlink r:id="rId2159" ref="J2927"/>
    <hyperlink r:id="rId2160" ref="J2928"/>
    <hyperlink r:id="rId2161" ref="J2929"/>
    <hyperlink r:id="rId2162" ref="J2933"/>
    <hyperlink r:id="rId2163" ref="J2934"/>
    <hyperlink r:id="rId2164" ref="J2935"/>
    <hyperlink r:id="rId2165" ref="J2936"/>
    <hyperlink r:id="rId2166" ref="J2937"/>
    <hyperlink r:id="rId2167" ref="J2938"/>
    <hyperlink r:id="rId2168" ref="J2939"/>
    <hyperlink r:id="rId2169" ref="J2940"/>
    <hyperlink r:id="rId2170" ref="J2941"/>
    <hyperlink r:id="rId2171" ref="J2942"/>
    <hyperlink r:id="rId2172" ref="J2943"/>
    <hyperlink r:id="rId2173" ref="J2944"/>
    <hyperlink r:id="rId2174" ref="J2945"/>
    <hyperlink r:id="rId2175" ref="J2946"/>
    <hyperlink r:id="rId2176" ref="J2947"/>
    <hyperlink r:id="rId2177" ref="J2948"/>
    <hyperlink r:id="rId2178" ref="J2949"/>
    <hyperlink r:id="rId2179" ref="J2950"/>
    <hyperlink r:id="rId2180" ref="J2951"/>
    <hyperlink r:id="rId2181" ref="J2952"/>
    <hyperlink r:id="rId2182" ref="J2953"/>
    <hyperlink r:id="rId2183" ref="J2954"/>
    <hyperlink r:id="rId2184" ref="J2955"/>
    <hyperlink r:id="rId2185" ref="J2956"/>
    <hyperlink r:id="rId2186" ref="J2957"/>
    <hyperlink r:id="rId2187" ref="J2958"/>
    <hyperlink r:id="rId2188" ref="J2959"/>
    <hyperlink r:id="rId2189" ref="J2960"/>
    <hyperlink r:id="rId2190" ref="J2961"/>
    <hyperlink r:id="rId2191" ref="J2962"/>
    <hyperlink r:id="rId2192" ref="J2963"/>
    <hyperlink r:id="rId2193" ref="J2964"/>
    <hyperlink r:id="rId2194" ref="J2965"/>
    <hyperlink r:id="rId2195" ref="J2966"/>
    <hyperlink r:id="rId2196" ref="J2967"/>
    <hyperlink r:id="rId2197" ref="J2968"/>
    <hyperlink r:id="rId2198" ref="J2969"/>
    <hyperlink r:id="rId2199" ref="J2970"/>
    <hyperlink r:id="rId2200" ref="J2971"/>
    <hyperlink r:id="rId2201" ref="J2972"/>
    <hyperlink r:id="rId2202" ref="J2973"/>
    <hyperlink r:id="rId2203" ref="J2974"/>
    <hyperlink r:id="rId2204" ref="J2975"/>
    <hyperlink r:id="rId2205" ref="J2976"/>
    <hyperlink r:id="rId2206" ref="J2977"/>
    <hyperlink r:id="rId2207" ref="J2978"/>
    <hyperlink r:id="rId2208" ref="J2979"/>
    <hyperlink r:id="rId2209" ref="J2980"/>
    <hyperlink r:id="rId2210" ref="J2981"/>
    <hyperlink r:id="rId2211" ref="J2982"/>
    <hyperlink r:id="rId2212" ref="J2983"/>
    <hyperlink r:id="rId2213" ref="J2984"/>
    <hyperlink r:id="rId2214" ref="J2985"/>
    <hyperlink r:id="rId2215" ref="J2986"/>
    <hyperlink r:id="rId2216" ref="J2987"/>
    <hyperlink r:id="rId2217" ref="J2988"/>
    <hyperlink r:id="rId2218" ref="J2989"/>
    <hyperlink r:id="rId2219" ref="J2990"/>
    <hyperlink r:id="rId2220" ref="J2991"/>
    <hyperlink r:id="rId2221" ref="J2992"/>
    <hyperlink r:id="rId2222" ref="J2993"/>
    <hyperlink r:id="rId2223" ref="J2994"/>
    <hyperlink r:id="rId2224" ref="J2995"/>
    <hyperlink r:id="rId2225" ref="J2996"/>
    <hyperlink r:id="rId2226" ref="J2997"/>
    <hyperlink r:id="rId2227" ref="J2998"/>
    <hyperlink r:id="rId2228" ref="J2999"/>
    <hyperlink r:id="rId2229" ref="J3000"/>
    <hyperlink r:id="rId2230" ref="J3001"/>
    <hyperlink r:id="rId2231" ref="J3002"/>
    <hyperlink r:id="rId2232" ref="J3003"/>
    <hyperlink r:id="rId2233" ref="J3004"/>
    <hyperlink r:id="rId2234" ref="J3005"/>
    <hyperlink r:id="rId2235" ref="J3006"/>
    <hyperlink r:id="rId2236" ref="J3009"/>
    <hyperlink r:id="rId2237" ref="J3010"/>
    <hyperlink r:id="rId2238" ref="J3011"/>
    <hyperlink r:id="rId2239" ref="J3012"/>
    <hyperlink r:id="rId2240" ref="J3013"/>
    <hyperlink r:id="rId2241" ref="J3014"/>
    <hyperlink r:id="rId2242" ref="J3015"/>
    <hyperlink r:id="rId2243" ref="J3016"/>
    <hyperlink r:id="rId2244" ref="J3017"/>
    <hyperlink r:id="rId2245" ref="J3018"/>
    <hyperlink r:id="rId2246" ref="J3019"/>
    <hyperlink r:id="rId2247" ref="J3020"/>
    <hyperlink r:id="rId2248" ref="J3021"/>
    <hyperlink r:id="rId2249" ref="J3023"/>
    <hyperlink r:id="rId2250" ref="J3024"/>
    <hyperlink r:id="rId2251" ref="J3025"/>
    <hyperlink r:id="rId2252" ref="J3026"/>
    <hyperlink r:id="rId2253" ref="J3027"/>
    <hyperlink r:id="rId2254" ref="J3028"/>
    <hyperlink r:id="rId2255" ref="J3029"/>
    <hyperlink r:id="rId2256" ref="J3030"/>
    <hyperlink r:id="rId2257" ref="J3032"/>
    <hyperlink r:id="rId2258" ref="J3033"/>
    <hyperlink r:id="rId2259" ref="J3034"/>
    <hyperlink r:id="rId2260" ref="J3041"/>
    <hyperlink r:id="rId2261" ref="J3043"/>
  </hyperlinks>
  <drawing r:id="rId2262"/>
  <legacyDrawing r:id="rId2263"/>
  <tableParts count="1">
    <tablePart r:id="rId226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2345</v>
      </c>
      <c r="C1" s="1" t="s">
        <v>2346</v>
      </c>
      <c r="D1" s="1" t="s">
        <v>2347</v>
      </c>
      <c r="E1" s="1" t="s">
        <v>2348</v>
      </c>
      <c r="F1" s="1" t="s">
        <v>2349</v>
      </c>
    </row>
    <row r="2">
      <c r="A2" s="2">
        <v>8876.0</v>
      </c>
      <c r="B2" s="2" t="s">
        <v>22</v>
      </c>
      <c r="C2" s="2" t="s">
        <v>18</v>
      </c>
      <c r="D2" s="2">
        <v>5.0</v>
      </c>
      <c r="E2" s="2" t="s">
        <v>473</v>
      </c>
      <c r="F2" s="35">
        <v>46144.0</v>
      </c>
    </row>
    <row r="3">
      <c r="A3" s="2">
        <v>8876.0</v>
      </c>
      <c r="B3" s="2" t="s">
        <v>12</v>
      </c>
      <c r="C3" s="2" t="s">
        <v>18</v>
      </c>
      <c r="D3" s="2">
        <v>2.0</v>
      </c>
      <c r="E3" s="2" t="s">
        <v>473</v>
      </c>
      <c r="F3" s="35">
        <v>46153.0</v>
      </c>
    </row>
    <row r="4">
      <c r="A4" s="2">
        <v>3225.0</v>
      </c>
      <c r="B4" s="2" t="s">
        <v>22</v>
      </c>
      <c r="C4" s="2" t="s">
        <v>58</v>
      </c>
      <c r="D4" s="2">
        <v>1.0</v>
      </c>
      <c r="E4" s="2" t="s">
        <v>473</v>
      </c>
      <c r="F4" s="35">
        <v>46153.0</v>
      </c>
    </row>
    <row r="5">
      <c r="A5" s="2">
        <v>9094.0</v>
      </c>
      <c r="B5" s="2" t="s">
        <v>12</v>
      </c>
      <c r="C5" s="2" t="s">
        <v>58</v>
      </c>
      <c r="D5" s="2">
        <v>1.0</v>
      </c>
      <c r="E5" s="2" t="s">
        <v>473</v>
      </c>
      <c r="F5" s="35">
        <v>46153.0</v>
      </c>
    </row>
    <row r="6">
      <c r="A6" s="2">
        <v>9094.0</v>
      </c>
      <c r="B6" s="2" t="s">
        <v>12</v>
      </c>
      <c r="C6" s="2" t="s">
        <v>23</v>
      </c>
      <c r="D6" s="2">
        <v>1.0</v>
      </c>
      <c r="E6" s="2" t="s">
        <v>473</v>
      </c>
      <c r="F6" s="35">
        <v>46153.0</v>
      </c>
    </row>
    <row r="7">
      <c r="A7" s="2">
        <v>7957.0</v>
      </c>
      <c r="B7" s="2" t="s">
        <v>22</v>
      </c>
      <c r="C7" s="2" t="s">
        <v>23</v>
      </c>
      <c r="D7" s="2">
        <v>1.0</v>
      </c>
      <c r="E7" s="2" t="s">
        <v>473</v>
      </c>
      <c r="F7" s="35">
        <v>46153.0</v>
      </c>
    </row>
    <row r="8">
      <c r="A8" s="2" t="s">
        <v>376</v>
      </c>
      <c r="B8" s="2">
        <v>39.0</v>
      </c>
      <c r="C8" s="2" t="s">
        <v>26</v>
      </c>
      <c r="D8" s="33">
        <v>1.0</v>
      </c>
      <c r="E8" s="2" t="s">
        <v>473</v>
      </c>
      <c r="F8" s="35">
        <v>46153.0</v>
      </c>
    </row>
    <row r="9">
      <c r="A9" s="2" t="s">
        <v>269</v>
      </c>
      <c r="B9" s="2">
        <v>35.0</v>
      </c>
      <c r="C9" s="2" t="s">
        <v>18</v>
      </c>
      <c r="D9" s="2">
        <v>1.0</v>
      </c>
      <c r="E9" s="2" t="s">
        <v>473</v>
      </c>
      <c r="F9" s="35">
        <v>46153.0</v>
      </c>
    </row>
    <row r="10">
      <c r="A10" s="2" t="s">
        <v>269</v>
      </c>
      <c r="B10" s="2">
        <v>40.0</v>
      </c>
      <c r="C10" s="2" t="s">
        <v>18</v>
      </c>
      <c r="D10" s="2">
        <v>1.0</v>
      </c>
      <c r="E10" s="2" t="s">
        <v>473</v>
      </c>
      <c r="F10" s="35">
        <v>46153.0</v>
      </c>
    </row>
    <row r="11">
      <c r="A11" s="2" t="s">
        <v>269</v>
      </c>
      <c r="B11" s="2">
        <v>39.0</v>
      </c>
      <c r="C11" s="2" t="s">
        <v>18</v>
      </c>
      <c r="D11" s="2">
        <v>1.0</v>
      </c>
      <c r="E11" s="2" t="s">
        <v>473</v>
      </c>
      <c r="F11" s="35">
        <v>46153.0</v>
      </c>
    </row>
    <row r="12">
      <c r="A12" s="2">
        <v>6612.0</v>
      </c>
      <c r="B12" s="2" t="s">
        <v>46</v>
      </c>
      <c r="C12" s="2">
        <v>5.0</v>
      </c>
      <c r="D12" s="33">
        <v>1.0</v>
      </c>
      <c r="E12" s="2" t="s">
        <v>473</v>
      </c>
      <c r="F12" s="35">
        <v>46177.0</v>
      </c>
    </row>
    <row r="13">
      <c r="A13" s="2">
        <v>1639.0</v>
      </c>
      <c r="B13" s="2" t="s">
        <v>12</v>
      </c>
      <c r="C13" s="2" t="s">
        <v>770</v>
      </c>
      <c r="D13" s="33">
        <v>1.0</v>
      </c>
      <c r="E13" s="2" t="s">
        <v>473</v>
      </c>
      <c r="F13" s="35">
        <v>46176.0</v>
      </c>
    </row>
    <row r="14">
      <c r="A14" s="2">
        <v>1639.0</v>
      </c>
      <c r="B14" s="2" t="s">
        <v>22</v>
      </c>
      <c r="C14" s="2" t="s">
        <v>770</v>
      </c>
      <c r="D14" s="33">
        <v>1.0</v>
      </c>
      <c r="E14" s="2" t="s">
        <v>473</v>
      </c>
      <c r="F14" s="35">
        <v>46176.0</v>
      </c>
    </row>
    <row r="15">
      <c r="A15" s="2" t="s">
        <v>763</v>
      </c>
      <c r="B15" s="2" t="s">
        <v>46</v>
      </c>
      <c r="C15" s="2" t="s">
        <v>1847</v>
      </c>
      <c r="D15" s="33">
        <v>1.0</v>
      </c>
      <c r="E15" s="2" t="s">
        <v>473</v>
      </c>
      <c r="F15" s="35">
        <v>46176.0</v>
      </c>
    </row>
    <row r="16">
      <c r="A16" s="2">
        <v>9094.0</v>
      </c>
      <c r="B16" s="2" t="s">
        <v>22</v>
      </c>
      <c r="C16" s="2" t="s">
        <v>16</v>
      </c>
      <c r="D16" s="33">
        <v>2.0</v>
      </c>
      <c r="E16" s="2" t="s">
        <v>473</v>
      </c>
      <c r="F16" s="35">
        <v>46176.0</v>
      </c>
    </row>
    <row r="17">
      <c r="A17" s="2">
        <v>5007.0</v>
      </c>
      <c r="B17" s="2" t="s">
        <v>22</v>
      </c>
      <c r="C17" s="2" t="s">
        <v>18</v>
      </c>
      <c r="D17" s="33">
        <v>1.0</v>
      </c>
      <c r="E17" s="2" t="s">
        <v>1183</v>
      </c>
      <c r="F17" s="35">
        <v>46178.0</v>
      </c>
    </row>
    <row r="18">
      <c r="A18" s="2" t="s">
        <v>1294</v>
      </c>
      <c r="B18" s="2">
        <v>36.0</v>
      </c>
      <c r="C18" s="2" t="s">
        <v>26</v>
      </c>
      <c r="D18" s="33">
        <v>2.0</v>
      </c>
      <c r="E18" s="2" t="s">
        <v>473</v>
      </c>
      <c r="F18" s="35">
        <v>46178.0</v>
      </c>
    </row>
    <row r="19">
      <c r="A19" s="2" t="s">
        <v>959</v>
      </c>
      <c r="B19" s="2" t="s">
        <v>12</v>
      </c>
      <c r="C19" s="2" t="s">
        <v>18</v>
      </c>
      <c r="D19" s="33">
        <v>3.0</v>
      </c>
      <c r="E19" s="2" t="s">
        <v>473</v>
      </c>
      <c r="F19" s="35">
        <v>46183.0</v>
      </c>
    </row>
    <row r="20">
      <c r="A20" s="2" t="s">
        <v>1202</v>
      </c>
      <c r="B20" s="2" t="s">
        <v>22</v>
      </c>
      <c r="C20" s="2" t="s">
        <v>13</v>
      </c>
      <c r="D20" s="33">
        <v>1.0</v>
      </c>
      <c r="E20" s="2" t="s">
        <v>473</v>
      </c>
      <c r="F20" s="35">
        <v>46182.0</v>
      </c>
    </row>
    <row r="21">
      <c r="A21" s="2" t="s">
        <v>1185</v>
      </c>
      <c r="B21" s="2" t="s">
        <v>989</v>
      </c>
      <c r="C21" s="2" t="s">
        <v>18</v>
      </c>
      <c r="D21" s="33">
        <v>1.0</v>
      </c>
      <c r="E21" s="2" t="s">
        <v>473</v>
      </c>
      <c r="F21" s="35">
        <v>46182.0</v>
      </c>
    </row>
    <row r="22">
      <c r="A22" s="2" t="s">
        <v>1185</v>
      </c>
      <c r="B22" s="2" t="s">
        <v>989</v>
      </c>
      <c r="C22" s="2" t="s">
        <v>23</v>
      </c>
      <c r="D22" s="33">
        <v>1.0</v>
      </c>
      <c r="E22" s="2" t="s">
        <v>473</v>
      </c>
      <c r="F22" s="35">
        <v>46182.0</v>
      </c>
    </row>
    <row r="23">
      <c r="A23" s="2" t="s">
        <v>1524</v>
      </c>
      <c r="B23" s="2" t="s">
        <v>46</v>
      </c>
      <c r="C23" s="2" t="s">
        <v>198</v>
      </c>
      <c r="D23" s="33">
        <v>1.0</v>
      </c>
      <c r="E23" s="2" t="s">
        <v>473</v>
      </c>
      <c r="F23" s="35">
        <v>46182.0</v>
      </c>
    </row>
    <row r="24">
      <c r="A24" s="2" t="s">
        <v>1471</v>
      </c>
      <c r="B24" s="2" t="s">
        <v>46</v>
      </c>
      <c r="C24" s="2" t="s">
        <v>198</v>
      </c>
      <c r="D24" s="33">
        <v>2.0</v>
      </c>
      <c r="E24" s="2" t="s">
        <v>473</v>
      </c>
      <c r="F24" s="35">
        <v>46182.0</v>
      </c>
    </row>
    <row r="25">
      <c r="A25" s="2" t="s">
        <v>1471</v>
      </c>
      <c r="B25" s="2" t="s">
        <v>46</v>
      </c>
      <c r="C25" s="2" t="s">
        <v>338</v>
      </c>
      <c r="D25" s="33">
        <v>2.0</v>
      </c>
      <c r="E25" s="2" t="s">
        <v>473</v>
      </c>
      <c r="F25" s="35">
        <v>46182.0</v>
      </c>
    </row>
    <row r="26">
      <c r="A26" s="2">
        <v>9425.0</v>
      </c>
      <c r="B26" s="2" t="s">
        <v>22</v>
      </c>
      <c r="C26" s="2" t="s">
        <v>58</v>
      </c>
      <c r="D26" s="33">
        <v>2.0</v>
      </c>
      <c r="E26" s="2" t="s">
        <v>473</v>
      </c>
      <c r="F26" s="35">
        <v>46182.0</v>
      </c>
    </row>
    <row r="27">
      <c r="A27" s="2">
        <v>5709.0</v>
      </c>
      <c r="B27" s="2" t="s">
        <v>12</v>
      </c>
      <c r="C27" s="2" t="s">
        <v>340</v>
      </c>
      <c r="D27" s="33">
        <v>2.0</v>
      </c>
      <c r="E27" s="2" t="s">
        <v>473</v>
      </c>
      <c r="F27" s="35">
        <v>46183.0</v>
      </c>
    </row>
    <row r="28">
      <c r="A28" s="2">
        <v>9031.0</v>
      </c>
      <c r="B28" s="2" t="s">
        <v>22</v>
      </c>
      <c r="C28" s="2" t="s">
        <v>13</v>
      </c>
      <c r="D28" s="33">
        <v>1.0</v>
      </c>
      <c r="E28" s="2" t="s">
        <v>1183</v>
      </c>
      <c r="F28" s="35">
        <v>46184.0</v>
      </c>
    </row>
    <row r="29">
      <c r="A29" s="2">
        <v>5670.0</v>
      </c>
      <c r="B29" s="2" t="s">
        <v>12</v>
      </c>
      <c r="C29" s="2" t="s">
        <v>13</v>
      </c>
      <c r="D29" s="33">
        <v>2.0</v>
      </c>
      <c r="E29" s="2" t="s">
        <v>473</v>
      </c>
      <c r="F29" s="35">
        <v>46184.0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9" t="s">
        <v>0</v>
      </c>
      <c r="B1" s="39" t="s">
        <v>1</v>
      </c>
      <c r="C1" s="39" t="s">
        <v>2</v>
      </c>
      <c r="D1" s="39" t="s">
        <v>3</v>
      </c>
      <c r="E1" s="39" t="s">
        <v>4</v>
      </c>
      <c r="F1" s="39" t="s">
        <v>5</v>
      </c>
      <c r="G1" s="39" t="s">
        <v>6</v>
      </c>
      <c r="H1" s="39" t="s">
        <v>7</v>
      </c>
      <c r="I1" s="39" t="s">
        <v>8</v>
      </c>
      <c r="J1" s="39" t="s">
        <v>9</v>
      </c>
    </row>
    <row r="2">
      <c r="A2" s="2" t="s">
        <v>129</v>
      </c>
      <c r="B2" s="2" t="s">
        <v>268</v>
      </c>
      <c r="C2" s="2" t="s">
        <v>269</v>
      </c>
      <c r="D2" s="33">
        <v>37.0</v>
      </c>
      <c r="E2" s="2" t="s">
        <v>18</v>
      </c>
      <c r="F2" s="33">
        <v>1.0</v>
      </c>
      <c r="G2" s="33">
        <v>1990.0</v>
      </c>
      <c r="H2" s="40">
        <v>46100.0</v>
      </c>
      <c r="I2" s="2" t="s">
        <v>14</v>
      </c>
    </row>
    <row r="3">
      <c r="A3" s="2" t="s">
        <v>297</v>
      </c>
      <c r="B3" s="2" t="s">
        <v>268</v>
      </c>
      <c r="C3" s="2" t="s">
        <v>269</v>
      </c>
      <c r="D3" s="33">
        <v>36.0</v>
      </c>
      <c r="E3" s="2" t="s">
        <v>47</v>
      </c>
      <c r="F3" s="33">
        <v>1.0</v>
      </c>
      <c r="G3" s="33">
        <v>1990.0</v>
      </c>
      <c r="H3" s="40">
        <v>46100.0</v>
      </c>
      <c r="I3" s="2" t="s">
        <v>14</v>
      </c>
    </row>
    <row r="4">
      <c r="A4" s="2" t="s">
        <v>326</v>
      </c>
      <c r="B4" s="2" t="s">
        <v>268</v>
      </c>
      <c r="C4" s="2" t="s">
        <v>269</v>
      </c>
      <c r="D4" s="33">
        <v>35.0</v>
      </c>
      <c r="E4" s="2" t="s">
        <v>18</v>
      </c>
      <c r="F4" s="33">
        <v>1.0</v>
      </c>
      <c r="G4" s="33">
        <v>1990.0</v>
      </c>
      <c r="H4" s="40">
        <v>46104.0</v>
      </c>
      <c r="I4" s="2" t="s">
        <v>14</v>
      </c>
    </row>
    <row r="5">
      <c r="A5" s="2" t="s">
        <v>326</v>
      </c>
      <c r="B5" s="2" t="s">
        <v>268</v>
      </c>
      <c r="C5" s="2" t="s">
        <v>269</v>
      </c>
      <c r="D5" s="33">
        <v>35.0</v>
      </c>
      <c r="E5" s="2" t="s">
        <v>18</v>
      </c>
      <c r="F5" s="33">
        <v>1.0</v>
      </c>
      <c r="G5" s="33">
        <v>1990.0</v>
      </c>
      <c r="H5" s="40">
        <v>46104.0</v>
      </c>
      <c r="I5" s="2" t="s">
        <v>14</v>
      </c>
    </row>
    <row r="6">
      <c r="A6" s="2" t="s">
        <v>326</v>
      </c>
      <c r="B6" s="2" t="s">
        <v>268</v>
      </c>
      <c r="C6" s="2" t="s">
        <v>269</v>
      </c>
      <c r="D6" s="33">
        <v>35.0</v>
      </c>
      <c r="E6" s="2" t="s">
        <v>18</v>
      </c>
      <c r="F6" s="33">
        <v>1.0</v>
      </c>
      <c r="G6" s="33">
        <v>1990.0</v>
      </c>
      <c r="H6" s="40">
        <v>46104.0</v>
      </c>
      <c r="I6" s="2" t="s">
        <v>14</v>
      </c>
    </row>
    <row r="7">
      <c r="A7" s="2" t="s">
        <v>326</v>
      </c>
      <c r="B7" s="2" t="s">
        <v>268</v>
      </c>
      <c r="C7" s="2" t="s">
        <v>269</v>
      </c>
      <c r="D7" s="33">
        <v>35.0</v>
      </c>
      <c r="E7" s="2" t="s">
        <v>18</v>
      </c>
      <c r="F7" s="33">
        <v>1.0</v>
      </c>
      <c r="G7" s="33">
        <v>1990.0</v>
      </c>
      <c r="H7" s="40">
        <v>46104.0</v>
      </c>
      <c r="I7" s="2" t="s">
        <v>14</v>
      </c>
    </row>
    <row r="8">
      <c r="A8" s="2" t="s">
        <v>326</v>
      </c>
      <c r="B8" s="2" t="s">
        <v>268</v>
      </c>
      <c r="C8" s="2" t="s">
        <v>269</v>
      </c>
      <c r="D8" s="33">
        <v>35.0</v>
      </c>
      <c r="E8" s="2" t="s">
        <v>18</v>
      </c>
      <c r="F8" s="33">
        <v>1.0</v>
      </c>
      <c r="G8" s="33">
        <v>1990.0</v>
      </c>
      <c r="H8" s="40">
        <v>46104.0</v>
      </c>
      <c r="I8" s="2" t="s">
        <v>14</v>
      </c>
    </row>
    <row r="9">
      <c r="A9" s="2" t="s">
        <v>633</v>
      </c>
      <c r="B9" s="2" t="s">
        <v>268</v>
      </c>
      <c r="C9" s="2" t="s">
        <v>269</v>
      </c>
      <c r="D9" s="33">
        <v>39.0</v>
      </c>
      <c r="E9" s="2" t="s">
        <v>18</v>
      </c>
      <c r="F9" s="33">
        <v>1.0</v>
      </c>
      <c r="G9" s="33">
        <v>1990.0</v>
      </c>
      <c r="H9" s="40">
        <v>46110.0</v>
      </c>
      <c r="I9" s="2" t="s">
        <v>14</v>
      </c>
      <c r="J9" s="12" t="s">
        <v>634</v>
      </c>
    </row>
    <row r="10">
      <c r="A10" s="2" t="s">
        <v>633</v>
      </c>
      <c r="B10" s="2" t="s">
        <v>268</v>
      </c>
      <c r="C10" s="2" t="s">
        <v>269</v>
      </c>
      <c r="D10" s="33">
        <v>39.0</v>
      </c>
      <c r="E10" s="2" t="s">
        <v>18</v>
      </c>
      <c r="F10" s="33">
        <v>1.0</v>
      </c>
      <c r="G10" s="33">
        <v>1990.0</v>
      </c>
      <c r="H10" s="40">
        <v>46110.0</v>
      </c>
      <c r="I10" s="2" t="s">
        <v>14</v>
      </c>
      <c r="J10" s="12" t="s">
        <v>634</v>
      </c>
    </row>
    <row r="11">
      <c r="A11" s="2" t="s">
        <v>633</v>
      </c>
      <c r="B11" s="2" t="s">
        <v>268</v>
      </c>
      <c r="C11" s="2" t="s">
        <v>269</v>
      </c>
      <c r="D11" s="33">
        <v>39.0</v>
      </c>
      <c r="E11" s="2" t="s">
        <v>18</v>
      </c>
      <c r="F11" s="33">
        <v>1.0</v>
      </c>
      <c r="G11" s="33">
        <v>1990.0</v>
      </c>
      <c r="H11" s="40">
        <v>46110.0</v>
      </c>
      <c r="I11" s="2" t="s">
        <v>14</v>
      </c>
      <c r="J11" s="12" t="s">
        <v>634</v>
      </c>
    </row>
    <row r="12">
      <c r="A12" s="2" t="s">
        <v>633</v>
      </c>
      <c r="B12" s="2" t="s">
        <v>268</v>
      </c>
      <c r="C12" s="2" t="s">
        <v>269</v>
      </c>
      <c r="D12" s="33">
        <v>39.0</v>
      </c>
      <c r="E12" s="2" t="s">
        <v>18</v>
      </c>
      <c r="F12" s="33">
        <v>1.0</v>
      </c>
      <c r="G12" s="33">
        <v>1990.0</v>
      </c>
      <c r="H12" s="40">
        <v>46110.0</v>
      </c>
      <c r="I12" s="2" t="s">
        <v>14</v>
      </c>
      <c r="J12" s="12" t="s">
        <v>634</v>
      </c>
    </row>
    <row r="13">
      <c r="A13" s="2" t="s">
        <v>633</v>
      </c>
      <c r="B13" s="2" t="s">
        <v>268</v>
      </c>
      <c r="C13" s="2" t="s">
        <v>269</v>
      </c>
      <c r="D13" s="33">
        <v>39.0</v>
      </c>
      <c r="E13" s="2" t="s">
        <v>18</v>
      </c>
      <c r="F13" s="33">
        <v>1.0</v>
      </c>
      <c r="G13" s="33">
        <v>1990.0</v>
      </c>
      <c r="H13" s="40">
        <v>46110.0</v>
      </c>
      <c r="I13" s="2" t="s">
        <v>14</v>
      </c>
      <c r="J13" s="12" t="s">
        <v>634</v>
      </c>
    </row>
    <row r="14">
      <c r="A14" s="2" t="s">
        <v>633</v>
      </c>
      <c r="B14" s="2" t="s">
        <v>268</v>
      </c>
      <c r="C14" s="2" t="s">
        <v>269</v>
      </c>
      <c r="D14" s="33">
        <v>39.0</v>
      </c>
      <c r="E14" s="2" t="s">
        <v>18</v>
      </c>
      <c r="F14" s="33">
        <v>1.0</v>
      </c>
      <c r="G14" s="33">
        <v>1990.0</v>
      </c>
      <c r="H14" s="40">
        <v>46110.0</v>
      </c>
      <c r="I14" s="2" t="s">
        <v>14</v>
      </c>
      <c r="J14" s="12" t="s">
        <v>634</v>
      </c>
    </row>
    <row r="15">
      <c r="A15" s="2" t="s">
        <v>804</v>
      </c>
      <c r="B15" s="2" t="s">
        <v>377</v>
      </c>
      <c r="C15" s="2" t="s">
        <v>378</v>
      </c>
      <c r="D15" s="2" t="s">
        <v>46</v>
      </c>
      <c r="E15" s="2" t="s">
        <v>13</v>
      </c>
      <c r="F15" s="33">
        <v>1.0</v>
      </c>
      <c r="G15" s="33">
        <v>750.0</v>
      </c>
      <c r="H15" s="40">
        <v>46118.0</v>
      </c>
      <c r="I15" s="2" t="s">
        <v>14</v>
      </c>
      <c r="J15" s="12" t="s">
        <v>805</v>
      </c>
    </row>
    <row r="16">
      <c r="A16" s="2" t="s">
        <v>835</v>
      </c>
      <c r="B16" s="2" t="s">
        <v>377</v>
      </c>
      <c r="C16" s="2" t="s">
        <v>378</v>
      </c>
      <c r="D16" s="2" t="s">
        <v>46</v>
      </c>
      <c r="E16" s="2" t="s">
        <v>23</v>
      </c>
      <c r="F16" s="33">
        <v>1.0</v>
      </c>
      <c r="G16" s="33">
        <v>750.0</v>
      </c>
      <c r="H16" s="40">
        <v>46118.0</v>
      </c>
      <c r="I16" s="2" t="s">
        <v>14</v>
      </c>
      <c r="J16" s="12" t="s">
        <v>836</v>
      </c>
    </row>
    <row r="17">
      <c r="A17" s="2" t="s">
        <v>835</v>
      </c>
      <c r="B17" s="2" t="s">
        <v>377</v>
      </c>
      <c r="C17" s="2" t="s">
        <v>378</v>
      </c>
      <c r="D17" s="2" t="s">
        <v>46</v>
      </c>
      <c r="E17" s="2" t="s">
        <v>23</v>
      </c>
      <c r="F17" s="33">
        <v>1.0</v>
      </c>
      <c r="G17" s="33">
        <v>750.0</v>
      </c>
      <c r="H17" s="40">
        <v>46118.0</v>
      </c>
      <c r="I17" s="2" t="s">
        <v>14</v>
      </c>
      <c r="J17" s="12" t="s">
        <v>836</v>
      </c>
    </row>
    <row r="18">
      <c r="A18" s="2" t="s">
        <v>835</v>
      </c>
      <c r="B18" s="2" t="s">
        <v>377</v>
      </c>
      <c r="C18" s="2" t="s">
        <v>378</v>
      </c>
      <c r="D18" s="2" t="s">
        <v>46</v>
      </c>
      <c r="E18" s="2" t="s">
        <v>23</v>
      </c>
      <c r="F18" s="33">
        <v>1.0</v>
      </c>
      <c r="G18" s="33">
        <v>750.0</v>
      </c>
      <c r="H18" s="40">
        <v>46118.0</v>
      </c>
      <c r="I18" s="2" t="s">
        <v>14</v>
      </c>
      <c r="J18" s="12" t="s">
        <v>836</v>
      </c>
    </row>
    <row r="19">
      <c r="A19" s="2" t="s">
        <v>835</v>
      </c>
      <c r="B19" s="2" t="s">
        <v>377</v>
      </c>
      <c r="C19" s="2" t="s">
        <v>378</v>
      </c>
      <c r="D19" s="2" t="s">
        <v>46</v>
      </c>
      <c r="E19" s="2" t="s">
        <v>23</v>
      </c>
      <c r="F19" s="33">
        <v>1.0</v>
      </c>
      <c r="G19" s="33">
        <v>750.0</v>
      </c>
      <c r="H19" s="40">
        <v>46118.0</v>
      </c>
      <c r="I19" s="2" t="s">
        <v>14</v>
      </c>
      <c r="J19" s="12" t="s">
        <v>836</v>
      </c>
    </row>
    <row r="20">
      <c r="A20" s="2" t="s">
        <v>63</v>
      </c>
      <c r="B20" s="2" t="s">
        <v>440</v>
      </c>
      <c r="C20" s="2" t="s">
        <v>441</v>
      </c>
      <c r="D20" s="2" t="s">
        <v>46</v>
      </c>
      <c r="E20" s="2" t="s">
        <v>47</v>
      </c>
      <c r="F20" s="33">
        <v>1.0</v>
      </c>
      <c r="G20" s="33">
        <v>1200.0</v>
      </c>
      <c r="H20" s="40">
        <v>46123.0</v>
      </c>
      <c r="I20" s="2" t="s">
        <v>14</v>
      </c>
      <c r="J20" s="12" t="s">
        <v>602</v>
      </c>
    </row>
    <row r="21">
      <c r="A21" s="2" t="s">
        <v>63</v>
      </c>
      <c r="B21" s="2" t="s">
        <v>440</v>
      </c>
      <c r="C21" s="2" t="s">
        <v>441</v>
      </c>
      <c r="D21" s="2" t="s">
        <v>46</v>
      </c>
      <c r="E21" s="2" t="s">
        <v>47</v>
      </c>
      <c r="F21" s="33">
        <v>1.0</v>
      </c>
      <c r="G21" s="33">
        <v>1200.0</v>
      </c>
      <c r="H21" s="40">
        <v>46123.0</v>
      </c>
      <c r="I21" s="2" t="s">
        <v>14</v>
      </c>
      <c r="J21" s="12" t="s">
        <v>602</v>
      </c>
    </row>
    <row r="22">
      <c r="A22" s="2" t="s">
        <v>911</v>
      </c>
      <c r="B22" s="2" t="s">
        <v>97</v>
      </c>
      <c r="C22" s="33">
        <v>8748.0</v>
      </c>
      <c r="D22" s="2" t="s">
        <v>12</v>
      </c>
      <c r="E22" s="2" t="s">
        <v>58</v>
      </c>
      <c r="F22" s="33">
        <v>1.0</v>
      </c>
      <c r="G22" s="33">
        <v>1800.0</v>
      </c>
      <c r="H22" s="40">
        <v>46125.0</v>
      </c>
      <c r="I22" s="2" t="s">
        <v>14</v>
      </c>
    </row>
    <row r="23">
      <c r="A23" s="2" t="s">
        <v>911</v>
      </c>
      <c r="B23" s="2" t="s">
        <v>97</v>
      </c>
      <c r="C23" s="33">
        <v>8748.0</v>
      </c>
      <c r="D23" s="2" t="s">
        <v>12</v>
      </c>
      <c r="E23" s="2" t="s">
        <v>58</v>
      </c>
      <c r="F23" s="33">
        <v>1.0</v>
      </c>
      <c r="G23" s="33">
        <v>1800.0</v>
      </c>
      <c r="H23" s="40">
        <v>46125.0</v>
      </c>
      <c r="I23" s="2" t="s">
        <v>14</v>
      </c>
    </row>
    <row r="24">
      <c r="A24" s="2" t="s">
        <v>911</v>
      </c>
      <c r="B24" s="2" t="s">
        <v>97</v>
      </c>
      <c r="C24" s="33">
        <v>8748.0</v>
      </c>
      <c r="D24" s="2" t="s">
        <v>12</v>
      </c>
      <c r="E24" s="2" t="s">
        <v>58</v>
      </c>
      <c r="F24" s="33">
        <v>1.0</v>
      </c>
      <c r="G24" s="33">
        <v>1800.0</v>
      </c>
      <c r="H24" s="40">
        <v>46125.0</v>
      </c>
      <c r="I24" s="2" t="s">
        <v>14</v>
      </c>
    </row>
    <row r="25">
      <c r="A25" s="2" t="s">
        <v>265</v>
      </c>
      <c r="B25" s="2" t="s">
        <v>97</v>
      </c>
      <c r="C25" s="33">
        <v>8748.0</v>
      </c>
      <c r="D25" s="2" t="s">
        <v>75</v>
      </c>
      <c r="E25" s="2" t="s">
        <v>58</v>
      </c>
      <c r="F25" s="33">
        <v>1.0</v>
      </c>
      <c r="G25" s="33">
        <v>1800.0</v>
      </c>
      <c r="H25" s="40">
        <v>46128.0</v>
      </c>
      <c r="I25" s="2" t="s">
        <v>14</v>
      </c>
      <c r="J25" s="12" t="s">
        <v>1099</v>
      </c>
    </row>
    <row r="26">
      <c r="A26" s="2" t="s">
        <v>265</v>
      </c>
      <c r="B26" s="2" t="s">
        <v>97</v>
      </c>
      <c r="C26" s="33">
        <v>8748.0</v>
      </c>
      <c r="D26" s="2" t="s">
        <v>75</v>
      </c>
      <c r="E26" s="2" t="s">
        <v>58</v>
      </c>
      <c r="F26" s="33">
        <v>1.0</v>
      </c>
      <c r="G26" s="33">
        <v>1800.0</v>
      </c>
      <c r="H26" s="40">
        <v>46128.0</v>
      </c>
      <c r="I26" s="2" t="s">
        <v>14</v>
      </c>
      <c r="J26" s="12" t="s">
        <v>1099</v>
      </c>
    </row>
    <row r="27">
      <c r="A27" s="2" t="s">
        <v>265</v>
      </c>
      <c r="B27" s="2" t="s">
        <v>97</v>
      </c>
      <c r="C27" s="33">
        <v>8748.0</v>
      </c>
      <c r="D27" s="2" t="s">
        <v>75</v>
      </c>
      <c r="E27" s="2" t="s">
        <v>58</v>
      </c>
      <c r="F27" s="33">
        <v>1.0</v>
      </c>
      <c r="G27" s="33">
        <v>1800.0</v>
      </c>
      <c r="H27" s="40">
        <v>46128.0</v>
      </c>
      <c r="I27" s="2" t="s">
        <v>14</v>
      </c>
      <c r="J27" s="12" t="s">
        <v>1099</v>
      </c>
    </row>
    <row r="28">
      <c r="A28" s="2" t="s">
        <v>265</v>
      </c>
      <c r="B28" s="2" t="s">
        <v>97</v>
      </c>
      <c r="C28" s="33">
        <v>8748.0</v>
      </c>
      <c r="D28" s="2" t="s">
        <v>75</v>
      </c>
      <c r="E28" s="2" t="s">
        <v>58</v>
      </c>
      <c r="F28" s="33">
        <v>1.0</v>
      </c>
      <c r="G28" s="33">
        <v>1800.0</v>
      </c>
      <c r="H28" s="40">
        <v>46128.0</v>
      </c>
      <c r="I28" s="2" t="s">
        <v>14</v>
      </c>
      <c r="J28" s="12" t="s">
        <v>1099</v>
      </c>
    </row>
    <row r="29">
      <c r="A29" s="2" t="s">
        <v>265</v>
      </c>
      <c r="B29" s="2" t="s">
        <v>97</v>
      </c>
      <c r="C29" s="33">
        <v>8748.0</v>
      </c>
      <c r="D29" s="2" t="s">
        <v>75</v>
      </c>
      <c r="E29" s="2" t="s">
        <v>58</v>
      </c>
      <c r="F29" s="33">
        <v>1.0</v>
      </c>
      <c r="G29" s="33">
        <v>1800.0</v>
      </c>
      <c r="H29" s="40">
        <v>46128.0</v>
      </c>
      <c r="I29" s="2" t="s">
        <v>14</v>
      </c>
      <c r="J29" s="12" t="s">
        <v>1099</v>
      </c>
    </row>
    <row r="30">
      <c r="A30" s="2" t="s">
        <v>1209</v>
      </c>
      <c r="B30" s="2" t="s">
        <v>268</v>
      </c>
      <c r="C30" s="2" t="s">
        <v>269</v>
      </c>
      <c r="D30" s="33">
        <v>36.0</v>
      </c>
      <c r="E30" s="2" t="s">
        <v>18</v>
      </c>
      <c r="F30" s="33">
        <v>1.0</v>
      </c>
      <c r="G30" s="33">
        <v>1990.0</v>
      </c>
      <c r="H30" s="40">
        <v>46133.0</v>
      </c>
      <c r="I30" s="2" t="s">
        <v>14</v>
      </c>
    </row>
    <row r="31">
      <c r="A31" s="2" t="s">
        <v>1209</v>
      </c>
      <c r="B31" s="2" t="s">
        <v>268</v>
      </c>
      <c r="C31" s="2" t="s">
        <v>269</v>
      </c>
      <c r="D31" s="33">
        <v>36.0</v>
      </c>
      <c r="E31" s="2" t="s">
        <v>18</v>
      </c>
      <c r="F31" s="33">
        <v>1.0</v>
      </c>
      <c r="G31" s="33">
        <v>1990.0</v>
      </c>
      <c r="H31" s="40">
        <v>46133.0</v>
      </c>
      <c r="I31" s="2" t="s">
        <v>14</v>
      </c>
    </row>
    <row r="32">
      <c r="A32" s="2" t="s">
        <v>1209</v>
      </c>
      <c r="B32" s="2" t="s">
        <v>268</v>
      </c>
      <c r="C32" s="2" t="s">
        <v>269</v>
      </c>
      <c r="D32" s="33">
        <v>36.0</v>
      </c>
      <c r="E32" s="2" t="s">
        <v>18</v>
      </c>
      <c r="F32" s="33">
        <v>1.0</v>
      </c>
      <c r="G32" s="33">
        <v>1990.0</v>
      </c>
      <c r="H32" s="40">
        <v>46133.0</v>
      </c>
      <c r="I32" s="2" t="s">
        <v>14</v>
      </c>
    </row>
    <row r="33">
      <c r="A33" s="2" t="s">
        <v>1364</v>
      </c>
      <c r="B33" s="2" t="s">
        <v>268</v>
      </c>
      <c r="C33" s="2" t="s">
        <v>269</v>
      </c>
      <c r="D33" s="33">
        <v>36.0</v>
      </c>
      <c r="E33" s="2" t="s">
        <v>47</v>
      </c>
      <c r="F33" s="33">
        <v>1.0</v>
      </c>
      <c r="G33" s="33">
        <v>1990.0</v>
      </c>
      <c r="H33" s="40">
        <v>46136.0</v>
      </c>
      <c r="I33" s="2" t="s">
        <v>14</v>
      </c>
      <c r="J33" s="12" t="s">
        <v>1365</v>
      </c>
    </row>
    <row r="34">
      <c r="A34" s="2" t="s">
        <v>1379</v>
      </c>
      <c r="B34" s="2" t="s">
        <v>1380</v>
      </c>
      <c r="C34" s="2" t="s">
        <v>1381</v>
      </c>
      <c r="D34" s="33">
        <v>37.0</v>
      </c>
      <c r="E34" s="2" t="s">
        <v>198</v>
      </c>
      <c r="F34" s="33">
        <v>1.0</v>
      </c>
      <c r="G34" s="33">
        <v>6800.0</v>
      </c>
      <c r="H34" s="40">
        <v>46137.0</v>
      </c>
      <c r="I34" s="2" t="s">
        <v>14</v>
      </c>
    </row>
    <row r="35">
      <c r="A35" s="2" t="s">
        <v>1379</v>
      </c>
      <c r="B35" s="2" t="s">
        <v>1380</v>
      </c>
      <c r="C35" s="2" t="s">
        <v>1381</v>
      </c>
      <c r="D35" s="33">
        <v>37.0</v>
      </c>
      <c r="E35" s="2" t="s">
        <v>198</v>
      </c>
      <c r="F35" s="33">
        <v>1.0</v>
      </c>
      <c r="G35" s="33">
        <v>6800.0</v>
      </c>
      <c r="H35" s="40">
        <v>46137.0</v>
      </c>
      <c r="I35" s="2" t="s">
        <v>14</v>
      </c>
    </row>
    <row r="36">
      <c r="A36" s="2" t="s">
        <v>1434</v>
      </c>
      <c r="B36" s="2" t="s">
        <v>1325</v>
      </c>
      <c r="C36" s="2" t="s">
        <v>1435</v>
      </c>
      <c r="D36" s="33">
        <v>37.0</v>
      </c>
      <c r="E36" s="2" t="s">
        <v>340</v>
      </c>
      <c r="F36" s="33">
        <v>1.0</v>
      </c>
      <c r="G36" s="33">
        <v>6990.0</v>
      </c>
      <c r="H36" s="40">
        <v>46139.0</v>
      </c>
      <c r="I36" s="2" t="s">
        <v>14</v>
      </c>
    </row>
    <row r="37">
      <c r="A37" s="2" t="s">
        <v>1434</v>
      </c>
      <c r="B37" s="2" t="s">
        <v>1325</v>
      </c>
      <c r="C37" s="2" t="s">
        <v>1435</v>
      </c>
      <c r="D37" s="33">
        <v>37.0</v>
      </c>
      <c r="E37" s="2" t="s">
        <v>340</v>
      </c>
      <c r="F37" s="33">
        <v>1.0</v>
      </c>
      <c r="G37" s="33">
        <v>6990.0</v>
      </c>
      <c r="H37" s="40">
        <v>46139.0</v>
      </c>
      <c r="I37" s="2" t="s">
        <v>14</v>
      </c>
    </row>
    <row r="38">
      <c r="A38" s="2" t="s">
        <v>207</v>
      </c>
      <c r="B38" s="2" t="s">
        <v>1488</v>
      </c>
      <c r="C38" s="2" t="s">
        <v>1489</v>
      </c>
      <c r="D38" s="2" t="s">
        <v>46</v>
      </c>
      <c r="E38" s="2" t="s">
        <v>26</v>
      </c>
      <c r="F38" s="33">
        <v>2.0</v>
      </c>
      <c r="G38" s="33">
        <v>1700.0</v>
      </c>
      <c r="H38" s="40">
        <v>46141.0</v>
      </c>
      <c r="I38" s="2" t="s">
        <v>14</v>
      </c>
      <c r="J38" s="12" t="s">
        <v>1505</v>
      </c>
    </row>
    <row r="39">
      <c r="A39" s="2" t="s">
        <v>207</v>
      </c>
      <c r="B39" s="2" t="s">
        <v>1488</v>
      </c>
      <c r="C39" s="2" t="s">
        <v>1489</v>
      </c>
      <c r="D39" s="2" t="s">
        <v>46</v>
      </c>
      <c r="E39" s="2" t="s">
        <v>26</v>
      </c>
      <c r="F39" s="33">
        <v>2.0</v>
      </c>
      <c r="G39" s="33">
        <v>1700.0</v>
      </c>
      <c r="H39" s="40">
        <v>46141.0</v>
      </c>
      <c r="I39" s="2" t="s">
        <v>14</v>
      </c>
      <c r="J39" s="12" t="s">
        <v>1505</v>
      </c>
    </row>
    <row r="40">
      <c r="A40" s="2" t="s">
        <v>207</v>
      </c>
      <c r="B40" s="2" t="s">
        <v>1488</v>
      </c>
      <c r="C40" s="2" t="s">
        <v>1489</v>
      </c>
      <c r="D40" s="2" t="s">
        <v>46</v>
      </c>
      <c r="E40" s="2" t="s">
        <v>26</v>
      </c>
      <c r="F40" s="33">
        <v>2.0</v>
      </c>
      <c r="G40" s="33">
        <v>1700.0</v>
      </c>
      <c r="H40" s="40">
        <v>46141.0</v>
      </c>
      <c r="I40" s="2" t="s">
        <v>14</v>
      </c>
      <c r="J40" s="12" t="s">
        <v>1505</v>
      </c>
    </row>
    <row r="41">
      <c r="A41" s="2" t="s">
        <v>1162</v>
      </c>
      <c r="B41" s="2" t="s">
        <v>268</v>
      </c>
      <c r="C41" s="2" t="s">
        <v>269</v>
      </c>
      <c r="D41" s="33">
        <v>39.0</v>
      </c>
      <c r="E41" s="2" t="s">
        <v>18</v>
      </c>
      <c r="F41" s="33">
        <v>1.0</v>
      </c>
      <c r="G41" s="33">
        <v>1990.0</v>
      </c>
      <c r="H41" s="40">
        <v>46144.0</v>
      </c>
      <c r="I41" s="2" t="s">
        <v>14</v>
      </c>
      <c r="J41" s="12" t="s">
        <v>1164</v>
      </c>
    </row>
    <row r="42">
      <c r="A42" s="2" t="s">
        <v>1162</v>
      </c>
      <c r="B42" s="2" t="s">
        <v>268</v>
      </c>
      <c r="C42" s="2" t="s">
        <v>269</v>
      </c>
      <c r="D42" s="33">
        <v>39.0</v>
      </c>
      <c r="E42" s="2" t="s">
        <v>18</v>
      </c>
      <c r="F42" s="33">
        <v>1.0</v>
      </c>
      <c r="G42" s="33">
        <v>1990.0</v>
      </c>
      <c r="H42" s="40">
        <v>46144.0</v>
      </c>
      <c r="I42" s="2" t="s">
        <v>14</v>
      </c>
      <c r="J42" s="12" t="s">
        <v>1164</v>
      </c>
    </row>
    <row r="43">
      <c r="A43" s="2" t="s">
        <v>1162</v>
      </c>
      <c r="B43" s="2" t="s">
        <v>268</v>
      </c>
      <c r="C43" s="2" t="s">
        <v>269</v>
      </c>
      <c r="D43" s="33">
        <v>39.0</v>
      </c>
      <c r="E43" s="2" t="s">
        <v>18</v>
      </c>
      <c r="F43" s="33">
        <v>1.0</v>
      </c>
      <c r="G43" s="33">
        <v>1990.0</v>
      </c>
      <c r="H43" s="40">
        <v>46144.0</v>
      </c>
      <c r="I43" s="2" t="s">
        <v>14</v>
      </c>
      <c r="J43" s="12" t="s">
        <v>1164</v>
      </c>
    </row>
    <row r="44">
      <c r="A44" s="2" t="s">
        <v>1162</v>
      </c>
      <c r="B44" s="2" t="s">
        <v>268</v>
      </c>
      <c r="C44" s="2" t="s">
        <v>269</v>
      </c>
      <c r="D44" s="33">
        <v>39.0</v>
      </c>
      <c r="E44" s="2" t="s">
        <v>18</v>
      </c>
      <c r="F44" s="33">
        <v>1.0</v>
      </c>
      <c r="G44" s="33">
        <v>1990.0</v>
      </c>
      <c r="H44" s="40">
        <v>46144.0</v>
      </c>
      <c r="I44" s="2" t="s">
        <v>14</v>
      </c>
      <c r="J44" s="12" t="s">
        <v>1164</v>
      </c>
    </row>
    <row r="45">
      <c r="A45" s="2" t="s">
        <v>204</v>
      </c>
      <c r="B45" s="2" t="s">
        <v>958</v>
      </c>
      <c r="C45" s="2" t="s">
        <v>959</v>
      </c>
      <c r="D45" s="2" t="s">
        <v>22</v>
      </c>
      <c r="E45" s="2" t="s">
        <v>18</v>
      </c>
      <c r="F45" s="33">
        <v>1.0</v>
      </c>
      <c r="G45" s="33">
        <v>1800.0</v>
      </c>
      <c r="H45" s="40">
        <v>46148.0</v>
      </c>
      <c r="I45" s="2" t="s">
        <v>14</v>
      </c>
      <c r="J45" s="12" t="s">
        <v>834</v>
      </c>
    </row>
    <row r="46">
      <c r="A46" s="2" t="s">
        <v>204</v>
      </c>
      <c r="B46" s="2" t="s">
        <v>958</v>
      </c>
      <c r="C46" s="2" t="s">
        <v>959</v>
      </c>
      <c r="D46" s="2" t="s">
        <v>22</v>
      </c>
      <c r="E46" s="2" t="s">
        <v>18</v>
      </c>
      <c r="F46" s="33">
        <v>1.0</v>
      </c>
      <c r="G46" s="33">
        <v>1800.0</v>
      </c>
      <c r="H46" s="40">
        <v>46148.0</v>
      </c>
      <c r="I46" s="2" t="s">
        <v>14</v>
      </c>
      <c r="J46" s="12" t="s">
        <v>834</v>
      </c>
    </row>
    <row r="47">
      <c r="A47" s="2" t="s">
        <v>204</v>
      </c>
      <c r="B47" s="2" t="s">
        <v>958</v>
      </c>
      <c r="C47" s="2" t="s">
        <v>959</v>
      </c>
      <c r="D47" s="2" t="s">
        <v>22</v>
      </c>
      <c r="E47" s="2" t="s">
        <v>18</v>
      </c>
      <c r="F47" s="33">
        <v>1.0</v>
      </c>
      <c r="G47" s="33">
        <v>1800.0</v>
      </c>
      <c r="H47" s="40">
        <v>46148.0</v>
      </c>
      <c r="I47" s="2" t="s">
        <v>14</v>
      </c>
      <c r="J47" s="12" t="s">
        <v>834</v>
      </c>
    </row>
    <row r="48">
      <c r="A48" s="2" t="s">
        <v>204</v>
      </c>
      <c r="B48" s="2" t="s">
        <v>958</v>
      </c>
      <c r="C48" s="2" t="s">
        <v>959</v>
      </c>
      <c r="D48" s="2" t="s">
        <v>22</v>
      </c>
      <c r="E48" s="2" t="s">
        <v>18</v>
      </c>
      <c r="F48" s="33">
        <v>1.0</v>
      </c>
      <c r="G48" s="33">
        <v>1800.0</v>
      </c>
      <c r="H48" s="40">
        <v>46148.0</v>
      </c>
      <c r="I48" s="2" t="s">
        <v>14</v>
      </c>
      <c r="J48" s="12" t="s">
        <v>834</v>
      </c>
    </row>
    <row r="49">
      <c r="A49" s="2" t="s">
        <v>204</v>
      </c>
      <c r="B49" s="2" t="s">
        <v>958</v>
      </c>
      <c r="C49" s="2" t="s">
        <v>959</v>
      </c>
      <c r="D49" s="2" t="s">
        <v>22</v>
      </c>
      <c r="E49" s="2" t="s">
        <v>18</v>
      </c>
      <c r="F49" s="33">
        <v>1.0</v>
      </c>
      <c r="G49" s="33">
        <v>1800.0</v>
      </c>
      <c r="H49" s="40">
        <v>46148.0</v>
      </c>
      <c r="I49" s="2" t="s">
        <v>14</v>
      </c>
      <c r="J49" s="12" t="s">
        <v>834</v>
      </c>
    </row>
    <row r="50">
      <c r="A50" s="2" t="s">
        <v>204</v>
      </c>
      <c r="B50" s="2" t="s">
        <v>958</v>
      </c>
      <c r="C50" s="2" t="s">
        <v>959</v>
      </c>
      <c r="D50" s="2" t="s">
        <v>22</v>
      </c>
      <c r="E50" s="2" t="s">
        <v>18</v>
      </c>
      <c r="F50" s="33">
        <v>1.0</v>
      </c>
      <c r="G50" s="33">
        <v>1800.0</v>
      </c>
      <c r="H50" s="40">
        <v>46148.0</v>
      </c>
      <c r="I50" s="2" t="s">
        <v>14</v>
      </c>
      <c r="J50" s="12" t="s">
        <v>834</v>
      </c>
    </row>
    <row r="51">
      <c r="A51" s="2" t="s">
        <v>204</v>
      </c>
      <c r="B51" s="2" t="s">
        <v>958</v>
      </c>
      <c r="C51" s="2" t="s">
        <v>959</v>
      </c>
      <c r="D51" s="2" t="s">
        <v>22</v>
      </c>
      <c r="E51" s="2" t="s">
        <v>18</v>
      </c>
      <c r="F51" s="33">
        <v>1.0</v>
      </c>
      <c r="G51" s="33">
        <v>1800.0</v>
      </c>
      <c r="H51" s="40">
        <v>46148.0</v>
      </c>
      <c r="I51" s="2" t="s">
        <v>14</v>
      </c>
      <c r="J51" s="12" t="s">
        <v>834</v>
      </c>
    </row>
    <row r="52">
      <c r="A52" s="2" t="s">
        <v>204</v>
      </c>
      <c r="B52" s="2" t="s">
        <v>958</v>
      </c>
      <c r="C52" s="2" t="s">
        <v>959</v>
      </c>
      <c r="D52" s="2" t="s">
        <v>22</v>
      </c>
      <c r="E52" s="2" t="s">
        <v>18</v>
      </c>
      <c r="F52" s="33">
        <v>1.0</v>
      </c>
      <c r="G52" s="33">
        <v>1800.0</v>
      </c>
      <c r="H52" s="40">
        <v>46148.0</v>
      </c>
      <c r="I52" s="2" t="s">
        <v>14</v>
      </c>
      <c r="J52" s="12" t="s">
        <v>834</v>
      </c>
    </row>
    <row r="53">
      <c r="A53" s="2" t="s">
        <v>1345</v>
      </c>
      <c r="B53" s="2" t="s">
        <v>1470</v>
      </c>
      <c r="C53" s="2" t="s">
        <v>1471</v>
      </c>
      <c r="D53" s="2" t="s">
        <v>46</v>
      </c>
      <c r="E53" s="2" t="s">
        <v>198</v>
      </c>
      <c r="F53" s="33">
        <v>1.0</v>
      </c>
      <c r="G53" s="33">
        <v>990.0</v>
      </c>
      <c r="H53" s="40">
        <v>46150.0</v>
      </c>
      <c r="I53" s="2" t="s">
        <v>14</v>
      </c>
    </row>
    <row r="54">
      <c r="A54" s="2" t="s">
        <v>1345</v>
      </c>
      <c r="B54" s="2" t="s">
        <v>1470</v>
      </c>
      <c r="C54" s="2" t="s">
        <v>1471</v>
      </c>
      <c r="D54" s="2" t="s">
        <v>46</v>
      </c>
      <c r="E54" s="2" t="s">
        <v>198</v>
      </c>
      <c r="F54" s="33">
        <v>1.0</v>
      </c>
      <c r="G54" s="33">
        <v>990.0</v>
      </c>
      <c r="H54" s="40">
        <v>46150.0</v>
      </c>
      <c r="I54" s="2" t="s">
        <v>14</v>
      </c>
    </row>
    <row r="55">
      <c r="A55" s="2" t="s">
        <v>1769</v>
      </c>
      <c r="B55" s="2" t="s">
        <v>377</v>
      </c>
      <c r="C55" s="2" t="s">
        <v>378</v>
      </c>
      <c r="D55" s="2" t="s">
        <v>46</v>
      </c>
      <c r="E55" s="2" t="s">
        <v>47</v>
      </c>
      <c r="F55" s="33">
        <v>1.0</v>
      </c>
      <c r="G55" s="33">
        <v>750.0</v>
      </c>
      <c r="H55" s="40">
        <v>46158.0</v>
      </c>
      <c r="I55" s="2" t="s">
        <v>14</v>
      </c>
    </row>
    <row r="56">
      <c r="A56" s="2" t="s">
        <v>1779</v>
      </c>
      <c r="B56" s="2" t="s">
        <v>1470</v>
      </c>
      <c r="C56" s="2" t="s">
        <v>1471</v>
      </c>
      <c r="D56" s="2" t="s">
        <v>46</v>
      </c>
      <c r="E56" s="2" t="s">
        <v>198</v>
      </c>
      <c r="F56" s="33">
        <v>1.0</v>
      </c>
      <c r="G56" s="33">
        <v>990.0</v>
      </c>
      <c r="H56" s="40">
        <v>46159.0</v>
      </c>
      <c r="I56" s="2" t="s">
        <v>14</v>
      </c>
      <c r="J56" s="12" t="s">
        <v>1780</v>
      </c>
    </row>
    <row r="57">
      <c r="A57" s="2" t="s">
        <v>1142</v>
      </c>
      <c r="B57" s="2" t="s">
        <v>268</v>
      </c>
      <c r="C57" s="2" t="s">
        <v>269</v>
      </c>
      <c r="D57" s="33">
        <v>35.0</v>
      </c>
      <c r="E57" s="2" t="s">
        <v>18</v>
      </c>
      <c r="F57" s="33">
        <v>1.0</v>
      </c>
      <c r="G57" s="33">
        <v>1990.0</v>
      </c>
      <c r="H57" s="40">
        <v>46160.0</v>
      </c>
      <c r="I57" s="2" t="s">
        <v>14</v>
      </c>
      <c r="J57" s="12" t="s">
        <v>1143</v>
      </c>
    </row>
    <row r="58">
      <c r="A58" s="2" t="s">
        <v>1142</v>
      </c>
      <c r="B58" s="2" t="s">
        <v>268</v>
      </c>
      <c r="C58" s="2" t="s">
        <v>269</v>
      </c>
      <c r="D58" s="33">
        <v>35.0</v>
      </c>
      <c r="E58" s="2" t="s">
        <v>18</v>
      </c>
      <c r="F58" s="33">
        <v>1.0</v>
      </c>
      <c r="G58" s="33">
        <v>1990.0</v>
      </c>
      <c r="H58" s="40">
        <v>46160.0</v>
      </c>
      <c r="I58" s="2" t="s">
        <v>14</v>
      </c>
      <c r="J58" s="12" t="s">
        <v>1143</v>
      </c>
    </row>
    <row r="59">
      <c r="A59" s="2" t="s">
        <v>1845</v>
      </c>
      <c r="B59" s="2" t="s">
        <v>958</v>
      </c>
      <c r="C59" s="2" t="s">
        <v>959</v>
      </c>
      <c r="D59" s="2" t="s">
        <v>22</v>
      </c>
      <c r="E59" s="2" t="s">
        <v>18</v>
      </c>
      <c r="F59" s="33">
        <v>1.0</v>
      </c>
      <c r="G59" s="33">
        <v>1800.0</v>
      </c>
      <c r="H59" s="40">
        <v>46162.0</v>
      </c>
      <c r="I59" s="2" t="s">
        <v>14</v>
      </c>
      <c r="J59" s="12" t="s">
        <v>1846</v>
      </c>
    </row>
    <row r="60">
      <c r="A60" s="2" t="s">
        <v>71</v>
      </c>
      <c r="B60" s="2" t="s">
        <v>762</v>
      </c>
      <c r="C60" s="2" t="s">
        <v>763</v>
      </c>
      <c r="D60" s="33">
        <v>39.0</v>
      </c>
      <c r="E60" s="2" t="s">
        <v>1854</v>
      </c>
      <c r="F60" s="33">
        <v>1.0</v>
      </c>
      <c r="G60" s="33">
        <v>1.0</v>
      </c>
      <c r="H60" s="40">
        <v>46163.0</v>
      </c>
      <c r="I60" s="2" t="s">
        <v>14</v>
      </c>
      <c r="J60" s="12" t="s">
        <v>955</v>
      </c>
    </row>
    <row r="61">
      <c r="A61" s="2" t="s">
        <v>1882</v>
      </c>
      <c r="B61" s="2" t="s">
        <v>97</v>
      </c>
      <c r="C61" s="33">
        <v>8748.0</v>
      </c>
      <c r="D61" s="2" t="s">
        <v>22</v>
      </c>
      <c r="E61" s="2" t="s">
        <v>58</v>
      </c>
      <c r="F61" s="33">
        <v>1.0</v>
      </c>
      <c r="G61" s="33">
        <v>1800.0</v>
      </c>
      <c r="H61" s="40">
        <v>46164.0</v>
      </c>
      <c r="I61" s="2" t="s">
        <v>14</v>
      </c>
      <c r="J61" s="12" t="s">
        <v>1883</v>
      </c>
    </row>
    <row r="62">
      <c r="A62" s="2" t="s">
        <v>1882</v>
      </c>
      <c r="B62" s="2" t="s">
        <v>97</v>
      </c>
      <c r="C62" s="33">
        <v>8748.0</v>
      </c>
      <c r="D62" s="2" t="s">
        <v>22</v>
      </c>
      <c r="E62" s="2" t="s">
        <v>58</v>
      </c>
      <c r="F62" s="33">
        <v>1.0</v>
      </c>
      <c r="G62" s="33">
        <v>1800.0</v>
      </c>
      <c r="H62" s="40">
        <v>46164.0</v>
      </c>
      <c r="I62" s="2" t="s">
        <v>14</v>
      </c>
      <c r="J62" s="12" t="s">
        <v>1883</v>
      </c>
    </row>
    <row r="63">
      <c r="A63" s="2" t="s">
        <v>1229</v>
      </c>
      <c r="B63" s="2" t="s">
        <v>1376</v>
      </c>
      <c r="C63" s="2" t="s">
        <v>1377</v>
      </c>
      <c r="D63" s="33">
        <v>37.0</v>
      </c>
      <c r="E63" s="2" t="s">
        <v>47</v>
      </c>
      <c r="F63" s="33">
        <v>1.0</v>
      </c>
      <c r="G63" s="33">
        <v>7000.0</v>
      </c>
      <c r="H63" s="40">
        <v>46166.0</v>
      </c>
      <c r="I63" s="2" t="s">
        <v>14</v>
      </c>
      <c r="J63" s="12" t="s">
        <v>1230</v>
      </c>
    </row>
    <row r="64">
      <c r="A64" s="2" t="s">
        <v>1229</v>
      </c>
      <c r="B64" s="2" t="s">
        <v>1376</v>
      </c>
      <c r="C64" s="2" t="s">
        <v>1377</v>
      </c>
      <c r="D64" s="33">
        <v>37.0</v>
      </c>
      <c r="E64" s="2" t="s">
        <v>47</v>
      </c>
      <c r="F64" s="33">
        <v>1.0</v>
      </c>
      <c r="G64" s="33">
        <v>7000.0</v>
      </c>
      <c r="H64" s="40">
        <v>46166.0</v>
      </c>
      <c r="I64" s="2" t="s">
        <v>14</v>
      </c>
      <c r="J64" s="12" t="s">
        <v>1230</v>
      </c>
    </row>
    <row r="65">
      <c r="A65" s="2" t="s">
        <v>79</v>
      </c>
      <c r="B65" s="2" t="s">
        <v>268</v>
      </c>
      <c r="C65" s="2" t="s">
        <v>269</v>
      </c>
      <c r="D65" s="33">
        <v>36.0</v>
      </c>
      <c r="E65" s="2" t="s">
        <v>18</v>
      </c>
      <c r="F65" s="33">
        <v>1.0</v>
      </c>
      <c r="G65" s="33">
        <v>1990.0</v>
      </c>
      <c r="H65" s="40">
        <v>46168.0</v>
      </c>
      <c r="I65" s="2" t="s">
        <v>14</v>
      </c>
    </row>
    <row r="66">
      <c r="A66" s="2" t="s">
        <v>79</v>
      </c>
      <c r="B66" s="2" t="s">
        <v>268</v>
      </c>
      <c r="C66" s="2" t="s">
        <v>269</v>
      </c>
      <c r="D66" s="33">
        <v>36.0</v>
      </c>
      <c r="E66" s="2" t="s">
        <v>18</v>
      </c>
      <c r="F66" s="33">
        <v>1.0</v>
      </c>
      <c r="G66" s="33">
        <v>1990.0</v>
      </c>
      <c r="H66" s="40">
        <v>46168.0</v>
      </c>
      <c r="I66" s="2" t="s">
        <v>14</v>
      </c>
    </row>
    <row r="67">
      <c r="A67" s="2" t="s">
        <v>79</v>
      </c>
      <c r="B67" s="2" t="s">
        <v>268</v>
      </c>
      <c r="C67" s="2" t="s">
        <v>269</v>
      </c>
      <c r="D67" s="33">
        <v>36.0</v>
      </c>
      <c r="E67" s="2" t="s">
        <v>18</v>
      </c>
      <c r="F67" s="33">
        <v>1.0</v>
      </c>
      <c r="G67" s="33">
        <v>1990.0</v>
      </c>
      <c r="H67" s="40">
        <v>46168.0</v>
      </c>
      <c r="I67" s="2" t="s">
        <v>14</v>
      </c>
    </row>
    <row r="68">
      <c r="A68" s="2" t="s">
        <v>79</v>
      </c>
      <c r="B68" s="2" t="s">
        <v>268</v>
      </c>
      <c r="C68" s="2" t="s">
        <v>269</v>
      </c>
      <c r="D68" s="33">
        <v>36.0</v>
      </c>
      <c r="E68" s="2" t="s">
        <v>18</v>
      </c>
      <c r="F68" s="33">
        <v>1.0</v>
      </c>
      <c r="G68" s="33">
        <v>1990.0</v>
      </c>
      <c r="H68" s="40">
        <v>46168.0</v>
      </c>
      <c r="I68" s="2" t="s">
        <v>14</v>
      </c>
    </row>
    <row r="69">
      <c r="A69" s="2" t="s">
        <v>79</v>
      </c>
      <c r="B69" s="2" t="s">
        <v>268</v>
      </c>
      <c r="C69" s="2" t="s">
        <v>269</v>
      </c>
      <c r="D69" s="33">
        <v>36.0</v>
      </c>
      <c r="E69" s="2" t="s">
        <v>18</v>
      </c>
      <c r="F69" s="33">
        <v>1.0</v>
      </c>
      <c r="G69" s="33">
        <v>1990.0</v>
      </c>
      <c r="H69" s="40">
        <v>46168.0</v>
      </c>
      <c r="I69" s="2" t="s">
        <v>14</v>
      </c>
    </row>
    <row r="70">
      <c r="A70" s="2" t="s">
        <v>79</v>
      </c>
      <c r="B70" s="2" t="s">
        <v>268</v>
      </c>
      <c r="C70" s="2" t="s">
        <v>269</v>
      </c>
      <c r="D70" s="33">
        <v>36.0</v>
      </c>
      <c r="E70" s="2" t="s">
        <v>18</v>
      </c>
      <c r="F70" s="33">
        <v>1.0</v>
      </c>
      <c r="G70" s="33">
        <v>1990.0</v>
      </c>
      <c r="H70" s="40">
        <v>46168.0</v>
      </c>
      <c r="I70" s="2" t="s">
        <v>14</v>
      </c>
    </row>
    <row r="71">
      <c r="A71" s="2" t="s">
        <v>2017</v>
      </c>
      <c r="B71" s="2" t="s">
        <v>762</v>
      </c>
      <c r="C71" s="2" t="s">
        <v>763</v>
      </c>
      <c r="D71" s="33">
        <v>37.0</v>
      </c>
      <c r="E71" s="2" t="s">
        <v>2018</v>
      </c>
      <c r="F71" s="33">
        <v>1.0</v>
      </c>
      <c r="G71" s="33">
        <v>1.0</v>
      </c>
      <c r="H71" s="40">
        <v>46174.0</v>
      </c>
      <c r="I71" s="2" t="s">
        <v>14</v>
      </c>
    </row>
    <row r="72">
      <c r="A72" s="2" t="s">
        <v>2017</v>
      </c>
      <c r="B72" s="2" t="s">
        <v>762</v>
      </c>
      <c r="C72" s="2" t="s">
        <v>763</v>
      </c>
      <c r="D72" s="33">
        <v>37.0</v>
      </c>
      <c r="E72" s="2" t="s">
        <v>2018</v>
      </c>
      <c r="F72" s="33">
        <v>1.0</v>
      </c>
      <c r="G72" s="33">
        <v>1.0</v>
      </c>
      <c r="H72" s="40">
        <v>46174.0</v>
      </c>
      <c r="I72" s="2" t="s">
        <v>14</v>
      </c>
    </row>
    <row r="73">
      <c r="A73" s="2" t="s">
        <v>2135</v>
      </c>
      <c r="B73" s="2" t="s">
        <v>196</v>
      </c>
      <c r="C73" s="33">
        <v>8876.0</v>
      </c>
      <c r="D73" s="2" t="s">
        <v>22</v>
      </c>
      <c r="E73" s="2" t="s">
        <v>18</v>
      </c>
      <c r="F73" s="33">
        <v>1.0</v>
      </c>
      <c r="G73" s="33">
        <v>990.0</v>
      </c>
      <c r="H73" s="40">
        <v>46176.0</v>
      </c>
      <c r="I73" s="2" t="s">
        <v>14</v>
      </c>
      <c r="J73" s="12" t="s">
        <v>2136</v>
      </c>
    </row>
    <row r="74">
      <c r="A74" s="2" t="s">
        <v>208</v>
      </c>
      <c r="B74" s="2" t="s">
        <v>961</v>
      </c>
      <c r="C74" s="33">
        <v>6612.0</v>
      </c>
      <c r="D74" s="2" t="s">
        <v>46</v>
      </c>
      <c r="E74" s="33">
        <v>5.0</v>
      </c>
      <c r="F74" s="33">
        <v>1.0</v>
      </c>
      <c r="G74" s="33">
        <v>850.0</v>
      </c>
      <c r="H74" s="40">
        <v>46177.0</v>
      </c>
      <c r="I74" s="2" t="s">
        <v>14</v>
      </c>
    </row>
    <row r="75">
      <c r="A75" s="2" t="s">
        <v>1340</v>
      </c>
      <c r="B75" s="2" t="s">
        <v>365</v>
      </c>
      <c r="C75" s="33">
        <v>9094.0</v>
      </c>
      <c r="D75" s="2" t="s">
        <v>22</v>
      </c>
      <c r="E75" s="2" t="s">
        <v>58</v>
      </c>
      <c r="F75" s="33">
        <v>1.0</v>
      </c>
      <c r="G75" s="33">
        <v>2400.0</v>
      </c>
      <c r="H75" s="40">
        <v>46178.0</v>
      </c>
      <c r="I75" s="2" t="s">
        <v>14</v>
      </c>
      <c r="J75" s="12" t="s">
        <v>1341</v>
      </c>
    </row>
    <row r="76">
      <c r="A76" s="2" t="s">
        <v>1340</v>
      </c>
      <c r="B76" s="2" t="s">
        <v>365</v>
      </c>
      <c r="C76" s="33">
        <v>9094.0</v>
      </c>
      <c r="D76" s="2" t="s">
        <v>22</v>
      </c>
      <c r="E76" s="2" t="s">
        <v>58</v>
      </c>
      <c r="F76" s="33">
        <v>1.0</v>
      </c>
      <c r="G76" s="33">
        <v>2400.0</v>
      </c>
      <c r="H76" s="40">
        <v>46178.0</v>
      </c>
      <c r="I76" s="2" t="s">
        <v>14</v>
      </c>
      <c r="J76" s="12" t="s">
        <v>1341</v>
      </c>
    </row>
  </sheetData>
  <hyperlinks>
    <hyperlink r:id="rId1" ref="J9"/>
    <hyperlink r:id="rId2" ref="J10"/>
    <hyperlink r:id="rId3" ref="J11"/>
    <hyperlink r:id="rId4" ref="J12"/>
    <hyperlink r:id="rId5" ref="J13"/>
    <hyperlink r:id="rId6" ref="J14"/>
    <hyperlink r:id="rId7" ref="J15"/>
    <hyperlink r:id="rId8" ref="J16"/>
    <hyperlink r:id="rId9" ref="J17"/>
    <hyperlink r:id="rId10" ref="J18"/>
    <hyperlink r:id="rId11" ref="J19"/>
    <hyperlink r:id="rId12" ref="J20"/>
    <hyperlink r:id="rId13" ref="J21"/>
    <hyperlink r:id="rId14" ref="J25"/>
    <hyperlink r:id="rId15" ref="J26"/>
    <hyperlink r:id="rId16" ref="J27"/>
    <hyperlink r:id="rId17" ref="J28"/>
    <hyperlink r:id="rId18" ref="J29"/>
    <hyperlink r:id="rId19" ref="J33"/>
    <hyperlink r:id="rId20" ref="J38"/>
    <hyperlink r:id="rId21" ref="J39"/>
    <hyperlink r:id="rId22" ref="J40"/>
    <hyperlink r:id="rId23" ref="J41"/>
    <hyperlink r:id="rId24" ref="J42"/>
    <hyperlink r:id="rId25" ref="J43"/>
    <hyperlink r:id="rId26" ref="J44"/>
    <hyperlink r:id="rId27" ref="J45"/>
    <hyperlink r:id="rId28" ref="J46"/>
    <hyperlink r:id="rId29" ref="J47"/>
    <hyperlink r:id="rId30" ref="J48"/>
    <hyperlink r:id="rId31" ref="J49"/>
    <hyperlink r:id="rId32" ref="J50"/>
    <hyperlink r:id="rId33" ref="J51"/>
    <hyperlink r:id="rId34" ref="J52"/>
    <hyperlink r:id="rId35" ref="J56"/>
    <hyperlink r:id="rId36" ref="J57"/>
    <hyperlink r:id="rId37" ref="J58"/>
    <hyperlink r:id="rId38" ref="J59"/>
    <hyperlink r:id="rId39" ref="J60"/>
    <hyperlink r:id="rId40" ref="J61"/>
    <hyperlink r:id="rId41" ref="J62"/>
    <hyperlink r:id="rId42" ref="J63"/>
    <hyperlink r:id="rId43" ref="J64"/>
    <hyperlink r:id="rId44" ref="J73"/>
    <hyperlink r:id="rId45" ref="J75"/>
    <hyperlink r:id="rId46" ref="J76"/>
  </hyperlinks>
  <drawing r:id="rId4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16.25"/>
    <col customWidth="1" min="5" max="5" width="13.38"/>
  </cols>
  <sheetData>
    <row r="1" ht="22.5" customHeight="1">
      <c r="A1" s="41" t="s">
        <v>2</v>
      </c>
      <c r="B1" s="41" t="s">
        <v>2345</v>
      </c>
      <c r="C1" s="42" t="s">
        <v>2346</v>
      </c>
      <c r="D1" s="41" t="s">
        <v>2350</v>
      </c>
      <c r="E1" s="41" t="s">
        <v>2351</v>
      </c>
      <c r="F1" s="43" t="s">
        <v>2352</v>
      </c>
    </row>
    <row r="2" ht="22.5" customHeight="1">
      <c r="A2" s="44">
        <v>7398.0</v>
      </c>
      <c r="B2" s="44" t="s">
        <v>12</v>
      </c>
      <c r="C2" s="44" t="s">
        <v>13</v>
      </c>
      <c r="D2" s="44">
        <v>1.0</v>
      </c>
      <c r="E2" s="45">
        <v>46098.0</v>
      </c>
      <c r="F2" s="46"/>
    </row>
    <row r="3" ht="22.5" customHeight="1">
      <c r="A3" s="44">
        <v>7436.0</v>
      </c>
      <c r="B3" s="44" t="s">
        <v>22</v>
      </c>
      <c r="C3" s="44" t="s">
        <v>58</v>
      </c>
      <c r="D3" s="44">
        <v>1.0</v>
      </c>
      <c r="E3" s="45">
        <v>46098.0</v>
      </c>
      <c r="F3" s="46"/>
    </row>
    <row r="4" ht="22.5" customHeight="1">
      <c r="A4" s="44">
        <v>7458.0</v>
      </c>
      <c r="B4" s="44" t="s">
        <v>12</v>
      </c>
      <c r="C4" s="44" t="s">
        <v>18</v>
      </c>
      <c r="D4" s="44">
        <v>2.0</v>
      </c>
      <c r="E4" s="45">
        <v>46098.0</v>
      </c>
      <c r="F4" s="46"/>
    </row>
    <row r="5" ht="22.5" customHeight="1">
      <c r="A5" s="44">
        <v>7910.0</v>
      </c>
      <c r="B5" s="44" t="s">
        <v>22</v>
      </c>
      <c r="C5" s="44" t="s">
        <v>13</v>
      </c>
      <c r="D5" s="44">
        <v>1.0</v>
      </c>
      <c r="E5" s="45">
        <v>46098.0</v>
      </c>
      <c r="F5" s="46"/>
    </row>
    <row r="6" ht="22.5" customHeight="1">
      <c r="A6" s="44">
        <v>7910.0</v>
      </c>
      <c r="B6" s="44" t="s">
        <v>12</v>
      </c>
      <c r="C6" s="44" t="s">
        <v>18</v>
      </c>
      <c r="D6" s="44">
        <v>1.0</v>
      </c>
      <c r="E6" s="45">
        <v>46098.0</v>
      </c>
      <c r="F6" s="46"/>
    </row>
    <row r="7" ht="22.5" customHeight="1">
      <c r="A7" s="44">
        <v>7910.0</v>
      </c>
      <c r="B7" s="44" t="s">
        <v>12</v>
      </c>
      <c r="C7" s="44" t="s">
        <v>26</v>
      </c>
      <c r="D7" s="44">
        <v>1.0</v>
      </c>
      <c r="E7" s="45">
        <v>46098.0</v>
      </c>
      <c r="F7" s="46"/>
    </row>
    <row r="8" ht="22.5" customHeight="1">
      <c r="A8" s="44">
        <v>8625.0</v>
      </c>
      <c r="B8" s="44" t="s">
        <v>12</v>
      </c>
      <c r="C8" s="44" t="s">
        <v>58</v>
      </c>
      <c r="D8" s="44">
        <v>4.0</v>
      </c>
      <c r="E8" s="45">
        <v>46098.0</v>
      </c>
      <c r="F8" s="46"/>
    </row>
    <row r="9" ht="22.5" customHeight="1">
      <c r="A9" s="44">
        <v>8625.0</v>
      </c>
      <c r="B9" s="44" t="s">
        <v>22</v>
      </c>
      <c r="C9" s="44" t="s">
        <v>58</v>
      </c>
      <c r="D9" s="44">
        <v>1.0</v>
      </c>
      <c r="E9" s="45">
        <v>46098.0</v>
      </c>
      <c r="F9" s="46"/>
    </row>
    <row r="10" ht="22.5" customHeight="1">
      <c r="A10" s="44">
        <v>7398.0</v>
      </c>
      <c r="B10" s="44" t="s">
        <v>12</v>
      </c>
      <c r="C10" s="44" t="s">
        <v>18</v>
      </c>
      <c r="D10" s="44">
        <v>2.0</v>
      </c>
      <c r="E10" s="45">
        <v>46098.0</v>
      </c>
      <c r="F10" s="47"/>
    </row>
    <row r="11" ht="22.5" customHeight="1">
      <c r="A11" s="44">
        <v>7398.0</v>
      </c>
      <c r="B11" s="44" t="s">
        <v>12</v>
      </c>
      <c r="C11" s="44" t="s">
        <v>23</v>
      </c>
      <c r="D11" s="44">
        <v>1.0</v>
      </c>
      <c r="E11" s="45">
        <v>46098.0</v>
      </c>
      <c r="F11" s="47"/>
    </row>
    <row r="12" ht="22.5" customHeight="1">
      <c r="A12" s="44">
        <v>7458.0</v>
      </c>
      <c r="B12" s="44" t="s">
        <v>22</v>
      </c>
      <c r="C12" s="44" t="s">
        <v>18</v>
      </c>
      <c r="D12" s="44">
        <v>3.0</v>
      </c>
      <c r="E12" s="45">
        <v>46098.0</v>
      </c>
      <c r="F12" s="46"/>
    </row>
    <row r="13" ht="22.5" customHeight="1">
      <c r="A13" s="44">
        <v>7859.0</v>
      </c>
      <c r="B13" s="44" t="s">
        <v>46</v>
      </c>
      <c r="C13" s="44" t="s">
        <v>16</v>
      </c>
      <c r="D13" s="44">
        <v>7.0</v>
      </c>
      <c r="E13" s="45">
        <v>46098.0</v>
      </c>
      <c r="F13" s="47"/>
    </row>
    <row r="14" ht="22.5" customHeight="1">
      <c r="A14" s="44">
        <v>7859.0</v>
      </c>
      <c r="B14" s="44" t="s">
        <v>46</v>
      </c>
      <c r="C14" s="44" t="s">
        <v>47</v>
      </c>
      <c r="D14" s="44">
        <v>5.0</v>
      </c>
      <c r="E14" s="45">
        <v>46098.0</v>
      </c>
      <c r="F14" s="47"/>
    </row>
    <row r="15" ht="22.5" customHeight="1">
      <c r="A15" s="44">
        <v>7910.0</v>
      </c>
      <c r="B15" s="44" t="s">
        <v>12</v>
      </c>
      <c r="C15" s="44" t="s">
        <v>13</v>
      </c>
      <c r="D15" s="44">
        <v>2.0</v>
      </c>
      <c r="E15" s="45">
        <v>46098.0</v>
      </c>
      <c r="F15" s="47"/>
    </row>
    <row r="16" ht="22.5" customHeight="1">
      <c r="A16" s="44">
        <v>7957.0</v>
      </c>
      <c r="B16" s="44" t="s">
        <v>12</v>
      </c>
      <c r="C16" s="44" t="s">
        <v>18</v>
      </c>
      <c r="D16" s="44">
        <v>3.0</v>
      </c>
      <c r="E16" s="45">
        <v>46098.0</v>
      </c>
      <c r="F16" s="47"/>
    </row>
    <row r="17" ht="22.5" customHeight="1">
      <c r="A17" s="44">
        <v>7957.0</v>
      </c>
      <c r="B17" s="44" t="s">
        <v>22</v>
      </c>
      <c r="C17" s="44" t="s">
        <v>18</v>
      </c>
      <c r="D17" s="44">
        <v>3.0</v>
      </c>
      <c r="E17" s="45">
        <v>46098.0</v>
      </c>
      <c r="F17" s="47"/>
    </row>
    <row r="18" ht="22.5" customHeight="1">
      <c r="A18" s="44">
        <v>7957.0</v>
      </c>
      <c r="B18" s="44" t="s">
        <v>12</v>
      </c>
      <c r="C18" s="44" t="s">
        <v>23</v>
      </c>
      <c r="D18" s="44">
        <v>1.0</v>
      </c>
      <c r="E18" s="45">
        <v>46098.0</v>
      </c>
      <c r="F18" s="47"/>
    </row>
    <row r="19" ht="22.5" customHeight="1">
      <c r="A19" s="44">
        <v>7957.0</v>
      </c>
      <c r="B19" s="44" t="s">
        <v>22</v>
      </c>
      <c r="C19" s="44" t="s">
        <v>23</v>
      </c>
      <c r="D19" s="44">
        <v>2.0</v>
      </c>
      <c r="E19" s="45">
        <v>46098.0</v>
      </c>
      <c r="F19" s="47"/>
    </row>
    <row r="20" ht="22.5" customHeight="1">
      <c r="A20" s="44">
        <v>7957.0</v>
      </c>
      <c r="B20" s="44" t="s">
        <v>12</v>
      </c>
      <c r="C20" s="44" t="s">
        <v>47</v>
      </c>
      <c r="D20" s="44">
        <v>2.0</v>
      </c>
      <c r="E20" s="45">
        <v>46098.0</v>
      </c>
      <c r="F20" s="47"/>
    </row>
    <row r="21" ht="22.5" customHeight="1">
      <c r="A21" s="44">
        <v>8514.0</v>
      </c>
      <c r="B21" s="44" t="s">
        <v>12</v>
      </c>
      <c r="C21" s="44" t="s">
        <v>47</v>
      </c>
      <c r="D21" s="44">
        <v>4.0</v>
      </c>
      <c r="E21" s="45">
        <v>46098.0</v>
      </c>
      <c r="F21" s="47"/>
    </row>
    <row r="22" ht="22.5" customHeight="1">
      <c r="A22" s="44">
        <v>8514.0</v>
      </c>
      <c r="B22" s="44" t="s">
        <v>22</v>
      </c>
      <c r="C22" s="44" t="s">
        <v>47</v>
      </c>
      <c r="D22" s="44">
        <v>1.0</v>
      </c>
      <c r="E22" s="45">
        <v>46098.0</v>
      </c>
      <c r="F22" s="47"/>
    </row>
    <row r="23" ht="22.5" customHeight="1">
      <c r="A23" s="44">
        <v>8646.0</v>
      </c>
      <c r="B23" s="44" t="s">
        <v>46</v>
      </c>
      <c r="C23" s="44" t="s">
        <v>47</v>
      </c>
      <c r="D23" s="44">
        <v>6.0</v>
      </c>
      <c r="E23" s="45">
        <v>46098.0</v>
      </c>
      <c r="F23" s="47"/>
    </row>
    <row r="24" ht="22.5" customHeight="1">
      <c r="A24" s="44">
        <v>8646.0</v>
      </c>
      <c r="B24" s="44" t="s">
        <v>46</v>
      </c>
      <c r="C24" s="44" t="s">
        <v>23</v>
      </c>
      <c r="D24" s="44">
        <v>3.0</v>
      </c>
      <c r="E24" s="45">
        <v>46098.0</v>
      </c>
      <c r="F24" s="47"/>
    </row>
    <row r="25" ht="22.5" customHeight="1">
      <c r="A25" s="44">
        <v>8740.0</v>
      </c>
      <c r="B25" s="44" t="s">
        <v>12</v>
      </c>
      <c r="C25" s="44" t="s">
        <v>13</v>
      </c>
      <c r="D25" s="44">
        <v>15.0</v>
      </c>
      <c r="E25" s="45">
        <v>46101.0</v>
      </c>
      <c r="F25" s="47"/>
    </row>
    <row r="26" ht="22.5" customHeight="1">
      <c r="A26" s="44">
        <v>8886.0</v>
      </c>
      <c r="B26" s="44" t="s">
        <v>12</v>
      </c>
      <c r="C26" s="44" t="s">
        <v>23</v>
      </c>
      <c r="D26" s="44">
        <v>4.0</v>
      </c>
      <c r="E26" s="45">
        <v>46101.0</v>
      </c>
      <c r="F26" s="47"/>
    </row>
    <row r="27" ht="22.5" customHeight="1">
      <c r="A27" s="44">
        <v>8886.0</v>
      </c>
      <c r="B27" s="44" t="s">
        <v>12</v>
      </c>
      <c r="C27" s="44" t="s">
        <v>20</v>
      </c>
      <c r="D27" s="44">
        <v>1.0</v>
      </c>
      <c r="E27" s="45">
        <v>46101.0</v>
      </c>
      <c r="F27" s="47"/>
    </row>
    <row r="28" ht="22.5" customHeight="1">
      <c r="A28" s="44">
        <v>7249.0</v>
      </c>
      <c r="B28" s="44" t="s">
        <v>12</v>
      </c>
      <c r="C28" s="44" t="s">
        <v>58</v>
      </c>
      <c r="D28" s="44">
        <v>4.0</v>
      </c>
      <c r="E28" s="45">
        <v>46101.0</v>
      </c>
      <c r="F28" s="47"/>
    </row>
    <row r="29" ht="22.5" customHeight="1">
      <c r="A29" s="44">
        <v>7739.0</v>
      </c>
      <c r="B29" s="44" t="s">
        <v>12</v>
      </c>
      <c r="C29" s="44" t="s">
        <v>26</v>
      </c>
      <c r="D29" s="44">
        <v>3.0</v>
      </c>
      <c r="E29" s="45">
        <v>46101.0</v>
      </c>
      <c r="F29" s="47"/>
    </row>
    <row r="30" ht="22.5" customHeight="1">
      <c r="A30" s="44">
        <v>7739.0</v>
      </c>
      <c r="B30" s="44" t="s">
        <v>22</v>
      </c>
      <c r="C30" s="44" t="s">
        <v>26</v>
      </c>
      <c r="D30" s="44">
        <v>3.0</v>
      </c>
      <c r="E30" s="45">
        <v>46101.0</v>
      </c>
      <c r="F30" s="47"/>
    </row>
    <row r="31" ht="22.5" customHeight="1">
      <c r="A31" s="44">
        <v>8319.0</v>
      </c>
      <c r="B31" s="44" t="s">
        <v>12</v>
      </c>
      <c r="C31" s="44" t="s">
        <v>58</v>
      </c>
      <c r="D31" s="44">
        <v>9.0</v>
      </c>
      <c r="E31" s="45">
        <v>46101.0</v>
      </c>
      <c r="F31" s="47"/>
    </row>
    <row r="32" ht="22.5" customHeight="1">
      <c r="A32" s="44">
        <v>8319.0</v>
      </c>
      <c r="B32" s="44" t="s">
        <v>22</v>
      </c>
      <c r="C32" s="44" t="s">
        <v>58</v>
      </c>
      <c r="D32" s="44">
        <v>7.0</v>
      </c>
      <c r="E32" s="45">
        <v>46101.0</v>
      </c>
      <c r="F32" s="47"/>
    </row>
    <row r="33" ht="22.5" customHeight="1">
      <c r="A33" s="48">
        <v>8740.0</v>
      </c>
      <c r="B33" s="48" t="s">
        <v>22</v>
      </c>
      <c r="C33" s="44" t="s">
        <v>13</v>
      </c>
      <c r="D33" s="48">
        <v>12.0</v>
      </c>
      <c r="E33" s="45">
        <v>46101.0</v>
      </c>
      <c r="F33" s="47"/>
    </row>
    <row r="34" ht="22.5" customHeight="1">
      <c r="A34" s="44">
        <v>8886.0</v>
      </c>
      <c r="B34" s="44" t="s">
        <v>12</v>
      </c>
      <c r="C34" s="48" t="s">
        <v>18</v>
      </c>
      <c r="D34" s="48">
        <v>6.0</v>
      </c>
      <c r="E34" s="45">
        <v>46101.0</v>
      </c>
      <c r="F34" s="47"/>
    </row>
    <row r="35" ht="22.5" customHeight="1">
      <c r="A35" s="44">
        <v>8886.0</v>
      </c>
      <c r="B35" s="44" t="s">
        <v>22</v>
      </c>
      <c r="C35" s="48" t="s">
        <v>18</v>
      </c>
      <c r="D35" s="48">
        <v>4.0</v>
      </c>
      <c r="E35" s="45">
        <v>46101.0</v>
      </c>
      <c r="F35" s="47"/>
    </row>
    <row r="36" ht="22.5" customHeight="1">
      <c r="A36" s="44">
        <v>8886.0</v>
      </c>
      <c r="B36" s="48" t="s">
        <v>12</v>
      </c>
      <c r="C36" s="48" t="s">
        <v>27</v>
      </c>
      <c r="D36" s="48">
        <v>1.0</v>
      </c>
      <c r="E36" s="45">
        <v>46101.0</v>
      </c>
      <c r="F36" s="47"/>
    </row>
    <row r="37" ht="22.5" customHeight="1">
      <c r="A37" s="44">
        <v>8886.0</v>
      </c>
      <c r="B37" s="48" t="s">
        <v>12</v>
      </c>
      <c r="C37" s="48" t="s">
        <v>16</v>
      </c>
      <c r="D37" s="48">
        <v>3.0</v>
      </c>
      <c r="E37" s="45">
        <v>46101.0</v>
      </c>
      <c r="F37" s="47"/>
    </row>
    <row r="38" ht="22.5" customHeight="1">
      <c r="A38" s="44">
        <v>8886.0</v>
      </c>
      <c r="B38" s="44" t="s">
        <v>22</v>
      </c>
      <c r="C38" s="44" t="s">
        <v>26</v>
      </c>
      <c r="D38" s="48">
        <v>1.0</v>
      </c>
      <c r="E38" s="45">
        <v>46101.0</v>
      </c>
      <c r="F38" s="47"/>
    </row>
    <row r="39" ht="22.5" customHeight="1">
      <c r="A39" s="48"/>
      <c r="B39" s="48"/>
      <c r="D39" s="48"/>
      <c r="E39" s="45"/>
      <c r="F39" s="47"/>
    </row>
    <row r="40" ht="22.5" customHeight="1">
      <c r="A40" s="48">
        <v>9369.0</v>
      </c>
      <c r="B40" s="44" t="s">
        <v>22</v>
      </c>
      <c r="C40" s="44" t="s">
        <v>58</v>
      </c>
      <c r="D40" s="48">
        <v>6.0</v>
      </c>
      <c r="E40" s="45">
        <v>46101.0</v>
      </c>
      <c r="F40" s="47"/>
    </row>
    <row r="41" ht="22.5" customHeight="1">
      <c r="A41" s="49">
        <v>8867.0</v>
      </c>
      <c r="B41" s="50" t="s">
        <v>12</v>
      </c>
      <c r="C41" s="50" t="s">
        <v>23</v>
      </c>
      <c r="D41" s="51">
        <v>2.0</v>
      </c>
      <c r="E41" s="52">
        <v>46105.0</v>
      </c>
      <c r="F41" s="47"/>
    </row>
    <row r="42" ht="22.5" customHeight="1">
      <c r="A42" s="53">
        <v>8876.0</v>
      </c>
      <c r="B42" s="54" t="s">
        <v>12</v>
      </c>
      <c r="C42" s="54" t="s">
        <v>13</v>
      </c>
      <c r="D42" s="55">
        <v>3.0</v>
      </c>
      <c r="E42" s="56">
        <v>46105.0</v>
      </c>
      <c r="F42" s="47"/>
    </row>
    <row r="43" ht="22.5" customHeight="1">
      <c r="A43" s="49">
        <v>8876.0</v>
      </c>
      <c r="B43" s="50" t="s">
        <v>22</v>
      </c>
      <c r="C43" s="50" t="s">
        <v>16</v>
      </c>
      <c r="D43" s="51">
        <v>1.0</v>
      </c>
      <c r="E43" s="52">
        <v>46105.0</v>
      </c>
      <c r="F43" s="47"/>
    </row>
    <row r="44" ht="22.5" customHeight="1">
      <c r="A44" s="53">
        <v>5344.0</v>
      </c>
      <c r="B44" s="54" t="s">
        <v>22</v>
      </c>
      <c r="C44" s="54" t="s">
        <v>58</v>
      </c>
      <c r="D44" s="55">
        <v>3.0</v>
      </c>
      <c r="E44" s="56">
        <v>46105.0</v>
      </c>
      <c r="F44" s="47"/>
    </row>
    <row r="45" ht="22.5" customHeight="1">
      <c r="A45" s="49">
        <v>7322.0</v>
      </c>
      <c r="B45" s="50" t="s">
        <v>12</v>
      </c>
      <c r="C45" s="50" t="s">
        <v>58</v>
      </c>
      <c r="D45" s="51">
        <v>5.0</v>
      </c>
      <c r="E45" s="52">
        <v>46105.0</v>
      </c>
      <c r="F45" s="47"/>
    </row>
    <row r="46" ht="22.5" customHeight="1">
      <c r="A46" s="53">
        <v>7322.0</v>
      </c>
      <c r="B46" s="54" t="s">
        <v>22</v>
      </c>
      <c r="C46" s="54" t="s">
        <v>58</v>
      </c>
      <c r="D46" s="55">
        <v>3.0</v>
      </c>
      <c r="E46" s="56">
        <v>46105.0</v>
      </c>
      <c r="F46" s="47"/>
    </row>
    <row r="47" ht="22.5" customHeight="1">
      <c r="A47" s="49">
        <v>7322.0</v>
      </c>
      <c r="B47" s="50" t="s">
        <v>75</v>
      </c>
      <c r="C47" s="50" t="s">
        <v>58</v>
      </c>
      <c r="D47" s="51">
        <v>2.0</v>
      </c>
      <c r="E47" s="52">
        <v>46105.0</v>
      </c>
      <c r="F47" s="47"/>
    </row>
    <row r="48" ht="22.5" customHeight="1">
      <c r="A48" s="53">
        <v>8876.0</v>
      </c>
      <c r="B48" s="54" t="s">
        <v>22</v>
      </c>
      <c r="C48" s="54" t="s">
        <v>13</v>
      </c>
      <c r="D48" s="55">
        <v>8.0</v>
      </c>
      <c r="E48" s="56">
        <v>46105.0</v>
      </c>
      <c r="F48" s="47"/>
    </row>
    <row r="49" ht="22.5" customHeight="1">
      <c r="A49" s="49">
        <v>8876.0</v>
      </c>
      <c r="B49" s="50" t="s">
        <v>22</v>
      </c>
      <c r="C49" s="50" t="s">
        <v>27</v>
      </c>
      <c r="D49" s="51">
        <v>3.0</v>
      </c>
      <c r="E49" s="52">
        <v>46105.0</v>
      </c>
      <c r="F49" s="47"/>
    </row>
    <row r="50" ht="22.5" customHeight="1">
      <c r="A50" s="53">
        <v>8740.0</v>
      </c>
      <c r="B50" s="54" t="s">
        <v>12</v>
      </c>
      <c r="C50" s="54" t="s">
        <v>47</v>
      </c>
      <c r="D50" s="55">
        <v>3.0</v>
      </c>
      <c r="E50" s="56">
        <v>46105.0</v>
      </c>
      <c r="F50" s="47"/>
    </row>
    <row r="51" ht="22.5" customHeight="1">
      <c r="A51" s="49">
        <v>8740.0</v>
      </c>
      <c r="B51" s="50" t="s">
        <v>22</v>
      </c>
      <c r="C51" s="50" t="s">
        <v>47</v>
      </c>
      <c r="D51" s="51">
        <v>4.0</v>
      </c>
      <c r="E51" s="52">
        <v>46105.0</v>
      </c>
      <c r="F51" s="47"/>
    </row>
    <row r="52" ht="22.5" customHeight="1">
      <c r="A52" s="53">
        <v>8886.0</v>
      </c>
      <c r="B52" s="54" t="s">
        <v>12</v>
      </c>
      <c r="C52" s="54" t="s">
        <v>13</v>
      </c>
      <c r="D52" s="55">
        <v>10.0</v>
      </c>
      <c r="E52" s="56">
        <v>46105.0</v>
      </c>
      <c r="F52" s="47"/>
    </row>
    <row r="53" ht="22.5" customHeight="1">
      <c r="A53" s="49">
        <v>8886.0</v>
      </c>
      <c r="B53" s="50" t="s">
        <v>12</v>
      </c>
      <c r="C53" s="50" t="s">
        <v>26</v>
      </c>
      <c r="D53" s="51">
        <v>2.0</v>
      </c>
      <c r="E53" s="52">
        <v>46105.0</v>
      </c>
      <c r="F53" s="47"/>
    </row>
    <row r="54" ht="22.5" customHeight="1">
      <c r="A54" s="53">
        <v>8886.0</v>
      </c>
      <c r="B54" s="54" t="s">
        <v>22</v>
      </c>
      <c r="C54" s="54" t="s">
        <v>26</v>
      </c>
      <c r="D54" s="55">
        <v>1.0</v>
      </c>
      <c r="E54" s="56">
        <v>46105.0</v>
      </c>
      <c r="F54" s="47"/>
    </row>
    <row r="55" ht="22.5" customHeight="1">
      <c r="A55" s="57">
        <v>8886.0</v>
      </c>
      <c r="B55" s="58" t="s">
        <v>22</v>
      </c>
      <c r="C55" s="58" t="s">
        <v>23</v>
      </c>
      <c r="D55" s="59">
        <v>1.0</v>
      </c>
      <c r="E55" s="60">
        <v>46105.0</v>
      </c>
      <c r="F55" s="47"/>
    </row>
    <row r="56" ht="22.5" customHeight="1">
      <c r="A56" s="61">
        <v>8886.0</v>
      </c>
      <c r="B56" s="62" t="s">
        <v>12</v>
      </c>
      <c r="C56" s="62" t="s">
        <v>13</v>
      </c>
      <c r="D56" s="61">
        <v>1.0</v>
      </c>
      <c r="E56" s="63">
        <v>46106.0</v>
      </c>
      <c r="F56" s="47"/>
    </row>
    <row r="57" ht="22.5" customHeight="1">
      <c r="A57" s="61">
        <v>8319.0</v>
      </c>
      <c r="B57" s="62" t="s">
        <v>12</v>
      </c>
      <c r="C57" s="62" t="s">
        <v>58</v>
      </c>
      <c r="D57" s="61">
        <v>1.0</v>
      </c>
      <c r="E57" s="63">
        <v>46106.0</v>
      </c>
      <c r="F57" s="47"/>
    </row>
    <row r="58" ht="22.5" customHeight="1">
      <c r="A58" s="61">
        <v>8886.0</v>
      </c>
      <c r="B58" s="62" t="s">
        <v>22</v>
      </c>
      <c r="C58" s="62" t="s">
        <v>23</v>
      </c>
      <c r="D58" s="61">
        <v>1.0</v>
      </c>
      <c r="E58" s="63">
        <v>46106.0</v>
      </c>
      <c r="F58" s="47"/>
    </row>
    <row r="59" ht="22.5" customHeight="1">
      <c r="A59" s="61">
        <v>7436.0</v>
      </c>
      <c r="B59" s="62" t="s">
        <v>12</v>
      </c>
      <c r="C59" s="62" t="s">
        <v>58</v>
      </c>
      <c r="D59" s="61">
        <v>2.0</v>
      </c>
      <c r="E59" s="63">
        <v>46109.0</v>
      </c>
      <c r="F59" s="47"/>
    </row>
    <row r="60" ht="22.5" customHeight="1">
      <c r="A60" s="61">
        <v>5344.0</v>
      </c>
      <c r="B60" s="62" t="s">
        <v>75</v>
      </c>
      <c r="C60" s="62" t="s">
        <v>58</v>
      </c>
      <c r="D60" s="61">
        <v>1.0</v>
      </c>
      <c r="E60" s="63">
        <v>46109.0</v>
      </c>
      <c r="F60" s="47"/>
    </row>
    <row r="61" ht="22.5" customHeight="1">
      <c r="A61" s="61">
        <v>8748.0</v>
      </c>
      <c r="B61" s="62" t="s">
        <v>22</v>
      </c>
      <c r="C61" s="62" t="s">
        <v>58</v>
      </c>
      <c r="D61" s="61">
        <v>1.0</v>
      </c>
      <c r="E61" s="63">
        <v>46109.0</v>
      </c>
      <c r="F61" s="47"/>
    </row>
    <row r="62" ht="22.5" customHeight="1">
      <c r="A62" s="61">
        <v>7436.0</v>
      </c>
      <c r="B62" s="62" t="s">
        <v>12</v>
      </c>
      <c r="C62" s="62" t="s">
        <v>58</v>
      </c>
      <c r="D62" s="61">
        <v>4.0</v>
      </c>
      <c r="E62" s="63">
        <v>46109.0</v>
      </c>
      <c r="F62" s="47"/>
    </row>
    <row r="63" ht="22.5" customHeight="1">
      <c r="A63" s="61">
        <v>7436.0</v>
      </c>
      <c r="B63" s="62" t="s">
        <v>22</v>
      </c>
      <c r="C63" s="62" t="s">
        <v>58</v>
      </c>
      <c r="D63" s="61">
        <v>2.0</v>
      </c>
      <c r="E63" s="63">
        <v>46109.0</v>
      </c>
      <c r="F63" s="47"/>
    </row>
    <row r="64" ht="22.5" customHeight="1">
      <c r="A64" s="61">
        <v>8748.0</v>
      </c>
      <c r="B64" s="62" t="s">
        <v>22</v>
      </c>
      <c r="C64" s="62" t="s">
        <v>58</v>
      </c>
      <c r="D64" s="61">
        <v>25.0</v>
      </c>
      <c r="E64" s="63">
        <v>46109.0</v>
      </c>
      <c r="F64" s="47"/>
    </row>
    <row r="65" ht="22.5" customHeight="1">
      <c r="A65" s="61">
        <v>8865.0</v>
      </c>
      <c r="B65" s="62" t="s">
        <v>12</v>
      </c>
      <c r="C65" s="62" t="s">
        <v>58</v>
      </c>
      <c r="D65" s="61">
        <v>2.0</v>
      </c>
      <c r="E65" s="63">
        <v>46109.0</v>
      </c>
      <c r="F65" s="47"/>
    </row>
    <row r="66" ht="22.5" customHeight="1">
      <c r="A66" s="61">
        <v>8876.0</v>
      </c>
      <c r="B66" s="62" t="s">
        <v>12</v>
      </c>
      <c r="C66" s="62" t="s">
        <v>13</v>
      </c>
      <c r="D66" s="61">
        <v>10.0</v>
      </c>
      <c r="E66" s="63">
        <v>46109.0</v>
      </c>
      <c r="F66" s="47"/>
    </row>
    <row r="67" ht="22.5" customHeight="1">
      <c r="A67" s="61">
        <v>8876.0</v>
      </c>
      <c r="B67" s="62" t="s">
        <v>12</v>
      </c>
      <c r="C67" s="62" t="s">
        <v>18</v>
      </c>
      <c r="D67" s="61">
        <v>7.0</v>
      </c>
      <c r="E67" s="63">
        <v>46109.0</v>
      </c>
      <c r="F67" s="47"/>
    </row>
    <row r="68" ht="22.5" customHeight="1">
      <c r="A68" s="61">
        <v>8876.0</v>
      </c>
      <c r="B68" s="62" t="s">
        <v>22</v>
      </c>
      <c r="C68" s="62" t="s">
        <v>18</v>
      </c>
      <c r="D68" s="61">
        <v>9.0</v>
      </c>
      <c r="E68" s="63">
        <v>46109.0</v>
      </c>
      <c r="F68" s="47"/>
    </row>
    <row r="69" ht="22.5" customHeight="1">
      <c r="A69" s="61">
        <v>7957.0</v>
      </c>
      <c r="B69" s="62" t="s">
        <v>12</v>
      </c>
      <c r="C69" s="62" t="s">
        <v>18</v>
      </c>
      <c r="D69" s="61">
        <v>3.0</v>
      </c>
      <c r="E69" s="63">
        <v>46109.0</v>
      </c>
      <c r="F69" s="47"/>
    </row>
    <row r="70" ht="22.5" customHeight="1">
      <c r="A70" s="61">
        <v>7957.0</v>
      </c>
      <c r="B70" s="62" t="s">
        <v>22</v>
      </c>
      <c r="C70" s="62" t="s">
        <v>18</v>
      </c>
      <c r="D70" s="61">
        <v>2.0</v>
      </c>
      <c r="E70" s="63">
        <v>46109.0</v>
      </c>
      <c r="F70" s="47"/>
    </row>
    <row r="71" ht="22.5" customHeight="1">
      <c r="A71" s="61">
        <v>8319.0</v>
      </c>
      <c r="B71" s="62" t="s">
        <v>22</v>
      </c>
      <c r="C71" s="62" t="s">
        <v>58</v>
      </c>
      <c r="D71" s="61">
        <v>2.0</v>
      </c>
      <c r="E71" s="63">
        <v>46109.0</v>
      </c>
      <c r="F71" s="47"/>
    </row>
    <row r="72" ht="22.5" customHeight="1">
      <c r="A72" s="61">
        <v>8319.0</v>
      </c>
      <c r="B72" s="62" t="s">
        <v>12</v>
      </c>
      <c r="C72" s="62" t="s">
        <v>58</v>
      </c>
      <c r="D72" s="61">
        <v>3.0</v>
      </c>
      <c r="E72" s="63">
        <v>46109.0</v>
      </c>
      <c r="F72" s="47"/>
    </row>
    <row r="73" ht="22.5" customHeight="1">
      <c r="A73" s="61">
        <v>8740.0</v>
      </c>
      <c r="B73" s="62" t="s">
        <v>12</v>
      </c>
      <c r="C73" s="62" t="s">
        <v>13</v>
      </c>
      <c r="D73" s="61">
        <v>7.0</v>
      </c>
      <c r="E73" s="63">
        <v>46109.0</v>
      </c>
      <c r="F73" s="47"/>
    </row>
    <row r="74" ht="22.5" customHeight="1">
      <c r="A74" s="61">
        <v>8740.0</v>
      </c>
      <c r="B74" s="62" t="s">
        <v>22</v>
      </c>
      <c r="C74" s="62" t="s">
        <v>13</v>
      </c>
      <c r="D74" s="61">
        <v>3.0</v>
      </c>
      <c r="E74" s="63">
        <v>46109.0</v>
      </c>
      <c r="F74" s="47"/>
    </row>
    <row r="75" ht="22.5" customHeight="1">
      <c r="A75" s="61">
        <v>8748.0</v>
      </c>
      <c r="B75" s="62" t="s">
        <v>75</v>
      </c>
      <c r="C75" s="62" t="s">
        <v>58</v>
      </c>
      <c r="D75" s="61">
        <v>4.0</v>
      </c>
      <c r="E75" s="63">
        <v>46109.0</v>
      </c>
      <c r="F75" s="47"/>
    </row>
    <row r="76" ht="22.5" customHeight="1">
      <c r="A76" s="61">
        <v>8865.0</v>
      </c>
      <c r="B76" s="62" t="s">
        <v>12</v>
      </c>
      <c r="C76" s="62" t="s">
        <v>58</v>
      </c>
      <c r="D76" s="61">
        <v>9.0</v>
      </c>
      <c r="E76" s="63">
        <v>46109.0</v>
      </c>
      <c r="F76" s="47"/>
    </row>
    <row r="77" ht="22.5" customHeight="1">
      <c r="A77" s="61">
        <v>8865.0</v>
      </c>
      <c r="B77" s="62" t="s">
        <v>22</v>
      </c>
      <c r="C77" s="62" t="s">
        <v>58</v>
      </c>
      <c r="D77" s="61">
        <v>9.0</v>
      </c>
      <c r="E77" s="63">
        <v>46109.0</v>
      </c>
      <c r="F77" s="47"/>
    </row>
    <row r="78" ht="22.5" customHeight="1">
      <c r="A78" s="61">
        <v>8876.0</v>
      </c>
      <c r="B78" s="62" t="s">
        <v>22</v>
      </c>
      <c r="C78" s="62" t="s">
        <v>26</v>
      </c>
      <c r="D78" s="61">
        <v>5.0</v>
      </c>
      <c r="E78" s="63">
        <v>46109.0</v>
      </c>
      <c r="F78" s="47"/>
    </row>
    <row r="79" ht="22.5" customHeight="1">
      <c r="A79" s="61">
        <v>8867.0</v>
      </c>
      <c r="B79" s="62" t="s">
        <v>22</v>
      </c>
      <c r="C79" s="62" t="s">
        <v>23</v>
      </c>
      <c r="D79" s="61">
        <v>1.0</v>
      </c>
      <c r="E79" s="63">
        <v>46109.0</v>
      </c>
      <c r="F79" s="47"/>
    </row>
    <row r="80" ht="22.5" customHeight="1">
      <c r="A80" s="61">
        <v>5344.0</v>
      </c>
      <c r="B80" s="62" t="s">
        <v>12</v>
      </c>
      <c r="C80" s="62" t="s">
        <v>58</v>
      </c>
      <c r="D80" s="61">
        <v>3.0</v>
      </c>
      <c r="E80" s="63">
        <v>46109.0</v>
      </c>
      <c r="F80" s="47"/>
    </row>
    <row r="81" ht="22.5" customHeight="1">
      <c r="A81" s="61">
        <v>8748.0</v>
      </c>
      <c r="B81" s="62" t="s">
        <v>12</v>
      </c>
      <c r="C81" s="62" t="s">
        <v>58</v>
      </c>
      <c r="D81" s="61">
        <v>28.0</v>
      </c>
      <c r="E81" s="63">
        <v>46109.0</v>
      </c>
      <c r="F81" s="47"/>
    </row>
    <row r="82" ht="22.5" customHeight="1">
      <c r="A82" s="61">
        <v>9369.0</v>
      </c>
      <c r="B82" s="62" t="s">
        <v>12</v>
      </c>
      <c r="C82" s="62" t="s">
        <v>58</v>
      </c>
      <c r="D82" s="61">
        <v>10.0</v>
      </c>
      <c r="E82" s="63">
        <v>46109.0</v>
      </c>
      <c r="F82" s="47"/>
    </row>
    <row r="83" ht="22.5" customHeight="1">
      <c r="A83" s="61">
        <v>8876.0</v>
      </c>
      <c r="B83" s="62" t="s">
        <v>12</v>
      </c>
      <c r="C83" s="62" t="s">
        <v>16</v>
      </c>
      <c r="D83" s="61">
        <v>3.0</v>
      </c>
      <c r="E83" s="63">
        <v>46109.0</v>
      </c>
      <c r="F83" s="47"/>
    </row>
    <row r="84" ht="22.5" customHeight="1">
      <c r="A84" s="61">
        <v>8865.0</v>
      </c>
      <c r="B84" s="62" t="s">
        <v>75</v>
      </c>
      <c r="C84" s="62" t="s">
        <v>58</v>
      </c>
      <c r="D84" s="61">
        <v>1.0</v>
      </c>
      <c r="E84" s="63">
        <v>46109.0</v>
      </c>
      <c r="F84" s="47"/>
    </row>
    <row r="85" ht="22.5" customHeight="1">
      <c r="A85" s="61">
        <v>8867.0</v>
      </c>
      <c r="B85" s="62" t="s">
        <v>12</v>
      </c>
      <c r="C85" s="62" t="s">
        <v>18</v>
      </c>
      <c r="D85" s="61">
        <v>1.0</v>
      </c>
      <c r="E85" s="63">
        <v>46109.0</v>
      </c>
      <c r="F85" s="47"/>
    </row>
    <row r="86" ht="22.5" customHeight="1">
      <c r="A86" s="61">
        <v>8886.0</v>
      </c>
      <c r="B86" s="62" t="s">
        <v>22</v>
      </c>
      <c r="C86" s="62" t="s">
        <v>27</v>
      </c>
      <c r="D86" s="61">
        <v>1.0</v>
      </c>
      <c r="E86" s="63">
        <v>46109.0</v>
      </c>
      <c r="F86" s="47"/>
    </row>
    <row r="87" ht="22.5" customHeight="1">
      <c r="A87" s="61">
        <v>5344.0</v>
      </c>
      <c r="B87" s="62" t="s">
        <v>12</v>
      </c>
      <c r="C87" s="62" t="s">
        <v>58</v>
      </c>
      <c r="D87" s="61">
        <v>4.0</v>
      </c>
      <c r="E87" s="63">
        <v>46109.0</v>
      </c>
      <c r="F87" s="47"/>
    </row>
    <row r="88" ht="22.5" customHeight="1">
      <c r="A88" s="61">
        <v>8886.0</v>
      </c>
      <c r="B88" s="62" t="s">
        <v>22</v>
      </c>
      <c r="C88" s="62" t="s">
        <v>13</v>
      </c>
      <c r="D88" s="61">
        <v>6.0</v>
      </c>
      <c r="E88" s="63">
        <v>46109.0</v>
      </c>
      <c r="F88" s="47"/>
    </row>
    <row r="89" ht="22.5" customHeight="1">
      <c r="A89" s="61">
        <v>8876.0</v>
      </c>
      <c r="B89" s="62" t="s">
        <v>12</v>
      </c>
      <c r="C89" s="62" t="s">
        <v>18</v>
      </c>
      <c r="D89" s="61">
        <v>9.0</v>
      </c>
      <c r="E89" s="63">
        <v>46109.0</v>
      </c>
      <c r="F89" s="47"/>
    </row>
    <row r="90" ht="22.5" customHeight="1">
      <c r="A90" s="61">
        <v>8876.0</v>
      </c>
      <c r="B90" s="62" t="s">
        <v>12</v>
      </c>
      <c r="C90" s="62" t="s">
        <v>26</v>
      </c>
      <c r="D90" s="61">
        <v>3.0</v>
      </c>
      <c r="E90" s="63">
        <v>46109.0</v>
      </c>
      <c r="F90" s="47"/>
    </row>
    <row r="91" ht="22.5" customHeight="1">
      <c r="A91" s="61" t="s">
        <v>269</v>
      </c>
      <c r="B91" s="62">
        <v>40.0</v>
      </c>
      <c r="C91" s="62" t="s">
        <v>47</v>
      </c>
      <c r="D91" s="61">
        <v>1.0</v>
      </c>
      <c r="E91" s="63">
        <v>46109.0</v>
      </c>
      <c r="F91" s="47"/>
    </row>
    <row r="92" ht="22.5" customHeight="1">
      <c r="A92" s="61" t="s">
        <v>269</v>
      </c>
      <c r="B92" s="62">
        <v>38.0</v>
      </c>
      <c r="C92" s="62" t="s">
        <v>18</v>
      </c>
      <c r="D92" s="61">
        <v>4.0</v>
      </c>
      <c r="E92" s="63">
        <v>46109.0</v>
      </c>
      <c r="F92" s="47"/>
    </row>
    <row r="93" ht="22.5" customHeight="1">
      <c r="A93" s="61" t="s">
        <v>269</v>
      </c>
      <c r="B93" s="62">
        <v>35.0</v>
      </c>
      <c r="C93" s="62" t="s">
        <v>47</v>
      </c>
      <c r="D93" s="61">
        <v>1.0</v>
      </c>
      <c r="E93" s="63">
        <v>46109.0</v>
      </c>
      <c r="F93" s="47"/>
    </row>
    <row r="94" ht="22.5" customHeight="1">
      <c r="A94" s="61" t="s">
        <v>269</v>
      </c>
      <c r="B94" s="62">
        <v>39.0</v>
      </c>
      <c r="C94" s="62" t="s">
        <v>18</v>
      </c>
      <c r="D94" s="61">
        <v>4.0</v>
      </c>
      <c r="E94" s="63">
        <v>46109.0</v>
      </c>
      <c r="F94" s="47"/>
    </row>
    <row r="95" ht="22.5" customHeight="1">
      <c r="A95" s="61" t="s">
        <v>269</v>
      </c>
      <c r="B95" s="62">
        <v>36.0</v>
      </c>
      <c r="C95" s="62" t="s">
        <v>47</v>
      </c>
      <c r="D95" s="61">
        <v>1.0</v>
      </c>
      <c r="E95" s="63">
        <v>46109.0</v>
      </c>
      <c r="F95" s="47"/>
    </row>
    <row r="96" ht="22.5" customHeight="1">
      <c r="A96" s="61" t="s">
        <v>269</v>
      </c>
      <c r="B96" s="62">
        <v>36.0</v>
      </c>
      <c r="C96" s="62" t="s">
        <v>47</v>
      </c>
      <c r="D96" s="61">
        <v>2.0</v>
      </c>
      <c r="E96" s="63">
        <v>46109.0</v>
      </c>
      <c r="F96" s="47"/>
    </row>
    <row r="97" ht="22.5" customHeight="1">
      <c r="A97" s="61" t="s">
        <v>269</v>
      </c>
      <c r="B97" s="62">
        <v>38.0</v>
      </c>
      <c r="C97" s="62" t="s">
        <v>47</v>
      </c>
      <c r="D97" s="61">
        <v>4.0</v>
      </c>
      <c r="E97" s="63">
        <v>46109.0</v>
      </c>
      <c r="F97" s="47"/>
    </row>
    <row r="98" ht="22.5" customHeight="1">
      <c r="A98" s="61" t="s">
        <v>269</v>
      </c>
      <c r="B98" s="62">
        <v>39.0</v>
      </c>
      <c r="C98" s="62" t="s">
        <v>47</v>
      </c>
      <c r="D98" s="61">
        <v>1.0</v>
      </c>
      <c r="E98" s="63">
        <v>46109.0</v>
      </c>
      <c r="F98" s="47"/>
    </row>
    <row r="99" ht="22.5" customHeight="1">
      <c r="A99" s="61" t="s">
        <v>269</v>
      </c>
      <c r="B99" s="62">
        <v>37.0</v>
      </c>
      <c r="C99" s="62" t="s">
        <v>18</v>
      </c>
      <c r="D99" s="61">
        <v>3.0</v>
      </c>
      <c r="E99" s="63">
        <v>46109.0</v>
      </c>
      <c r="F99" s="47"/>
    </row>
    <row r="100" ht="22.5" customHeight="1">
      <c r="A100" s="61">
        <v>8748.0</v>
      </c>
      <c r="B100" s="62" t="s">
        <v>12</v>
      </c>
      <c r="C100" s="62" t="s">
        <v>58</v>
      </c>
      <c r="D100" s="61">
        <v>1.0</v>
      </c>
      <c r="E100" s="63">
        <v>46109.0</v>
      </c>
      <c r="F100" s="47"/>
    </row>
    <row r="101" ht="22.5" customHeight="1">
      <c r="A101" s="61">
        <v>8876.0</v>
      </c>
      <c r="B101" s="62" t="s">
        <v>22</v>
      </c>
      <c r="C101" s="62" t="s">
        <v>198</v>
      </c>
      <c r="D101" s="61">
        <v>2.0</v>
      </c>
      <c r="E101" s="63">
        <v>46109.0</v>
      </c>
      <c r="F101" s="47"/>
    </row>
    <row r="102" ht="22.5" customHeight="1">
      <c r="A102" s="61">
        <v>8521.0</v>
      </c>
      <c r="B102" s="62" t="s">
        <v>12</v>
      </c>
      <c r="C102" s="62" t="s">
        <v>26</v>
      </c>
      <c r="D102" s="61">
        <v>1.0</v>
      </c>
      <c r="E102" s="63">
        <v>46111.0</v>
      </c>
      <c r="F102" s="47"/>
    </row>
    <row r="103" ht="22.5" customHeight="1">
      <c r="A103" s="61">
        <v>8521.0</v>
      </c>
      <c r="B103" s="62" t="s">
        <v>22</v>
      </c>
      <c r="C103" s="62" t="s">
        <v>26</v>
      </c>
      <c r="D103" s="61">
        <v>1.0</v>
      </c>
      <c r="E103" s="63">
        <v>46111.0</v>
      </c>
      <c r="F103" s="47"/>
    </row>
    <row r="104" ht="22.5" customHeight="1">
      <c r="A104" s="61">
        <v>8867.0</v>
      </c>
      <c r="B104" s="62" t="s">
        <v>12</v>
      </c>
      <c r="C104" s="62" t="s">
        <v>16</v>
      </c>
      <c r="D104" s="61">
        <v>3.0</v>
      </c>
      <c r="E104" s="63">
        <v>46111.0</v>
      </c>
      <c r="F104" s="47"/>
    </row>
    <row r="105" ht="22.5" customHeight="1">
      <c r="A105" s="61">
        <v>8867.0</v>
      </c>
      <c r="B105" s="62" t="s">
        <v>12</v>
      </c>
      <c r="C105" s="62" t="s">
        <v>58</v>
      </c>
      <c r="D105" s="61">
        <v>2.0</v>
      </c>
      <c r="E105" s="63">
        <v>46111.0</v>
      </c>
      <c r="F105" s="47"/>
    </row>
    <row r="106" ht="22.5" customHeight="1">
      <c r="A106" s="61">
        <v>7307.0</v>
      </c>
      <c r="B106" s="62" t="s">
        <v>12</v>
      </c>
      <c r="C106" s="62" t="s">
        <v>47</v>
      </c>
      <c r="D106" s="61">
        <v>1.0</v>
      </c>
      <c r="E106" s="63">
        <v>46111.0</v>
      </c>
      <c r="F106" s="47"/>
    </row>
    <row r="107" ht="22.5" customHeight="1">
      <c r="A107" s="61">
        <v>7307.0</v>
      </c>
      <c r="B107" s="62" t="s">
        <v>22</v>
      </c>
      <c r="C107" s="62" t="s">
        <v>26</v>
      </c>
      <c r="D107" s="61">
        <v>1.0</v>
      </c>
      <c r="E107" s="63">
        <v>46111.0</v>
      </c>
      <c r="F107" s="47"/>
    </row>
    <row r="108" ht="22.5" customHeight="1">
      <c r="A108" s="61">
        <v>9369.0</v>
      </c>
      <c r="B108" s="62" t="s">
        <v>22</v>
      </c>
      <c r="C108" s="62" t="s">
        <v>58</v>
      </c>
      <c r="D108" s="61">
        <v>1.0</v>
      </c>
      <c r="E108" s="63">
        <v>46111.0</v>
      </c>
      <c r="F108" s="47"/>
    </row>
    <row r="109" ht="22.5" customHeight="1">
      <c r="A109" s="61">
        <v>9369.0</v>
      </c>
      <c r="B109" s="62" t="s">
        <v>12</v>
      </c>
      <c r="C109" s="62" t="s">
        <v>58</v>
      </c>
      <c r="D109" s="61">
        <v>1.0</v>
      </c>
      <c r="E109" s="63">
        <v>46111.0</v>
      </c>
      <c r="F109" s="47"/>
    </row>
    <row r="110" ht="22.5" customHeight="1">
      <c r="A110" s="61">
        <v>7137.0</v>
      </c>
      <c r="B110" s="62" t="s">
        <v>12</v>
      </c>
      <c r="C110" s="62" t="s">
        <v>58</v>
      </c>
      <c r="D110" s="61">
        <v>2.0</v>
      </c>
      <c r="E110" s="63">
        <v>46111.0</v>
      </c>
      <c r="F110" s="47"/>
    </row>
    <row r="111" ht="22.5" customHeight="1">
      <c r="A111" s="61" t="s">
        <v>269</v>
      </c>
      <c r="B111" s="62">
        <v>37.0</v>
      </c>
      <c r="C111" s="62" t="s">
        <v>47</v>
      </c>
      <c r="D111" s="61">
        <v>2.0</v>
      </c>
      <c r="E111" s="63">
        <v>46111.0</v>
      </c>
      <c r="F111" s="47"/>
    </row>
    <row r="112" ht="22.5" customHeight="1">
      <c r="A112" s="61" t="s">
        <v>269</v>
      </c>
      <c r="B112" s="62">
        <v>36.0</v>
      </c>
      <c r="C112" s="62" t="s">
        <v>47</v>
      </c>
      <c r="D112" s="61">
        <v>1.0</v>
      </c>
      <c r="E112" s="63">
        <v>46111.0</v>
      </c>
      <c r="F112" s="47"/>
    </row>
    <row r="113" ht="22.5" customHeight="1">
      <c r="A113" s="61" t="s">
        <v>269</v>
      </c>
      <c r="B113" s="62">
        <v>39.0</v>
      </c>
      <c r="C113" s="62" t="s">
        <v>47</v>
      </c>
      <c r="D113" s="61">
        <v>2.0</v>
      </c>
      <c r="E113" s="63">
        <v>46111.0</v>
      </c>
      <c r="F113" s="47"/>
    </row>
    <row r="114" ht="22.5" customHeight="1">
      <c r="A114" s="61" t="s">
        <v>269</v>
      </c>
      <c r="B114" s="62">
        <v>40.0</v>
      </c>
      <c r="C114" s="62" t="s">
        <v>47</v>
      </c>
      <c r="D114" s="61">
        <v>1.0</v>
      </c>
      <c r="E114" s="63">
        <v>46111.0</v>
      </c>
      <c r="F114" s="47"/>
    </row>
    <row r="115" ht="22.5" customHeight="1">
      <c r="A115" s="61" t="s">
        <v>269</v>
      </c>
      <c r="B115" s="62">
        <v>35.0</v>
      </c>
      <c r="C115" s="62" t="s">
        <v>18</v>
      </c>
      <c r="D115" s="61">
        <v>2.0</v>
      </c>
      <c r="E115" s="63">
        <v>46111.0</v>
      </c>
      <c r="F115" s="47"/>
    </row>
    <row r="116" ht="22.5" customHeight="1">
      <c r="A116" s="61" t="s">
        <v>269</v>
      </c>
      <c r="B116" s="62">
        <v>36.0</v>
      </c>
      <c r="C116" s="62" t="s">
        <v>18</v>
      </c>
      <c r="D116" s="61">
        <v>2.0</v>
      </c>
      <c r="E116" s="63">
        <v>46111.0</v>
      </c>
      <c r="F116" s="47"/>
    </row>
    <row r="117" ht="22.5" customHeight="1">
      <c r="A117" s="61" t="s">
        <v>269</v>
      </c>
      <c r="B117" s="62">
        <v>37.0</v>
      </c>
      <c r="C117" s="62" t="s">
        <v>18</v>
      </c>
      <c r="D117" s="61">
        <v>2.0</v>
      </c>
      <c r="E117" s="63">
        <v>46111.0</v>
      </c>
      <c r="F117" s="47"/>
    </row>
    <row r="118" ht="22.5" customHeight="1">
      <c r="A118" s="61" t="s">
        <v>269</v>
      </c>
      <c r="B118" s="62">
        <v>39.0</v>
      </c>
      <c r="C118" s="62" t="s">
        <v>18</v>
      </c>
      <c r="D118" s="61">
        <v>4.0</v>
      </c>
      <c r="E118" s="63">
        <v>46111.0</v>
      </c>
      <c r="F118" s="47"/>
    </row>
    <row r="119" ht="22.5" customHeight="1">
      <c r="A119" s="61">
        <v>8319.0</v>
      </c>
      <c r="B119" s="62" t="s">
        <v>12</v>
      </c>
      <c r="C119" s="62" t="s">
        <v>58</v>
      </c>
      <c r="D119" s="61">
        <v>1.0</v>
      </c>
      <c r="E119" s="63">
        <v>46112.0</v>
      </c>
      <c r="F119" s="47"/>
    </row>
    <row r="120" ht="22.5" customHeight="1">
      <c r="A120" s="61">
        <v>7957.0</v>
      </c>
      <c r="B120" s="62" t="s">
        <v>22</v>
      </c>
      <c r="C120" s="62" t="s">
        <v>18</v>
      </c>
      <c r="D120" s="61">
        <v>1.0</v>
      </c>
      <c r="E120" s="63">
        <v>46112.0</v>
      </c>
      <c r="F120" s="47"/>
    </row>
    <row r="121" ht="22.5" customHeight="1">
      <c r="A121" s="61">
        <v>8748.0</v>
      </c>
      <c r="B121" s="62" t="s">
        <v>12</v>
      </c>
      <c r="C121" s="62" t="s">
        <v>58</v>
      </c>
      <c r="D121" s="61">
        <v>1.0</v>
      </c>
      <c r="E121" s="63">
        <v>46112.0</v>
      </c>
      <c r="F121" s="47"/>
    </row>
    <row r="122" ht="22.5" customHeight="1">
      <c r="A122" s="61">
        <v>5709.0</v>
      </c>
      <c r="B122" s="62" t="s">
        <v>12</v>
      </c>
      <c r="C122" s="62" t="s">
        <v>340</v>
      </c>
      <c r="D122" s="61">
        <v>4.0</v>
      </c>
      <c r="E122" s="63">
        <v>46114.0</v>
      </c>
      <c r="F122" s="47"/>
    </row>
    <row r="123" ht="22.5" customHeight="1">
      <c r="A123" s="61">
        <v>5709.0</v>
      </c>
      <c r="B123" s="62" t="s">
        <v>22</v>
      </c>
      <c r="C123" s="62" t="s">
        <v>340</v>
      </c>
      <c r="D123" s="61">
        <v>5.0</v>
      </c>
      <c r="E123" s="63">
        <v>46114.0</v>
      </c>
      <c r="F123" s="47"/>
    </row>
    <row r="124" ht="22.5" customHeight="1">
      <c r="A124" s="61">
        <v>5709.0</v>
      </c>
      <c r="B124" s="62" t="s">
        <v>75</v>
      </c>
      <c r="C124" s="62" t="s">
        <v>340</v>
      </c>
      <c r="D124" s="61">
        <v>2.0</v>
      </c>
      <c r="E124" s="63">
        <v>46114.0</v>
      </c>
      <c r="F124" s="47"/>
    </row>
    <row r="125" ht="22.5" customHeight="1">
      <c r="A125" s="61" t="s">
        <v>378</v>
      </c>
      <c r="B125" s="62" t="s">
        <v>46</v>
      </c>
      <c r="C125" s="62" t="s">
        <v>23</v>
      </c>
      <c r="D125" s="61">
        <v>25.0</v>
      </c>
      <c r="E125" s="63">
        <v>46114.0</v>
      </c>
      <c r="F125" s="47"/>
    </row>
    <row r="126" ht="22.5" customHeight="1">
      <c r="A126" s="61" t="s">
        <v>378</v>
      </c>
      <c r="B126" s="62" t="s">
        <v>46</v>
      </c>
      <c r="C126" s="62" t="s">
        <v>18</v>
      </c>
      <c r="D126" s="61">
        <v>45.0</v>
      </c>
      <c r="E126" s="63">
        <v>46114.0</v>
      </c>
      <c r="F126" s="47"/>
    </row>
    <row r="127" ht="22.5" customHeight="1">
      <c r="A127" s="61" t="s">
        <v>378</v>
      </c>
      <c r="B127" s="62" t="s">
        <v>46</v>
      </c>
      <c r="C127" s="62" t="s">
        <v>13</v>
      </c>
      <c r="D127" s="61">
        <v>50.0</v>
      </c>
      <c r="E127" s="63">
        <v>46114.0</v>
      </c>
      <c r="F127" s="47"/>
    </row>
    <row r="128" ht="22.5" customHeight="1">
      <c r="A128" s="61" t="s">
        <v>378</v>
      </c>
      <c r="B128" s="62" t="s">
        <v>46</v>
      </c>
      <c r="C128" s="62" t="s">
        <v>47</v>
      </c>
      <c r="D128" s="61">
        <v>20.0</v>
      </c>
      <c r="E128" s="63">
        <v>46114.0</v>
      </c>
      <c r="F128" s="47"/>
    </row>
    <row r="129" ht="22.5" customHeight="1">
      <c r="A129" s="61" t="s">
        <v>269</v>
      </c>
      <c r="B129" s="62">
        <v>38.0</v>
      </c>
      <c r="C129" s="62" t="s">
        <v>18</v>
      </c>
      <c r="D129" s="61">
        <v>3.0</v>
      </c>
      <c r="E129" s="63">
        <v>46114.0</v>
      </c>
      <c r="F129" s="47"/>
    </row>
    <row r="130" ht="22.5" customHeight="1">
      <c r="A130" s="61" t="s">
        <v>269</v>
      </c>
      <c r="B130" s="62">
        <v>39.0</v>
      </c>
      <c r="C130" s="62" t="s">
        <v>18</v>
      </c>
      <c r="D130" s="61">
        <v>1.0</v>
      </c>
      <c r="E130" s="63">
        <v>46114.0</v>
      </c>
      <c r="F130" s="47"/>
    </row>
    <row r="131" ht="22.5" customHeight="1">
      <c r="A131" s="61" t="s">
        <v>269</v>
      </c>
      <c r="B131" s="62">
        <v>36.0</v>
      </c>
      <c r="C131" s="62" t="s">
        <v>47</v>
      </c>
      <c r="D131" s="61">
        <v>1.0</v>
      </c>
      <c r="E131" s="63">
        <v>46114.0</v>
      </c>
      <c r="F131" s="47"/>
    </row>
    <row r="132" ht="22.5" customHeight="1">
      <c r="A132" s="61" t="s">
        <v>269</v>
      </c>
      <c r="B132" s="62">
        <v>37.0</v>
      </c>
      <c r="C132" s="62" t="s">
        <v>47</v>
      </c>
      <c r="D132" s="61">
        <v>1.0</v>
      </c>
      <c r="E132" s="63">
        <v>46114.0</v>
      </c>
      <c r="F132" s="47"/>
    </row>
    <row r="133" ht="22.5" customHeight="1">
      <c r="A133" s="61" t="s">
        <v>269</v>
      </c>
      <c r="B133" s="62">
        <v>38.0</v>
      </c>
      <c r="C133" s="62" t="s">
        <v>47</v>
      </c>
      <c r="D133" s="61">
        <v>2.0</v>
      </c>
      <c r="E133" s="63">
        <v>46114.0</v>
      </c>
      <c r="F133" s="47"/>
    </row>
    <row r="134" ht="22.5" customHeight="1">
      <c r="A134" s="61" t="s">
        <v>269</v>
      </c>
      <c r="B134" s="62">
        <v>37.0</v>
      </c>
      <c r="C134" s="62" t="s">
        <v>18</v>
      </c>
      <c r="D134" s="61">
        <v>2.0</v>
      </c>
      <c r="E134" s="63">
        <v>46114.0</v>
      </c>
      <c r="F134" s="47"/>
    </row>
    <row r="135" ht="22.5" customHeight="1">
      <c r="A135" s="61" t="s">
        <v>269</v>
      </c>
      <c r="B135" s="62">
        <v>35.0</v>
      </c>
      <c r="C135" s="62" t="s">
        <v>18</v>
      </c>
      <c r="D135" s="61">
        <v>1.0</v>
      </c>
      <c r="E135" s="63">
        <v>46114.0</v>
      </c>
      <c r="F135" s="47"/>
    </row>
    <row r="136" ht="22.5" customHeight="1">
      <c r="A136" s="61" t="s">
        <v>269</v>
      </c>
      <c r="B136" s="62">
        <v>36.0</v>
      </c>
      <c r="C136" s="62" t="s">
        <v>18</v>
      </c>
      <c r="D136" s="61">
        <v>1.0</v>
      </c>
      <c r="E136" s="63">
        <v>46116.0</v>
      </c>
      <c r="F136" s="47"/>
    </row>
    <row r="137" ht="22.5" customHeight="1">
      <c r="A137" s="61" t="s">
        <v>269</v>
      </c>
      <c r="B137" s="62">
        <v>37.0</v>
      </c>
      <c r="C137" s="62" t="s">
        <v>18</v>
      </c>
      <c r="D137" s="61">
        <v>7.0</v>
      </c>
      <c r="E137" s="63">
        <v>46116.0</v>
      </c>
      <c r="F137" s="47"/>
    </row>
    <row r="138" ht="22.5" customHeight="1">
      <c r="A138" s="61" t="s">
        <v>269</v>
      </c>
      <c r="B138" s="62">
        <v>38.0</v>
      </c>
      <c r="C138" s="62" t="s">
        <v>18</v>
      </c>
      <c r="D138" s="61">
        <v>2.0</v>
      </c>
      <c r="E138" s="63">
        <v>46116.0</v>
      </c>
      <c r="F138" s="47"/>
    </row>
    <row r="139" ht="22.5" customHeight="1">
      <c r="A139" s="61" t="s">
        <v>269</v>
      </c>
      <c r="B139" s="62">
        <v>39.0</v>
      </c>
      <c r="C139" s="62" t="s">
        <v>18</v>
      </c>
      <c r="D139" s="61">
        <v>3.0</v>
      </c>
      <c r="E139" s="63">
        <v>46116.0</v>
      </c>
      <c r="F139" s="47"/>
    </row>
    <row r="140" ht="22.5" customHeight="1">
      <c r="A140" s="61" t="s">
        <v>269</v>
      </c>
      <c r="B140" s="62">
        <v>36.0</v>
      </c>
      <c r="C140" s="62" t="s">
        <v>47</v>
      </c>
      <c r="D140" s="61">
        <v>4.0</v>
      </c>
      <c r="E140" s="63">
        <v>46116.0</v>
      </c>
      <c r="F140" s="47"/>
    </row>
    <row r="141" ht="22.5" customHeight="1">
      <c r="A141" s="61" t="s">
        <v>269</v>
      </c>
      <c r="B141" s="62">
        <v>37.0</v>
      </c>
      <c r="C141" s="62" t="s">
        <v>47</v>
      </c>
      <c r="D141" s="61">
        <v>6.0</v>
      </c>
      <c r="E141" s="63">
        <v>46116.0</v>
      </c>
      <c r="F141" s="47"/>
    </row>
    <row r="142" ht="22.5" customHeight="1">
      <c r="A142" s="61" t="s">
        <v>269</v>
      </c>
      <c r="B142" s="62">
        <v>38.0</v>
      </c>
      <c r="C142" s="62" t="s">
        <v>47</v>
      </c>
      <c r="D142" s="61">
        <v>4.0</v>
      </c>
      <c r="E142" s="63">
        <v>46116.0</v>
      </c>
      <c r="F142" s="47"/>
    </row>
    <row r="143" ht="22.5" customHeight="1">
      <c r="A143" s="61" t="s">
        <v>269</v>
      </c>
      <c r="B143" s="62">
        <v>39.0</v>
      </c>
      <c r="C143" s="62" t="s">
        <v>47</v>
      </c>
      <c r="D143" s="61">
        <v>3.0</v>
      </c>
      <c r="E143" s="63">
        <v>46116.0</v>
      </c>
      <c r="F143" s="47"/>
    </row>
    <row r="144" ht="22.5" customHeight="1">
      <c r="A144" s="61" t="s">
        <v>361</v>
      </c>
      <c r="B144" s="62" t="s">
        <v>46</v>
      </c>
      <c r="C144" s="62" t="s">
        <v>340</v>
      </c>
      <c r="D144" s="61">
        <v>6.0</v>
      </c>
      <c r="E144" s="63">
        <v>46116.0</v>
      </c>
      <c r="F144" s="47"/>
    </row>
    <row r="145" ht="22.5" customHeight="1">
      <c r="A145" s="61" t="s">
        <v>361</v>
      </c>
      <c r="B145" s="62" t="s">
        <v>46</v>
      </c>
      <c r="C145" s="62" t="s">
        <v>16</v>
      </c>
      <c r="D145" s="61">
        <v>5.0</v>
      </c>
      <c r="E145" s="63">
        <v>46116.0</v>
      </c>
      <c r="F145" s="47"/>
    </row>
    <row r="146" ht="22.5" customHeight="1">
      <c r="A146" s="61" t="s">
        <v>361</v>
      </c>
      <c r="B146" s="62" t="s">
        <v>46</v>
      </c>
      <c r="C146" s="62" t="s">
        <v>338</v>
      </c>
      <c r="D146" s="61">
        <v>1.0</v>
      </c>
      <c r="E146" s="63">
        <v>46116.0</v>
      </c>
      <c r="F146" s="47"/>
    </row>
    <row r="147" ht="22.5" customHeight="1">
      <c r="A147" s="61">
        <v>81813.0</v>
      </c>
      <c r="B147" s="62" t="s">
        <v>46</v>
      </c>
      <c r="C147" s="62" t="s">
        <v>13</v>
      </c>
      <c r="D147" s="61">
        <v>6.0</v>
      </c>
      <c r="E147" s="63">
        <v>46116.0</v>
      </c>
      <c r="F147" s="47"/>
    </row>
    <row r="148" ht="22.5" customHeight="1">
      <c r="A148" s="61">
        <v>81813.0</v>
      </c>
      <c r="B148" s="62" t="s">
        <v>46</v>
      </c>
      <c r="C148" s="62" t="s">
        <v>18</v>
      </c>
      <c r="D148" s="61">
        <v>4.0</v>
      </c>
      <c r="E148" s="63">
        <v>46116.0</v>
      </c>
      <c r="F148" s="47"/>
    </row>
    <row r="149" ht="22.5" customHeight="1">
      <c r="A149" s="61">
        <v>81813.0</v>
      </c>
      <c r="B149" s="62" t="s">
        <v>46</v>
      </c>
      <c r="C149" s="62" t="s">
        <v>23</v>
      </c>
      <c r="D149" s="61">
        <v>3.0</v>
      </c>
      <c r="E149" s="63">
        <v>46116.0</v>
      </c>
      <c r="F149" s="47"/>
    </row>
    <row r="150" ht="22.5" customHeight="1">
      <c r="A150" s="61">
        <v>81813.0</v>
      </c>
      <c r="B150" s="62" t="s">
        <v>46</v>
      </c>
      <c r="C150" s="62" t="s">
        <v>340</v>
      </c>
      <c r="D150" s="61">
        <v>1.0</v>
      </c>
      <c r="E150" s="63">
        <v>46116.0</v>
      </c>
      <c r="F150" s="47"/>
    </row>
    <row r="151" ht="22.5" customHeight="1">
      <c r="A151" s="61">
        <v>81813.0</v>
      </c>
      <c r="B151" s="62" t="s">
        <v>46</v>
      </c>
      <c r="C151" s="62" t="s">
        <v>27</v>
      </c>
      <c r="D151" s="61">
        <v>1.0</v>
      </c>
      <c r="E151" s="63">
        <v>46116.0</v>
      </c>
      <c r="F151" s="47"/>
    </row>
    <row r="152" ht="22.5" customHeight="1">
      <c r="A152" s="61">
        <v>81813.0</v>
      </c>
      <c r="B152" s="62" t="s">
        <v>46</v>
      </c>
      <c r="C152" s="62" t="s">
        <v>338</v>
      </c>
      <c r="D152" s="61">
        <v>4.0</v>
      </c>
      <c r="E152" s="63">
        <v>46116.0</v>
      </c>
      <c r="F152" s="47"/>
    </row>
    <row r="153" ht="22.5" customHeight="1">
      <c r="A153" s="61">
        <v>81813.0</v>
      </c>
      <c r="B153" s="62" t="s">
        <v>46</v>
      </c>
      <c r="C153" s="62" t="s">
        <v>16</v>
      </c>
      <c r="D153" s="61">
        <v>14.0</v>
      </c>
      <c r="E153" s="63">
        <v>46116.0</v>
      </c>
      <c r="F153" s="47"/>
    </row>
    <row r="154" ht="22.5" customHeight="1">
      <c r="A154" s="61">
        <v>8748.0</v>
      </c>
      <c r="B154" s="62" t="s">
        <v>75</v>
      </c>
      <c r="C154" s="62" t="s">
        <v>58</v>
      </c>
      <c r="D154" s="61">
        <v>1.0</v>
      </c>
      <c r="E154" s="63">
        <v>46117.0</v>
      </c>
      <c r="F154" s="47"/>
    </row>
    <row r="155" ht="22.5" customHeight="1">
      <c r="A155" s="61" t="s">
        <v>321</v>
      </c>
      <c r="B155" s="62" t="s">
        <v>75</v>
      </c>
      <c r="C155" s="62" t="s">
        <v>18</v>
      </c>
      <c r="D155" s="61">
        <v>1.0</v>
      </c>
      <c r="E155" s="63">
        <v>46118.0</v>
      </c>
      <c r="F155" s="47"/>
    </row>
    <row r="156" ht="22.5" customHeight="1">
      <c r="A156" s="61">
        <v>7249.0</v>
      </c>
      <c r="B156" s="62" t="s">
        <v>12</v>
      </c>
      <c r="C156" s="62" t="s">
        <v>58</v>
      </c>
      <c r="D156" s="61">
        <v>1.0</v>
      </c>
      <c r="E156" s="63">
        <v>46120.0</v>
      </c>
      <c r="F156" s="47"/>
    </row>
    <row r="157" ht="22.5" customHeight="1">
      <c r="A157" s="61" t="s">
        <v>378</v>
      </c>
      <c r="B157" s="62" t="s">
        <v>46</v>
      </c>
      <c r="C157" s="62" t="s">
        <v>18</v>
      </c>
      <c r="D157" s="61">
        <v>4.0</v>
      </c>
      <c r="E157" s="63">
        <v>46123.0</v>
      </c>
      <c r="F157" s="47"/>
    </row>
    <row r="158" ht="22.5" customHeight="1">
      <c r="A158" s="61" t="s">
        <v>378</v>
      </c>
      <c r="B158" s="62" t="s">
        <v>46</v>
      </c>
      <c r="C158" s="62" t="s">
        <v>13</v>
      </c>
      <c r="D158" s="61">
        <v>3.0</v>
      </c>
      <c r="E158" s="63">
        <v>46123.0</v>
      </c>
      <c r="F158" s="47"/>
    </row>
    <row r="159" ht="22.5" customHeight="1">
      <c r="A159" s="61" t="s">
        <v>378</v>
      </c>
      <c r="B159" s="62" t="s">
        <v>46</v>
      </c>
      <c r="C159" s="62" t="s">
        <v>47</v>
      </c>
      <c r="D159" s="61">
        <v>1.0</v>
      </c>
      <c r="E159" s="63">
        <v>46123.0</v>
      </c>
      <c r="F159" s="47"/>
    </row>
    <row r="160" ht="22.5" customHeight="1">
      <c r="A160" s="61" t="s">
        <v>517</v>
      </c>
      <c r="B160" s="62" t="s">
        <v>46</v>
      </c>
      <c r="C160" s="62" t="s">
        <v>338</v>
      </c>
      <c r="D160" s="61">
        <v>26.0</v>
      </c>
      <c r="E160" s="63">
        <v>46123.0</v>
      </c>
      <c r="F160" s="47"/>
    </row>
    <row r="161" ht="22.5" customHeight="1">
      <c r="A161" s="61" t="s">
        <v>441</v>
      </c>
      <c r="B161" s="62" t="s">
        <v>46</v>
      </c>
      <c r="C161" s="62" t="s">
        <v>26</v>
      </c>
      <c r="D161" s="61">
        <v>1.0</v>
      </c>
      <c r="E161" s="63">
        <v>46123.0</v>
      </c>
      <c r="F161" s="47"/>
    </row>
    <row r="162" ht="22.5" customHeight="1">
      <c r="A162" s="61" t="s">
        <v>441</v>
      </c>
      <c r="B162" s="62" t="s">
        <v>46</v>
      </c>
      <c r="C162" s="62" t="s">
        <v>26</v>
      </c>
      <c r="D162" s="61">
        <v>1.0</v>
      </c>
      <c r="E162" s="63">
        <v>46123.0</v>
      </c>
      <c r="F162" s="47"/>
    </row>
    <row r="163" ht="22.5" customHeight="1">
      <c r="A163" s="61" t="s">
        <v>441</v>
      </c>
      <c r="B163" s="62" t="s">
        <v>46</v>
      </c>
      <c r="C163" s="62" t="s">
        <v>26</v>
      </c>
      <c r="D163" s="61">
        <v>1.0</v>
      </c>
      <c r="E163" s="63">
        <v>46123.0</v>
      </c>
      <c r="F163" s="47"/>
    </row>
    <row r="164" ht="22.5" customHeight="1">
      <c r="A164" s="61" t="s">
        <v>441</v>
      </c>
      <c r="B164" s="62" t="s">
        <v>46</v>
      </c>
      <c r="C164" s="62" t="s">
        <v>26</v>
      </c>
      <c r="D164" s="61">
        <v>1.0</v>
      </c>
      <c r="E164" s="63">
        <v>46123.0</v>
      </c>
      <c r="F164" s="47"/>
    </row>
    <row r="165" ht="22.5" customHeight="1">
      <c r="A165" s="61" t="s">
        <v>441</v>
      </c>
      <c r="B165" s="62" t="s">
        <v>46</v>
      </c>
      <c r="C165" s="62" t="s">
        <v>47</v>
      </c>
      <c r="D165" s="61">
        <v>3.0</v>
      </c>
      <c r="E165" s="63">
        <v>46123.0</v>
      </c>
      <c r="F165" s="47"/>
    </row>
    <row r="166" ht="22.5" customHeight="1">
      <c r="A166" s="61" t="s">
        <v>376</v>
      </c>
      <c r="B166" s="62">
        <v>38.0</v>
      </c>
      <c r="C166" s="62" t="s">
        <v>26</v>
      </c>
      <c r="D166" s="61">
        <v>2.0</v>
      </c>
      <c r="E166" s="63">
        <v>46123.0</v>
      </c>
      <c r="F166" s="47"/>
    </row>
    <row r="167" ht="22.5" customHeight="1">
      <c r="A167" s="61" t="s">
        <v>376</v>
      </c>
      <c r="B167" s="62">
        <v>35.0</v>
      </c>
      <c r="C167" s="62" t="s">
        <v>26</v>
      </c>
      <c r="D167" s="61">
        <v>2.0</v>
      </c>
      <c r="E167" s="63">
        <v>46123.0</v>
      </c>
      <c r="F167" s="47"/>
    </row>
    <row r="168" ht="22.5" customHeight="1">
      <c r="A168" s="61" t="s">
        <v>376</v>
      </c>
      <c r="B168" s="62">
        <v>37.0</v>
      </c>
      <c r="C168" s="62" t="s">
        <v>26</v>
      </c>
      <c r="D168" s="61">
        <v>1.0</v>
      </c>
      <c r="E168" s="63">
        <v>46123.0</v>
      </c>
      <c r="F168" s="47"/>
    </row>
    <row r="169" ht="22.5" customHeight="1">
      <c r="A169" s="61" t="s">
        <v>376</v>
      </c>
      <c r="B169" s="62">
        <v>37.0</v>
      </c>
      <c r="C169" s="62" t="s">
        <v>47</v>
      </c>
      <c r="D169" s="61">
        <v>1.0</v>
      </c>
      <c r="E169" s="63">
        <v>46123.0</v>
      </c>
      <c r="F169" s="47"/>
    </row>
    <row r="170" ht="22.5" customHeight="1">
      <c r="A170" s="61" t="s">
        <v>376</v>
      </c>
      <c r="B170" s="62">
        <v>37.0</v>
      </c>
      <c r="C170" s="62" t="s">
        <v>18</v>
      </c>
      <c r="D170" s="61">
        <v>1.0</v>
      </c>
      <c r="E170" s="63">
        <v>46123.0</v>
      </c>
      <c r="F170" s="47"/>
    </row>
    <row r="171" ht="22.5" customHeight="1">
      <c r="A171" s="61" t="s">
        <v>376</v>
      </c>
      <c r="B171" s="62">
        <v>39.0</v>
      </c>
      <c r="C171" s="62" t="s">
        <v>26</v>
      </c>
      <c r="D171" s="61">
        <v>1.0</v>
      </c>
      <c r="E171" s="63">
        <v>46123.0</v>
      </c>
      <c r="F171" s="47"/>
    </row>
    <row r="172" ht="22.5" customHeight="1">
      <c r="A172" s="61" t="s">
        <v>441</v>
      </c>
      <c r="B172" s="62" t="s">
        <v>46</v>
      </c>
      <c r="C172" s="62" t="s">
        <v>26</v>
      </c>
      <c r="D172" s="61">
        <v>22.0</v>
      </c>
      <c r="E172" s="63">
        <v>46123.0</v>
      </c>
      <c r="F172" s="47"/>
    </row>
    <row r="173" ht="22.5" customHeight="1">
      <c r="A173" s="61" t="s">
        <v>441</v>
      </c>
      <c r="B173" s="62" t="s">
        <v>46</v>
      </c>
      <c r="C173" s="62" t="s">
        <v>16</v>
      </c>
      <c r="D173" s="61">
        <v>2.0</v>
      </c>
      <c r="E173" s="63">
        <v>46123.0</v>
      </c>
      <c r="F173" s="47"/>
    </row>
    <row r="174" ht="22.5" customHeight="1">
      <c r="A174" s="61" t="s">
        <v>441</v>
      </c>
      <c r="B174" s="62" t="s">
        <v>46</v>
      </c>
      <c r="C174" s="62" t="s">
        <v>447</v>
      </c>
      <c r="D174" s="61">
        <v>15.0</v>
      </c>
      <c r="E174" s="63">
        <v>46123.0</v>
      </c>
      <c r="F174" s="47"/>
    </row>
    <row r="175" ht="22.5" customHeight="1">
      <c r="A175" s="61" t="s">
        <v>441</v>
      </c>
      <c r="B175" s="62" t="s">
        <v>46</v>
      </c>
      <c r="C175" s="62" t="s">
        <v>47</v>
      </c>
      <c r="D175" s="61">
        <v>22.0</v>
      </c>
      <c r="E175" s="63">
        <v>46123.0</v>
      </c>
      <c r="F175" s="47"/>
    </row>
    <row r="176" ht="22.5" customHeight="1">
      <c r="A176" s="61">
        <v>8876.0</v>
      </c>
      <c r="B176" s="62" t="s">
        <v>22</v>
      </c>
      <c r="C176" s="62" t="s">
        <v>18</v>
      </c>
      <c r="D176" s="61">
        <v>11.0</v>
      </c>
      <c r="E176" s="63">
        <v>46123.0</v>
      </c>
      <c r="F176" s="47"/>
    </row>
    <row r="177" ht="22.5" customHeight="1">
      <c r="A177" s="61">
        <v>9094.0</v>
      </c>
      <c r="B177" s="62" t="s">
        <v>12</v>
      </c>
      <c r="C177" s="62" t="s">
        <v>23</v>
      </c>
      <c r="D177" s="61">
        <v>5.0</v>
      </c>
      <c r="E177" s="63">
        <v>46123.0</v>
      </c>
      <c r="F177" s="47"/>
    </row>
    <row r="178" ht="22.5" customHeight="1">
      <c r="A178" s="61">
        <v>8867.0</v>
      </c>
      <c r="B178" s="62" t="s">
        <v>12</v>
      </c>
      <c r="C178" s="62" t="s">
        <v>13</v>
      </c>
      <c r="D178" s="61">
        <v>5.0</v>
      </c>
      <c r="E178" s="63">
        <v>46123.0</v>
      </c>
      <c r="F178" s="47"/>
    </row>
    <row r="179" ht="22.5" customHeight="1">
      <c r="A179" s="61">
        <v>8740.0</v>
      </c>
      <c r="B179" s="62" t="s">
        <v>22</v>
      </c>
      <c r="C179" s="62" t="s">
        <v>13</v>
      </c>
      <c r="D179" s="61">
        <v>4.0</v>
      </c>
      <c r="E179" s="63">
        <v>46123.0</v>
      </c>
      <c r="F179" s="47"/>
    </row>
    <row r="180" ht="22.5" customHeight="1">
      <c r="A180" s="61">
        <v>8436.0</v>
      </c>
      <c r="B180" s="62" t="s">
        <v>12</v>
      </c>
      <c r="C180" s="62" t="s">
        <v>13</v>
      </c>
      <c r="D180" s="61">
        <v>5.0</v>
      </c>
      <c r="E180" s="63">
        <v>46123.0</v>
      </c>
      <c r="F180" s="47"/>
    </row>
    <row r="181" ht="22.5" customHeight="1">
      <c r="A181" s="61">
        <v>8436.0</v>
      </c>
      <c r="B181" s="62" t="s">
        <v>22</v>
      </c>
      <c r="C181" s="62" t="s">
        <v>13</v>
      </c>
      <c r="D181" s="61">
        <v>5.0</v>
      </c>
      <c r="E181" s="63">
        <v>46123.0</v>
      </c>
      <c r="F181" s="47"/>
    </row>
    <row r="182" ht="22.5" customHeight="1">
      <c r="A182" s="61">
        <v>7249.0</v>
      </c>
      <c r="B182" s="62" t="s">
        <v>22</v>
      </c>
      <c r="C182" s="62" t="s">
        <v>58</v>
      </c>
      <c r="D182" s="61">
        <v>5.0</v>
      </c>
      <c r="E182" s="63">
        <v>46123.0</v>
      </c>
      <c r="F182" s="47"/>
    </row>
    <row r="183" ht="22.5" customHeight="1">
      <c r="A183" s="61">
        <v>9094.0</v>
      </c>
      <c r="B183" s="62" t="s">
        <v>12</v>
      </c>
      <c r="C183" s="62" t="s">
        <v>58</v>
      </c>
      <c r="D183" s="61">
        <v>3.0</v>
      </c>
      <c r="E183" s="63">
        <v>46123.0</v>
      </c>
      <c r="F183" s="47"/>
    </row>
    <row r="184" ht="22.5" customHeight="1">
      <c r="A184" s="61">
        <v>8867.0</v>
      </c>
      <c r="B184" s="62" t="s">
        <v>22</v>
      </c>
      <c r="C184" s="62" t="s">
        <v>13</v>
      </c>
      <c r="D184" s="61">
        <v>3.0</v>
      </c>
      <c r="E184" s="63">
        <v>46123.0</v>
      </c>
      <c r="F184" s="47"/>
    </row>
    <row r="185" ht="22.5" customHeight="1">
      <c r="A185" s="61">
        <v>9140.0</v>
      </c>
      <c r="B185" s="62" t="s">
        <v>22</v>
      </c>
      <c r="C185" s="62" t="s">
        <v>18</v>
      </c>
      <c r="D185" s="61">
        <v>3.0</v>
      </c>
      <c r="E185" s="63">
        <v>46123.0</v>
      </c>
      <c r="F185" s="47"/>
    </row>
    <row r="186" ht="22.5" customHeight="1">
      <c r="A186" s="61">
        <v>9369.0</v>
      </c>
      <c r="B186" s="62" t="s">
        <v>12</v>
      </c>
      <c r="C186" s="62" t="s">
        <v>58</v>
      </c>
      <c r="D186" s="61">
        <v>6.0</v>
      </c>
      <c r="E186" s="63">
        <v>46123.0</v>
      </c>
      <c r="F186" s="47"/>
    </row>
    <row r="187" ht="22.5" customHeight="1">
      <c r="A187" s="61">
        <v>8876.0</v>
      </c>
      <c r="B187" s="62" t="s">
        <v>12</v>
      </c>
      <c r="C187" s="62" t="s">
        <v>26</v>
      </c>
      <c r="D187" s="61">
        <v>2.0</v>
      </c>
      <c r="E187" s="63">
        <v>46123.0</v>
      </c>
      <c r="F187" s="47"/>
    </row>
    <row r="188" ht="22.5" customHeight="1">
      <c r="A188" s="61">
        <v>9094.0</v>
      </c>
      <c r="B188" s="62" t="s">
        <v>22</v>
      </c>
      <c r="C188" s="62" t="s">
        <v>23</v>
      </c>
      <c r="D188" s="61">
        <v>2.0</v>
      </c>
      <c r="E188" s="63">
        <v>46123.0</v>
      </c>
      <c r="F188" s="47"/>
    </row>
    <row r="189" ht="22.5" customHeight="1">
      <c r="A189" s="61">
        <v>9140.0</v>
      </c>
      <c r="B189" s="62" t="s">
        <v>12</v>
      </c>
      <c r="C189" s="62" t="s">
        <v>27</v>
      </c>
      <c r="D189" s="61">
        <v>2.0</v>
      </c>
      <c r="E189" s="63">
        <v>46123.0</v>
      </c>
      <c r="F189" s="47"/>
    </row>
    <row r="190" ht="22.5" customHeight="1">
      <c r="A190" s="61">
        <v>9094.0</v>
      </c>
      <c r="B190" s="62" t="s">
        <v>12</v>
      </c>
      <c r="C190" s="62" t="s">
        <v>16</v>
      </c>
      <c r="D190" s="61">
        <v>1.0</v>
      </c>
      <c r="E190" s="63">
        <v>46123.0</v>
      </c>
      <c r="F190" s="47"/>
    </row>
    <row r="191" ht="22.5" customHeight="1">
      <c r="A191" s="61">
        <v>9094.0</v>
      </c>
      <c r="B191" s="62" t="s">
        <v>22</v>
      </c>
      <c r="C191" s="62" t="s">
        <v>58</v>
      </c>
      <c r="D191" s="61">
        <v>1.0</v>
      </c>
      <c r="E191" s="63">
        <v>46123.0</v>
      </c>
      <c r="F191" s="47"/>
    </row>
    <row r="192" ht="22.5" customHeight="1">
      <c r="A192" s="61">
        <v>8748.0</v>
      </c>
      <c r="B192" s="62" t="s">
        <v>12</v>
      </c>
      <c r="C192" s="62" t="s">
        <v>58</v>
      </c>
      <c r="D192" s="61">
        <v>3.0</v>
      </c>
      <c r="E192" s="63">
        <v>46123.0</v>
      </c>
      <c r="F192" s="47"/>
    </row>
    <row r="193" ht="22.5" customHeight="1">
      <c r="A193" s="61">
        <v>8740.0</v>
      </c>
      <c r="B193" s="62" t="s">
        <v>12</v>
      </c>
      <c r="C193" s="62" t="s">
        <v>13</v>
      </c>
      <c r="D193" s="61">
        <v>3.0</v>
      </c>
      <c r="E193" s="63">
        <v>46123.0</v>
      </c>
      <c r="F193" s="47"/>
    </row>
    <row r="194" ht="22.5" customHeight="1">
      <c r="A194" s="61">
        <v>8867.0</v>
      </c>
      <c r="B194" s="62" t="s">
        <v>22</v>
      </c>
      <c r="C194" s="62" t="s">
        <v>13</v>
      </c>
      <c r="D194" s="61">
        <v>1.0</v>
      </c>
      <c r="E194" s="63">
        <v>46125.0</v>
      </c>
      <c r="F194" s="47"/>
    </row>
    <row r="195" ht="22.5" customHeight="1">
      <c r="A195" s="61" t="s">
        <v>378</v>
      </c>
      <c r="B195" s="62" t="s">
        <v>46</v>
      </c>
      <c r="C195" s="62" t="s">
        <v>13</v>
      </c>
      <c r="D195" s="61">
        <v>1.0</v>
      </c>
      <c r="E195" s="63">
        <v>46125.0</v>
      </c>
      <c r="F195" s="47"/>
    </row>
    <row r="196" ht="22.5" customHeight="1">
      <c r="A196" s="61" t="s">
        <v>517</v>
      </c>
      <c r="B196" s="62" t="s">
        <v>46</v>
      </c>
      <c r="C196" s="62" t="s">
        <v>338</v>
      </c>
      <c r="D196" s="61">
        <v>26.0</v>
      </c>
      <c r="E196" s="63">
        <v>46126.0</v>
      </c>
      <c r="F196" s="47"/>
    </row>
    <row r="197" ht="22.5" customHeight="1">
      <c r="A197" s="61" t="s">
        <v>269</v>
      </c>
      <c r="B197" s="62">
        <v>36.0</v>
      </c>
      <c r="C197" s="62" t="s">
        <v>18</v>
      </c>
      <c r="D197" s="61">
        <v>16.0</v>
      </c>
      <c r="E197" s="63">
        <v>46126.0</v>
      </c>
      <c r="F197" s="47"/>
    </row>
    <row r="198" ht="22.5" customHeight="1">
      <c r="A198" s="61" t="s">
        <v>269</v>
      </c>
      <c r="B198" s="62">
        <v>37.0</v>
      </c>
      <c r="C198" s="62" t="s">
        <v>47</v>
      </c>
      <c r="D198" s="61">
        <v>2.0</v>
      </c>
      <c r="E198" s="63">
        <v>46126.0</v>
      </c>
      <c r="F198" s="47"/>
    </row>
    <row r="199" ht="22.5" customHeight="1">
      <c r="A199" s="61" t="s">
        <v>269</v>
      </c>
      <c r="B199" s="62">
        <v>39.0</v>
      </c>
      <c r="C199" s="62" t="s">
        <v>47</v>
      </c>
      <c r="D199" s="61">
        <v>2.0</v>
      </c>
      <c r="E199" s="63">
        <v>46126.0</v>
      </c>
      <c r="F199" s="47"/>
    </row>
    <row r="200" ht="22.5" customHeight="1">
      <c r="A200" s="61" t="s">
        <v>269</v>
      </c>
      <c r="B200" s="62">
        <v>39.0</v>
      </c>
      <c r="C200" s="62" t="s">
        <v>47</v>
      </c>
      <c r="D200" s="61">
        <v>1.0</v>
      </c>
      <c r="E200" s="63">
        <v>46128.0</v>
      </c>
      <c r="F200" s="47"/>
    </row>
    <row r="201" ht="22.5" customHeight="1">
      <c r="A201" s="61" t="s">
        <v>269</v>
      </c>
      <c r="B201" s="62">
        <v>39.0</v>
      </c>
      <c r="C201" s="62" t="s">
        <v>18</v>
      </c>
      <c r="D201" s="61">
        <v>1.0</v>
      </c>
      <c r="E201" s="63">
        <v>46128.0</v>
      </c>
      <c r="F201" s="47"/>
    </row>
    <row r="202" ht="22.5" customHeight="1">
      <c r="A202" s="61">
        <v>9091.0</v>
      </c>
      <c r="B202" s="62" t="s">
        <v>12</v>
      </c>
      <c r="C202" s="62" t="s">
        <v>58</v>
      </c>
      <c r="D202" s="61">
        <v>9.0</v>
      </c>
      <c r="E202" s="63">
        <v>46130.0</v>
      </c>
      <c r="F202" s="47"/>
    </row>
    <row r="203" ht="22.5" customHeight="1">
      <c r="A203" s="61">
        <v>8558.0</v>
      </c>
      <c r="B203" s="62" t="s">
        <v>12</v>
      </c>
      <c r="C203" s="62" t="s">
        <v>13</v>
      </c>
      <c r="D203" s="61">
        <v>8.0</v>
      </c>
      <c r="E203" s="63">
        <v>46130.0</v>
      </c>
      <c r="F203" s="47"/>
    </row>
    <row r="204" ht="22.5" customHeight="1">
      <c r="A204" s="61" t="s">
        <v>269</v>
      </c>
      <c r="B204" s="62">
        <v>39.0</v>
      </c>
      <c r="C204" s="62" t="s">
        <v>18</v>
      </c>
      <c r="D204" s="61">
        <v>11.0</v>
      </c>
      <c r="E204" s="63">
        <v>46130.0</v>
      </c>
      <c r="F204" s="47"/>
    </row>
    <row r="205" ht="22.5" customHeight="1">
      <c r="A205" s="61">
        <v>8558.0</v>
      </c>
      <c r="B205" s="62" t="s">
        <v>22</v>
      </c>
      <c r="C205" s="62" t="s">
        <v>773</v>
      </c>
      <c r="D205" s="61">
        <v>7.0</v>
      </c>
      <c r="E205" s="63">
        <v>46130.0</v>
      </c>
      <c r="F205" s="47"/>
    </row>
    <row r="206" ht="22.5" customHeight="1">
      <c r="A206" s="61">
        <v>8558.0</v>
      </c>
      <c r="B206" s="62" t="s">
        <v>22</v>
      </c>
      <c r="C206" s="62" t="s">
        <v>16</v>
      </c>
      <c r="D206" s="61">
        <v>5.0</v>
      </c>
      <c r="E206" s="63">
        <v>46130.0</v>
      </c>
      <c r="F206" s="47"/>
    </row>
    <row r="207" ht="22.5" customHeight="1">
      <c r="A207" s="61">
        <v>8876.0</v>
      </c>
      <c r="B207" s="62" t="s">
        <v>12</v>
      </c>
      <c r="C207" s="62" t="s">
        <v>18</v>
      </c>
      <c r="D207" s="61">
        <v>4.0</v>
      </c>
      <c r="E207" s="63">
        <v>46130.0</v>
      </c>
      <c r="F207" s="47"/>
    </row>
    <row r="208" ht="22.5" customHeight="1">
      <c r="A208" s="61">
        <v>8558.0</v>
      </c>
      <c r="B208" s="62" t="s">
        <v>22</v>
      </c>
      <c r="C208" s="62" t="s">
        <v>18</v>
      </c>
      <c r="D208" s="61">
        <v>4.0</v>
      </c>
      <c r="E208" s="63">
        <v>46130.0</v>
      </c>
      <c r="F208" s="47"/>
    </row>
    <row r="209" ht="22.5" customHeight="1">
      <c r="A209" s="61">
        <v>5709.0</v>
      </c>
      <c r="B209" s="62" t="s">
        <v>12</v>
      </c>
      <c r="C209" s="62" t="s">
        <v>340</v>
      </c>
      <c r="D209" s="61">
        <v>4.0</v>
      </c>
      <c r="E209" s="63">
        <v>46130.0</v>
      </c>
      <c r="F209" s="47"/>
    </row>
    <row r="210" ht="22.5" customHeight="1">
      <c r="A210" s="61">
        <v>5709.0</v>
      </c>
      <c r="B210" s="62" t="s">
        <v>22</v>
      </c>
      <c r="C210" s="62" t="s">
        <v>340</v>
      </c>
      <c r="D210" s="61">
        <v>2.0</v>
      </c>
      <c r="E210" s="63">
        <v>46130.0</v>
      </c>
      <c r="F210" s="47"/>
    </row>
    <row r="211" ht="22.5" customHeight="1">
      <c r="A211" s="61">
        <v>8116.0</v>
      </c>
      <c r="B211" s="62" t="s">
        <v>12</v>
      </c>
      <c r="C211" s="62" t="s">
        <v>13</v>
      </c>
      <c r="D211" s="61">
        <v>4.0</v>
      </c>
      <c r="E211" s="63">
        <v>46130.0</v>
      </c>
      <c r="F211" s="47"/>
    </row>
    <row r="212" ht="22.5" customHeight="1">
      <c r="A212" s="61">
        <v>8897.0</v>
      </c>
      <c r="B212" s="62" t="s">
        <v>22</v>
      </c>
      <c r="C212" s="62" t="s">
        <v>13</v>
      </c>
      <c r="D212" s="61">
        <v>3.0</v>
      </c>
      <c r="E212" s="63">
        <v>46130.0</v>
      </c>
      <c r="F212" s="47"/>
    </row>
    <row r="213" ht="22.5" customHeight="1">
      <c r="A213" s="61">
        <v>9091.0</v>
      </c>
      <c r="B213" s="62" t="s">
        <v>12</v>
      </c>
      <c r="C213" s="62" t="s">
        <v>13</v>
      </c>
      <c r="D213" s="61">
        <v>3.0</v>
      </c>
      <c r="E213" s="63">
        <v>46130.0</v>
      </c>
      <c r="F213" s="47"/>
    </row>
    <row r="214" ht="22.5" customHeight="1">
      <c r="A214" s="61">
        <v>9094.0</v>
      </c>
      <c r="B214" s="62" t="s">
        <v>12</v>
      </c>
      <c r="C214" s="62" t="s">
        <v>58</v>
      </c>
      <c r="D214" s="61">
        <v>2.0</v>
      </c>
      <c r="E214" s="63">
        <v>46130.0</v>
      </c>
      <c r="F214" s="47"/>
    </row>
    <row r="215" ht="22.5" customHeight="1">
      <c r="A215" s="61">
        <v>8558.0</v>
      </c>
      <c r="B215" s="62" t="s">
        <v>12</v>
      </c>
      <c r="C215" s="62" t="s">
        <v>16</v>
      </c>
      <c r="D215" s="61">
        <v>2.0</v>
      </c>
      <c r="E215" s="63">
        <v>46130.0</v>
      </c>
      <c r="F215" s="47"/>
    </row>
    <row r="216" ht="22.5" customHeight="1">
      <c r="A216" s="61">
        <v>8116.0</v>
      </c>
      <c r="B216" s="62" t="s">
        <v>22</v>
      </c>
      <c r="C216" s="62" t="s">
        <v>58</v>
      </c>
      <c r="D216" s="61">
        <v>2.0</v>
      </c>
      <c r="E216" s="63">
        <v>46130.0</v>
      </c>
      <c r="F216" s="47"/>
    </row>
    <row r="217" ht="22.5" customHeight="1">
      <c r="A217" s="61">
        <v>8876.0</v>
      </c>
      <c r="B217" s="62" t="s">
        <v>22</v>
      </c>
      <c r="C217" s="62" t="s">
        <v>23</v>
      </c>
      <c r="D217" s="61">
        <v>1.0</v>
      </c>
      <c r="E217" s="63">
        <v>46130.0</v>
      </c>
      <c r="F217" s="47"/>
    </row>
    <row r="218" ht="22.5" customHeight="1">
      <c r="A218" s="61">
        <v>8825.0</v>
      </c>
      <c r="B218" s="62" t="s">
        <v>12</v>
      </c>
      <c r="C218" s="62" t="s">
        <v>13</v>
      </c>
      <c r="D218" s="61">
        <v>1.0</v>
      </c>
      <c r="E218" s="63">
        <v>46130.0</v>
      </c>
      <c r="F218" s="47"/>
    </row>
    <row r="219" ht="22.5" customHeight="1">
      <c r="A219" s="61">
        <v>8116.0</v>
      </c>
      <c r="B219" s="62" t="s">
        <v>75</v>
      </c>
      <c r="C219" s="62" t="s">
        <v>58</v>
      </c>
      <c r="D219" s="61">
        <v>1.0</v>
      </c>
      <c r="E219" s="63">
        <v>46130.0</v>
      </c>
      <c r="F219" s="47"/>
    </row>
    <row r="220" ht="22.5" customHeight="1">
      <c r="A220" s="61">
        <v>8740.0</v>
      </c>
      <c r="B220" s="62" t="s">
        <v>22</v>
      </c>
      <c r="C220" s="62" t="s">
        <v>13</v>
      </c>
      <c r="D220" s="61">
        <v>4.0</v>
      </c>
      <c r="E220" s="63">
        <v>46130.0</v>
      </c>
      <c r="F220" s="47"/>
    </row>
    <row r="221" ht="22.5" customHeight="1">
      <c r="A221" s="61">
        <v>8558.0</v>
      </c>
      <c r="B221" s="62" t="s">
        <v>22</v>
      </c>
      <c r="C221" s="62" t="s">
        <v>18</v>
      </c>
      <c r="D221" s="61">
        <v>1.0</v>
      </c>
      <c r="E221" s="63">
        <v>46130.0</v>
      </c>
      <c r="F221" s="47"/>
    </row>
    <row r="222" ht="22.5" customHeight="1">
      <c r="A222" s="61">
        <v>8876.0</v>
      </c>
      <c r="B222" s="62" t="s">
        <v>12</v>
      </c>
      <c r="C222" s="62" t="s">
        <v>18</v>
      </c>
      <c r="D222" s="61">
        <v>1.0</v>
      </c>
      <c r="E222" s="63">
        <v>46130.0</v>
      </c>
      <c r="F222" s="47"/>
    </row>
    <row r="223" ht="22.5" customHeight="1">
      <c r="A223" s="61">
        <v>8876.0</v>
      </c>
      <c r="B223" s="62" t="s">
        <v>12</v>
      </c>
      <c r="C223" s="62" t="s">
        <v>26</v>
      </c>
      <c r="D223" s="61">
        <v>1.0</v>
      </c>
      <c r="E223" s="63">
        <v>46130.0</v>
      </c>
      <c r="F223" s="47"/>
    </row>
    <row r="224" ht="22.5" customHeight="1">
      <c r="A224" s="61" t="s">
        <v>269</v>
      </c>
      <c r="B224" s="62">
        <v>36.0</v>
      </c>
      <c r="C224" s="62" t="s">
        <v>18</v>
      </c>
      <c r="D224" s="61">
        <v>1.0</v>
      </c>
      <c r="E224" s="63">
        <v>46131.0</v>
      </c>
      <c r="F224" s="47"/>
    </row>
    <row r="225" ht="22.5" customHeight="1">
      <c r="A225" s="61" t="s">
        <v>269</v>
      </c>
      <c r="B225" s="62">
        <v>36.0</v>
      </c>
      <c r="C225" s="62" t="s">
        <v>18</v>
      </c>
      <c r="D225" s="61">
        <v>1.0</v>
      </c>
      <c r="E225" s="63">
        <v>46132.0</v>
      </c>
      <c r="F225" s="47"/>
    </row>
    <row r="226" ht="22.5" customHeight="1">
      <c r="A226" s="61" t="s">
        <v>269</v>
      </c>
      <c r="B226" s="62">
        <v>37.0</v>
      </c>
      <c r="C226" s="62" t="s">
        <v>18</v>
      </c>
      <c r="D226" s="61">
        <v>15.0</v>
      </c>
      <c r="E226" s="63">
        <v>46132.0</v>
      </c>
      <c r="F226" s="47"/>
    </row>
    <row r="227" ht="22.5" customHeight="1">
      <c r="A227" s="61" t="s">
        <v>378</v>
      </c>
      <c r="B227" s="62" t="s">
        <v>46</v>
      </c>
      <c r="C227" s="62" t="s">
        <v>23</v>
      </c>
      <c r="D227" s="61">
        <v>13.0</v>
      </c>
      <c r="E227" s="63">
        <v>46132.0</v>
      </c>
      <c r="F227" s="47"/>
    </row>
    <row r="228" ht="22.5" customHeight="1">
      <c r="A228" s="61" t="s">
        <v>378</v>
      </c>
      <c r="B228" s="62" t="s">
        <v>46</v>
      </c>
      <c r="C228" s="62" t="s">
        <v>18</v>
      </c>
      <c r="D228" s="61">
        <v>15.0</v>
      </c>
      <c r="E228" s="63">
        <v>46132.0</v>
      </c>
      <c r="F228" s="47"/>
    </row>
    <row r="229" ht="22.5" customHeight="1">
      <c r="A229" s="61" t="s">
        <v>378</v>
      </c>
      <c r="B229" s="62" t="s">
        <v>46</v>
      </c>
      <c r="C229" s="62" t="s">
        <v>13</v>
      </c>
      <c r="D229" s="61">
        <v>11.0</v>
      </c>
      <c r="E229" s="63">
        <v>46132.0</v>
      </c>
      <c r="F229" s="47"/>
    </row>
    <row r="230" ht="22.5" customHeight="1">
      <c r="A230" s="61" t="s">
        <v>378</v>
      </c>
      <c r="B230" s="62" t="s">
        <v>46</v>
      </c>
      <c r="C230" s="62" t="s">
        <v>47</v>
      </c>
      <c r="D230" s="61">
        <v>9.0</v>
      </c>
      <c r="E230" s="63">
        <v>46132.0</v>
      </c>
      <c r="F230" s="47"/>
    </row>
    <row r="231" ht="22.5" customHeight="1">
      <c r="A231" s="61" t="s">
        <v>441</v>
      </c>
      <c r="B231" s="62" t="s">
        <v>46</v>
      </c>
      <c r="C231" s="62" t="s">
        <v>447</v>
      </c>
      <c r="D231" s="61">
        <v>3.0</v>
      </c>
      <c r="E231" s="63">
        <v>46132.0</v>
      </c>
      <c r="F231" s="47"/>
    </row>
    <row r="232" ht="22.5" customHeight="1">
      <c r="A232" s="61">
        <v>8558.0</v>
      </c>
      <c r="B232" s="62" t="s">
        <v>22</v>
      </c>
      <c r="C232" s="62" t="s">
        <v>13</v>
      </c>
      <c r="D232" s="61">
        <v>6.0</v>
      </c>
      <c r="E232" s="63">
        <v>46132.0</v>
      </c>
      <c r="F232" s="47"/>
    </row>
    <row r="233" ht="22.5" customHeight="1">
      <c r="A233" s="61" t="s">
        <v>269</v>
      </c>
      <c r="B233" s="62">
        <v>40.0</v>
      </c>
      <c r="C233" s="62" t="s">
        <v>18</v>
      </c>
      <c r="D233" s="61">
        <v>4.0</v>
      </c>
      <c r="E233" s="63">
        <v>46132.0</v>
      </c>
      <c r="F233" s="47"/>
    </row>
    <row r="234" ht="22.5" customHeight="1">
      <c r="A234" s="61">
        <v>8558.0</v>
      </c>
      <c r="B234" s="62" t="s">
        <v>22</v>
      </c>
      <c r="C234" s="62" t="s">
        <v>770</v>
      </c>
      <c r="D234" s="61">
        <v>5.0</v>
      </c>
      <c r="E234" s="63">
        <v>46132.0</v>
      </c>
      <c r="F234" s="47"/>
    </row>
    <row r="235" ht="22.5" customHeight="1">
      <c r="A235" s="61">
        <v>8558.0</v>
      </c>
      <c r="B235" s="62" t="s">
        <v>12</v>
      </c>
      <c r="C235" s="62" t="s">
        <v>18</v>
      </c>
      <c r="D235" s="61">
        <v>4.0</v>
      </c>
      <c r="E235" s="63">
        <v>46132.0</v>
      </c>
      <c r="F235" s="47"/>
    </row>
    <row r="236" ht="22.5" customHeight="1">
      <c r="A236" s="61">
        <v>8558.0</v>
      </c>
      <c r="B236" s="62" t="s">
        <v>12</v>
      </c>
      <c r="C236" s="62" t="s">
        <v>773</v>
      </c>
      <c r="D236" s="61">
        <v>3.0</v>
      </c>
      <c r="E236" s="63">
        <v>46132.0</v>
      </c>
      <c r="F236" s="47"/>
    </row>
    <row r="237" ht="22.5" customHeight="1">
      <c r="A237" s="61">
        <v>8897.0</v>
      </c>
      <c r="B237" s="62" t="s">
        <v>12</v>
      </c>
      <c r="C237" s="62" t="s">
        <v>13</v>
      </c>
      <c r="D237" s="61">
        <v>2.0</v>
      </c>
      <c r="E237" s="63">
        <v>46132.0</v>
      </c>
      <c r="F237" s="47"/>
    </row>
    <row r="238" ht="22.5" customHeight="1">
      <c r="A238" s="61">
        <v>8558.0</v>
      </c>
      <c r="B238" s="62" t="s">
        <v>12</v>
      </c>
      <c r="C238" s="62" t="s">
        <v>770</v>
      </c>
      <c r="D238" s="61">
        <v>2.0</v>
      </c>
      <c r="E238" s="63">
        <v>46132.0</v>
      </c>
      <c r="F238" s="47"/>
    </row>
    <row r="239" ht="22.5" customHeight="1">
      <c r="A239" s="61">
        <v>9094.0</v>
      </c>
      <c r="B239" s="62" t="s">
        <v>12</v>
      </c>
      <c r="C239" s="62" t="s">
        <v>23</v>
      </c>
      <c r="D239" s="61">
        <v>2.0</v>
      </c>
      <c r="E239" s="63">
        <v>46132.0</v>
      </c>
      <c r="F239" s="47"/>
    </row>
    <row r="240" ht="22.5" customHeight="1">
      <c r="A240" s="61" t="s">
        <v>269</v>
      </c>
      <c r="B240" s="62">
        <v>36.0</v>
      </c>
      <c r="C240" s="62" t="s">
        <v>47</v>
      </c>
      <c r="D240" s="61">
        <v>1.0</v>
      </c>
      <c r="E240" s="63">
        <v>46132.0</v>
      </c>
      <c r="F240" s="47"/>
    </row>
    <row r="241" ht="22.5" customHeight="1">
      <c r="A241" s="61" t="s">
        <v>378</v>
      </c>
      <c r="B241" s="62" t="s">
        <v>46</v>
      </c>
      <c r="C241" s="62" t="s">
        <v>23</v>
      </c>
      <c r="D241" s="61">
        <v>1.0</v>
      </c>
      <c r="E241" s="63">
        <v>46133.0</v>
      </c>
      <c r="F241" s="47"/>
    </row>
    <row r="242" ht="22.5" customHeight="1">
      <c r="A242" s="61" t="s">
        <v>378</v>
      </c>
      <c r="B242" s="62" t="s">
        <v>46</v>
      </c>
      <c r="C242" s="62" t="s">
        <v>18</v>
      </c>
      <c r="D242" s="61">
        <v>1.0</v>
      </c>
      <c r="E242" s="63">
        <v>46133.0</v>
      </c>
      <c r="F242" s="47"/>
    </row>
    <row r="243" ht="22.5" customHeight="1">
      <c r="A243" s="61" t="s">
        <v>269</v>
      </c>
      <c r="B243" s="62">
        <v>37.0</v>
      </c>
      <c r="C243" s="62" t="s">
        <v>47</v>
      </c>
      <c r="D243" s="61">
        <v>1.0</v>
      </c>
      <c r="E243" s="63">
        <v>46133.0</v>
      </c>
      <c r="F243" s="47"/>
    </row>
    <row r="244" ht="22.5" customHeight="1">
      <c r="A244" s="61" t="s">
        <v>269</v>
      </c>
      <c r="B244" s="62">
        <v>37.0</v>
      </c>
      <c r="C244" s="62" t="s">
        <v>18</v>
      </c>
      <c r="D244" s="61">
        <v>1.0</v>
      </c>
      <c r="E244" s="63">
        <v>46135.0</v>
      </c>
      <c r="F244" s="47"/>
    </row>
    <row r="245" ht="22.5" customHeight="1">
      <c r="A245" s="61" t="s">
        <v>269</v>
      </c>
      <c r="B245" s="62">
        <v>38.0</v>
      </c>
      <c r="C245" s="62" t="s">
        <v>18</v>
      </c>
      <c r="D245" s="61">
        <v>2.0</v>
      </c>
      <c r="E245" s="63">
        <v>46137.0</v>
      </c>
      <c r="F245" s="47"/>
    </row>
    <row r="246" ht="22.5" customHeight="1">
      <c r="A246" s="61" t="s">
        <v>269</v>
      </c>
      <c r="B246" s="62">
        <v>37.0</v>
      </c>
      <c r="C246" s="62" t="s">
        <v>18</v>
      </c>
      <c r="D246" s="61">
        <v>4.0</v>
      </c>
      <c r="E246" s="63">
        <v>46137.0</v>
      </c>
      <c r="F246" s="47"/>
    </row>
    <row r="247" ht="22.5" customHeight="1">
      <c r="A247" s="61" t="s">
        <v>269</v>
      </c>
      <c r="B247" s="62">
        <v>35.0</v>
      </c>
      <c r="C247" s="62" t="s">
        <v>47</v>
      </c>
      <c r="D247" s="61">
        <v>1.0</v>
      </c>
      <c r="E247" s="63">
        <v>46137.0</v>
      </c>
      <c r="F247" s="47"/>
    </row>
    <row r="248" ht="22.5" customHeight="1">
      <c r="A248" s="61">
        <v>7957.0</v>
      </c>
      <c r="B248" s="62" t="s">
        <v>22</v>
      </c>
      <c r="C248" s="62" t="s">
        <v>23</v>
      </c>
      <c r="D248" s="61">
        <v>2.0</v>
      </c>
      <c r="E248" s="63">
        <v>46137.0</v>
      </c>
      <c r="F248" s="47"/>
    </row>
    <row r="249" ht="22.5" customHeight="1">
      <c r="A249" s="61">
        <v>7957.0</v>
      </c>
      <c r="B249" s="62" t="s">
        <v>12</v>
      </c>
      <c r="C249" s="62" t="s">
        <v>13</v>
      </c>
      <c r="D249" s="61">
        <v>2.0</v>
      </c>
      <c r="E249" s="63">
        <v>46137.0</v>
      </c>
      <c r="F249" s="47"/>
    </row>
    <row r="250" ht="22.5" customHeight="1">
      <c r="A250" s="61">
        <v>7957.0</v>
      </c>
      <c r="B250" s="62" t="s">
        <v>22</v>
      </c>
      <c r="C250" s="62" t="s">
        <v>18</v>
      </c>
      <c r="D250" s="61">
        <v>1.0</v>
      </c>
      <c r="E250" s="63">
        <v>46137.0</v>
      </c>
      <c r="F250" s="47"/>
    </row>
    <row r="251" ht="22.5" customHeight="1">
      <c r="A251" s="61">
        <v>7957.0</v>
      </c>
      <c r="B251" s="62" t="s">
        <v>22</v>
      </c>
      <c r="C251" s="62" t="s">
        <v>13</v>
      </c>
      <c r="D251" s="61">
        <v>1.0</v>
      </c>
      <c r="E251" s="63">
        <v>46137.0</v>
      </c>
      <c r="F251" s="47"/>
    </row>
    <row r="252" ht="22.5" customHeight="1">
      <c r="A252" s="61">
        <v>7957.0</v>
      </c>
      <c r="B252" s="62" t="s">
        <v>12</v>
      </c>
      <c r="C252" s="62" t="s">
        <v>23</v>
      </c>
      <c r="D252" s="61">
        <v>1.0</v>
      </c>
      <c r="E252" s="63">
        <v>46137.0</v>
      </c>
      <c r="F252" s="47"/>
    </row>
    <row r="253" ht="22.5" customHeight="1">
      <c r="A253" s="61">
        <v>7957.0</v>
      </c>
      <c r="B253" s="62" t="s">
        <v>12</v>
      </c>
      <c r="C253" s="62" t="s">
        <v>18</v>
      </c>
      <c r="D253" s="61">
        <v>1.0</v>
      </c>
      <c r="E253" s="63">
        <v>46137.0</v>
      </c>
      <c r="F253" s="47"/>
    </row>
    <row r="254" ht="22.5" customHeight="1">
      <c r="A254" s="61" t="s">
        <v>763</v>
      </c>
      <c r="B254" s="62" t="s">
        <v>46</v>
      </c>
      <c r="C254" s="62" t="s">
        <v>1120</v>
      </c>
      <c r="D254" s="61">
        <v>1.0</v>
      </c>
      <c r="E254" s="63">
        <v>46137.0</v>
      </c>
      <c r="F254" s="47"/>
    </row>
    <row r="255" ht="22.5" customHeight="1">
      <c r="A255" s="61" t="s">
        <v>269</v>
      </c>
      <c r="B255" s="62">
        <v>36.0</v>
      </c>
      <c r="C255" s="62" t="s">
        <v>18</v>
      </c>
      <c r="D255" s="61">
        <v>1.0</v>
      </c>
      <c r="E255" s="63">
        <v>46137.0</v>
      </c>
      <c r="F255" s="47"/>
    </row>
    <row r="256" ht="22.5" customHeight="1">
      <c r="A256" s="61" t="s">
        <v>269</v>
      </c>
      <c r="B256" s="62">
        <v>36.0</v>
      </c>
      <c r="C256" s="62" t="s">
        <v>47</v>
      </c>
      <c r="D256" s="61">
        <v>1.0</v>
      </c>
      <c r="E256" s="63">
        <v>46137.0</v>
      </c>
      <c r="F256" s="47"/>
    </row>
    <row r="257" ht="22.5" customHeight="1">
      <c r="A257" s="61" t="s">
        <v>269</v>
      </c>
      <c r="B257" s="62">
        <v>37.0</v>
      </c>
      <c r="C257" s="62" t="s">
        <v>47</v>
      </c>
      <c r="D257" s="61">
        <v>1.0</v>
      </c>
      <c r="E257" s="63">
        <v>46137.0</v>
      </c>
      <c r="F257" s="47"/>
    </row>
    <row r="258" ht="22.5" customHeight="1">
      <c r="A258" s="61" t="s">
        <v>269</v>
      </c>
      <c r="B258" s="62">
        <v>38.0</v>
      </c>
      <c r="C258" s="62" t="s">
        <v>47</v>
      </c>
      <c r="D258" s="61">
        <v>2.0</v>
      </c>
      <c r="E258" s="63">
        <v>46137.0</v>
      </c>
      <c r="F258" s="47"/>
    </row>
    <row r="259" ht="22.5" customHeight="1">
      <c r="A259" s="61">
        <v>8876.0</v>
      </c>
      <c r="B259" s="62" t="s">
        <v>22</v>
      </c>
      <c r="C259" s="62" t="s">
        <v>18</v>
      </c>
      <c r="D259" s="61">
        <v>2.0</v>
      </c>
      <c r="E259" s="63">
        <v>46137.0</v>
      </c>
      <c r="F259" s="47"/>
    </row>
    <row r="260" ht="22.5" customHeight="1">
      <c r="A260" s="61" t="s">
        <v>1430</v>
      </c>
      <c r="B260" s="62">
        <v>38.0</v>
      </c>
      <c r="C260" s="62" t="s">
        <v>47</v>
      </c>
      <c r="D260" s="61">
        <v>1.0</v>
      </c>
      <c r="E260" s="63">
        <v>46137.0</v>
      </c>
      <c r="F260" s="47"/>
    </row>
    <row r="261" ht="22.5" customHeight="1">
      <c r="A261" s="61" t="s">
        <v>1381</v>
      </c>
      <c r="B261" s="62">
        <v>37.0</v>
      </c>
      <c r="C261" s="62" t="s">
        <v>198</v>
      </c>
      <c r="D261" s="61">
        <v>1.0</v>
      </c>
      <c r="E261" s="63">
        <v>46137.0</v>
      </c>
      <c r="F261" s="47"/>
    </row>
    <row r="262" ht="22.5" customHeight="1">
      <c r="A262" s="61" t="s">
        <v>1377</v>
      </c>
      <c r="B262" s="62">
        <v>37.0</v>
      </c>
      <c r="C262" s="62" t="s">
        <v>47</v>
      </c>
      <c r="D262" s="61">
        <v>1.0</v>
      </c>
      <c r="E262" s="63">
        <v>46137.0</v>
      </c>
      <c r="F262" s="47"/>
    </row>
    <row r="263" ht="22.5" customHeight="1">
      <c r="A263" s="61" t="s">
        <v>1377</v>
      </c>
      <c r="B263" s="62">
        <v>37.0</v>
      </c>
      <c r="C263" s="62" t="s">
        <v>16</v>
      </c>
      <c r="D263" s="61">
        <v>1.0</v>
      </c>
      <c r="E263" s="63">
        <v>46137.0</v>
      </c>
      <c r="F263" s="47"/>
    </row>
    <row r="264" ht="22.5" customHeight="1">
      <c r="A264" s="61" t="s">
        <v>1377</v>
      </c>
      <c r="B264" s="62">
        <v>39.0</v>
      </c>
      <c r="C264" s="62" t="s">
        <v>16</v>
      </c>
      <c r="D264" s="61">
        <v>1.0</v>
      </c>
      <c r="E264" s="63">
        <v>46137.0</v>
      </c>
      <c r="F264" s="47"/>
    </row>
    <row r="265" ht="22.5" customHeight="1">
      <c r="A265" s="61" t="s">
        <v>1315</v>
      </c>
      <c r="B265" s="62">
        <v>39.0</v>
      </c>
      <c r="C265" s="62" t="s">
        <v>16</v>
      </c>
      <c r="D265" s="61">
        <v>2.0</v>
      </c>
      <c r="E265" s="63">
        <v>46137.0</v>
      </c>
      <c r="F265" s="47"/>
    </row>
    <row r="266" ht="22.5" customHeight="1">
      <c r="A266" s="61" t="s">
        <v>1315</v>
      </c>
      <c r="B266" s="62">
        <v>38.0</v>
      </c>
      <c r="C266" s="62" t="s">
        <v>16</v>
      </c>
      <c r="D266" s="61">
        <v>1.0</v>
      </c>
      <c r="E266" s="63">
        <v>46137.0</v>
      </c>
      <c r="F266" s="47"/>
    </row>
    <row r="267" ht="22.5" customHeight="1">
      <c r="A267" s="61" t="s">
        <v>1375</v>
      </c>
      <c r="B267" s="62">
        <v>36.0</v>
      </c>
      <c r="C267" s="62" t="s">
        <v>26</v>
      </c>
      <c r="D267" s="61">
        <v>1.0</v>
      </c>
      <c r="E267" s="63">
        <v>46137.0</v>
      </c>
      <c r="F267" s="47"/>
    </row>
    <row r="268" ht="22.5" customHeight="1">
      <c r="A268" s="61" t="s">
        <v>1375</v>
      </c>
      <c r="B268" s="62">
        <v>37.0</v>
      </c>
      <c r="C268" s="62" t="s">
        <v>26</v>
      </c>
      <c r="D268" s="61">
        <v>1.0</v>
      </c>
      <c r="E268" s="63">
        <v>46137.0</v>
      </c>
      <c r="F268" s="47"/>
    </row>
    <row r="269" ht="22.5" customHeight="1">
      <c r="A269" s="61" t="s">
        <v>376</v>
      </c>
      <c r="B269" s="62">
        <v>38.0</v>
      </c>
      <c r="C269" s="62" t="s">
        <v>18</v>
      </c>
      <c r="D269" s="61">
        <v>1.0</v>
      </c>
      <c r="E269" s="63">
        <v>46137.0</v>
      </c>
      <c r="F269" s="47"/>
    </row>
    <row r="270" ht="22.5" customHeight="1">
      <c r="A270" s="61" t="s">
        <v>376</v>
      </c>
      <c r="B270" s="62">
        <v>38.0</v>
      </c>
      <c r="C270" s="62" t="s">
        <v>26</v>
      </c>
      <c r="D270" s="61">
        <v>1.0</v>
      </c>
      <c r="E270" s="63">
        <v>46137.0</v>
      </c>
      <c r="F270" s="47"/>
    </row>
    <row r="271" ht="22.5" customHeight="1">
      <c r="A271" s="61" t="s">
        <v>1893</v>
      </c>
      <c r="B271" s="62">
        <v>37.0</v>
      </c>
      <c r="C271" s="62" t="s">
        <v>26</v>
      </c>
      <c r="D271" s="61">
        <v>1.0</v>
      </c>
      <c r="E271" s="63">
        <v>46137.0</v>
      </c>
      <c r="F271" s="47"/>
    </row>
    <row r="272" ht="22.5" customHeight="1">
      <c r="A272" s="61" t="s">
        <v>361</v>
      </c>
      <c r="B272" s="62" t="s">
        <v>46</v>
      </c>
      <c r="C272" s="62" t="s">
        <v>760</v>
      </c>
      <c r="D272" s="61">
        <v>2.0</v>
      </c>
      <c r="E272" s="63">
        <v>46137.0</v>
      </c>
      <c r="F272" s="47"/>
    </row>
    <row r="273" ht="22.5" customHeight="1">
      <c r="A273" s="61" t="s">
        <v>361</v>
      </c>
      <c r="B273" s="62" t="s">
        <v>46</v>
      </c>
      <c r="C273" s="62" t="s">
        <v>758</v>
      </c>
      <c r="D273" s="61">
        <v>1.0</v>
      </c>
      <c r="E273" s="63">
        <v>46137.0</v>
      </c>
      <c r="F273" s="47"/>
    </row>
    <row r="274" ht="22.5" customHeight="1">
      <c r="A274" s="61" t="s">
        <v>361</v>
      </c>
      <c r="B274" s="62" t="s">
        <v>46</v>
      </c>
      <c r="C274" s="62" t="s">
        <v>758</v>
      </c>
      <c r="D274" s="61">
        <v>2.0</v>
      </c>
      <c r="E274" s="63">
        <v>46137.0</v>
      </c>
      <c r="F274" s="47"/>
    </row>
    <row r="275" ht="22.5" customHeight="1">
      <c r="A275" s="61" t="s">
        <v>361</v>
      </c>
      <c r="B275" s="62" t="s">
        <v>46</v>
      </c>
      <c r="C275" s="62" t="s">
        <v>734</v>
      </c>
      <c r="D275" s="61">
        <v>1.0</v>
      </c>
      <c r="E275" s="63">
        <v>46137.0</v>
      </c>
      <c r="F275" s="47"/>
    </row>
    <row r="276" ht="22.5" customHeight="1">
      <c r="A276" s="61">
        <v>9091.0</v>
      </c>
      <c r="B276" s="62" t="s">
        <v>22</v>
      </c>
      <c r="C276" s="62" t="s">
        <v>13</v>
      </c>
      <c r="D276" s="61">
        <v>2.0</v>
      </c>
      <c r="E276" s="63">
        <v>46137.0</v>
      </c>
      <c r="F276" s="47"/>
    </row>
    <row r="277" ht="22.5" customHeight="1">
      <c r="A277" s="61">
        <v>9091.0</v>
      </c>
      <c r="B277" s="62" t="s">
        <v>75</v>
      </c>
      <c r="C277" s="62" t="s">
        <v>13</v>
      </c>
      <c r="D277" s="61">
        <v>2.0</v>
      </c>
      <c r="E277" s="63">
        <v>46137.0</v>
      </c>
      <c r="F277" s="47"/>
    </row>
    <row r="278" ht="22.5" customHeight="1">
      <c r="A278" s="61">
        <v>9091.0</v>
      </c>
      <c r="B278" s="62" t="s">
        <v>22</v>
      </c>
      <c r="C278" s="62" t="s">
        <v>58</v>
      </c>
      <c r="D278" s="61">
        <v>3.0</v>
      </c>
      <c r="E278" s="63">
        <v>46137.0</v>
      </c>
      <c r="F278" s="47"/>
    </row>
    <row r="279" ht="22.5" customHeight="1">
      <c r="A279" s="61">
        <v>8825.0</v>
      </c>
      <c r="B279" s="62" t="s">
        <v>12</v>
      </c>
      <c r="C279" s="62" t="s">
        <v>18</v>
      </c>
      <c r="D279" s="61">
        <v>4.0</v>
      </c>
      <c r="E279" s="63">
        <v>46137.0</v>
      </c>
      <c r="F279" s="47"/>
    </row>
    <row r="280" ht="22.5" customHeight="1">
      <c r="A280" s="61">
        <v>8876.0</v>
      </c>
      <c r="B280" s="62" t="s">
        <v>12</v>
      </c>
      <c r="C280" s="62" t="s">
        <v>13</v>
      </c>
      <c r="D280" s="61">
        <v>3.0</v>
      </c>
      <c r="E280" s="63">
        <v>46137.0</v>
      </c>
      <c r="F280" s="47"/>
    </row>
    <row r="281" ht="22.5" customHeight="1">
      <c r="A281" s="61" t="s">
        <v>517</v>
      </c>
      <c r="B281" s="62" t="s">
        <v>46</v>
      </c>
      <c r="C281" s="62" t="s">
        <v>338</v>
      </c>
      <c r="D281" s="61">
        <v>6.0</v>
      </c>
      <c r="E281" s="63">
        <v>46137.0</v>
      </c>
      <c r="F281" s="47"/>
    </row>
    <row r="282" ht="22.5" customHeight="1">
      <c r="A282" s="61" t="s">
        <v>763</v>
      </c>
      <c r="B282" s="62" t="s">
        <v>46</v>
      </c>
      <c r="C282" s="62" t="s">
        <v>764</v>
      </c>
      <c r="D282" s="61">
        <v>1.0</v>
      </c>
      <c r="E282" s="63">
        <v>46137.0</v>
      </c>
      <c r="F282" s="47"/>
    </row>
    <row r="283" ht="22.5" customHeight="1">
      <c r="A283" s="61" t="s">
        <v>763</v>
      </c>
      <c r="B283" s="62" t="s">
        <v>46</v>
      </c>
      <c r="C283" s="62" t="s">
        <v>767</v>
      </c>
      <c r="D283" s="61">
        <v>1.0</v>
      </c>
      <c r="E283" s="63">
        <v>46137.0</v>
      </c>
      <c r="F283" s="47"/>
    </row>
    <row r="284" ht="22.5" customHeight="1">
      <c r="A284" s="61" t="s">
        <v>269</v>
      </c>
      <c r="B284" s="62">
        <v>38.0</v>
      </c>
      <c r="C284" s="62" t="s">
        <v>18</v>
      </c>
      <c r="D284" s="61">
        <v>8.0</v>
      </c>
      <c r="E284" s="63">
        <v>46137.0</v>
      </c>
      <c r="F284" s="47"/>
    </row>
    <row r="285" ht="22.5" customHeight="1">
      <c r="A285" s="61" t="s">
        <v>269</v>
      </c>
      <c r="B285" s="62">
        <v>35.0</v>
      </c>
      <c r="C285" s="62" t="s">
        <v>47</v>
      </c>
      <c r="D285" s="61">
        <v>2.0</v>
      </c>
      <c r="E285" s="63">
        <v>46137.0</v>
      </c>
      <c r="F285" s="47"/>
    </row>
    <row r="286" ht="22.5" customHeight="1">
      <c r="A286" s="61" t="s">
        <v>269</v>
      </c>
      <c r="B286" s="62">
        <v>38.0</v>
      </c>
      <c r="C286" s="62" t="s">
        <v>47</v>
      </c>
      <c r="D286" s="61">
        <v>3.0</v>
      </c>
      <c r="E286" s="63">
        <v>46137.0</v>
      </c>
      <c r="F286" s="47"/>
    </row>
    <row r="287" ht="22.5" customHeight="1">
      <c r="A287" s="61" t="s">
        <v>269</v>
      </c>
      <c r="B287" s="62">
        <v>35.0</v>
      </c>
      <c r="C287" s="62" t="s">
        <v>18</v>
      </c>
      <c r="D287" s="61">
        <v>7.0</v>
      </c>
      <c r="E287" s="63">
        <v>46137.0</v>
      </c>
      <c r="F287" s="47"/>
    </row>
    <row r="288" ht="22.5" customHeight="1">
      <c r="A288" s="61" t="s">
        <v>378</v>
      </c>
      <c r="B288" s="62" t="s">
        <v>46</v>
      </c>
      <c r="C288" s="62" t="s">
        <v>23</v>
      </c>
      <c r="D288" s="61">
        <v>8.0</v>
      </c>
      <c r="E288" s="63">
        <v>46137.0</v>
      </c>
      <c r="F288" s="47"/>
    </row>
    <row r="289" ht="22.5" customHeight="1">
      <c r="A289" s="61" t="s">
        <v>893</v>
      </c>
      <c r="B289" s="62">
        <v>37.0</v>
      </c>
      <c r="C289" s="62" t="s">
        <v>47</v>
      </c>
      <c r="D289" s="61">
        <v>6.0</v>
      </c>
      <c r="E289" s="63">
        <v>46137.0</v>
      </c>
      <c r="F289" s="47"/>
    </row>
    <row r="290" ht="22.5" customHeight="1">
      <c r="A290" s="61" t="s">
        <v>378</v>
      </c>
      <c r="B290" s="62" t="s">
        <v>46</v>
      </c>
      <c r="C290" s="62" t="s">
        <v>13</v>
      </c>
      <c r="D290" s="61">
        <v>11.0</v>
      </c>
      <c r="E290" s="63">
        <v>46137.0</v>
      </c>
      <c r="F290" s="47"/>
    </row>
    <row r="291" ht="22.5" customHeight="1">
      <c r="A291" s="61">
        <v>1302.0</v>
      </c>
      <c r="B291" s="62" t="s">
        <v>46</v>
      </c>
      <c r="C291" s="62">
        <v>6.0</v>
      </c>
      <c r="D291" s="61">
        <v>6.0</v>
      </c>
      <c r="E291" s="63">
        <v>46137.0</v>
      </c>
      <c r="F291" s="47"/>
    </row>
    <row r="292" ht="22.5" customHeight="1">
      <c r="A292" s="61" t="s">
        <v>378</v>
      </c>
      <c r="B292" s="62" t="s">
        <v>46</v>
      </c>
      <c r="C292" s="62" t="s">
        <v>47</v>
      </c>
      <c r="D292" s="61">
        <v>6.0</v>
      </c>
      <c r="E292" s="63">
        <v>46137.0</v>
      </c>
      <c r="F292" s="47"/>
    </row>
    <row r="293" ht="22.5" customHeight="1">
      <c r="A293" s="61">
        <v>81813.0</v>
      </c>
      <c r="B293" s="62" t="s">
        <v>46</v>
      </c>
      <c r="C293" s="62" t="s">
        <v>13</v>
      </c>
      <c r="D293" s="61">
        <v>5.0</v>
      </c>
      <c r="E293" s="63">
        <v>46137.0</v>
      </c>
      <c r="F293" s="47"/>
    </row>
    <row r="294" ht="22.5" customHeight="1">
      <c r="A294" s="61" t="s">
        <v>893</v>
      </c>
      <c r="B294" s="62">
        <v>37.0</v>
      </c>
      <c r="C294" s="62" t="s">
        <v>18</v>
      </c>
      <c r="D294" s="61">
        <v>4.0</v>
      </c>
      <c r="E294" s="63">
        <v>46137.0</v>
      </c>
      <c r="F294" s="47"/>
    </row>
    <row r="295" ht="22.5" customHeight="1">
      <c r="A295" s="61" t="s">
        <v>893</v>
      </c>
      <c r="B295" s="62">
        <v>38.0</v>
      </c>
      <c r="C295" s="62" t="s">
        <v>18</v>
      </c>
      <c r="D295" s="61">
        <v>3.0</v>
      </c>
      <c r="E295" s="63">
        <v>46137.0</v>
      </c>
      <c r="F295" s="47"/>
    </row>
    <row r="296" ht="22.5" customHeight="1">
      <c r="A296" s="61">
        <v>1302.0</v>
      </c>
      <c r="B296" s="62" t="s">
        <v>46</v>
      </c>
      <c r="C296" s="62">
        <v>3.0</v>
      </c>
      <c r="D296" s="61">
        <v>3.0</v>
      </c>
      <c r="E296" s="63">
        <v>46137.0</v>
      </c>
      <c r="F296" s="47"/>
    </row>
    <row r="297" ht="22.5" customHeight="1">
      <c r="A297" s="61">
        <v>81813.0</v>
      </c>
      <c r="B297" s="62" t="s">
        <v>46</v>
      </c>
      <c r="C297" s="62" t="s">
        <v>16</v>
      </c>
      <c r="D297" s="61">
        <v>2.0</v>
      </c>
      <c r="E297" s="63">
        <v>46137.0</v>
      </c>
      <c r="F297" s="47"/>
    </row>
    <row r="298" ht="22.5" customHeight="1">
      <c r="A298" s="61" t="s">
        <v>378</v>
      </c>
      <c r="B298" s="62" t="s">
        <v>46</v>
      </c>
      <c r="C298" s="62" t="s">
        <v>18</v>
      </c>
      <c r="D298" s="61">
        <v>7.0</v>
      </c>
      <c r="E298" s="63">
        <v>46137.0</v>
      </c>
      <c r="F298" s="47"/>
    </row>
    <row r="299" ht="22.5" customHeight="1">
      <c r="A299" s="61">
        <v>1302.0</v>
      </c>
      <c r="B299" s="62" t="s">
        <v>46</v>
      </c>
      <c r="C299" s="62">
        <v>1.0</v>
      </c>
      <c r="D299" s="61">
        <v>2.0</v>
      </c>
      <c r="E299" s="63">
        <v>46137.0</v>
      </c>
      <c r="F299" s="47"/>
    </row>
    <row r="300" ht="22.5" customHeight="1">
      <c r="A300" s="61">
        <v>1302.0</v>
      </c>
      <c r="B300" s="62" t="s">
        <v>46</v>
      </c>
      <c r="C300" s="62">
        <v>9.0</v>
      </c>
      <c r="D300" s="61">
        <v>2.0</v>
      </c>
      <c r="E300" s="63">
        <v>46137.0</v>
      </c>
      <c r="F300" s="47"/>
    </row>
    <row r="301" ht="22.5" customHeight="1">
      <c r="A301" s="61">
        <v>81813.0</v>
      </c>
      <c r="B301" s="62" t="s">
        <v>46</v>
      </c>
      <c r="C301" s="62" t="s">
        <v>18</v>
      </c>
      <c r="D301" s="61">
        <v>1.0</v>
      </c>
      <c r="E301" s="63">
        <v>46137.0</v>
      </c>
      <c r="F301" s="47"/>
    </row>
    <row r="302" ht="22.5" customHeight="1">
      <c r="A302" s="61">
        <v>81813.0</v>
      </c>
      <c r="B302" s="62" t="s">
        <v>46</v>
      </c>
      <c r="C302" s="62" t="s">
        <v>340</v>
      </c>
      <c r="D302" s="61">
        <v>1.0</v>
      </c>
      <c r="E302" s="63">
        <v>46137.0</v>
      </c>
      <c r="F302" s="47"/>
    </row>
    <row r="303" ht="22.5" customHeight="1">
      <c r="A303" s="61">
        <v>81813.0</v>
      </c>
      <c r="B303" s="62" t="s">
        <v>46</v>
      </c>
      <c r="C303" s="62" t="s">
        <v>338</v>
      </c>
      <c r="D303" s="61">
        <v>1.0</v>
      </c>
      <c r="E303" s="63">
        <v>46137.0</v>
      </c>
      <c r="F303" s="47"/>
    </row>
    <row r="304" ht="22.5" customHeight="1">
      <c r="A304" s="61">
        <v>1302.0</v>
      </c>
      <c r="B304" s="62" t="s">
        <v>46</v>
      </c>
      <c r="C304" s="62">
        <v>2.0</v>
      </c>
      <c r="D304" s="61">
        <v>1.0</v>
      </c>
      <c r="E304" s="63">
        <v>46137.0</v>
      </c>
      <c r="F304" s="47"/>
    </row>
    <row r="305" ht="22.5" customHeight="1">
      <c r="A305" s="61">
        <v>1302.0</v>
      </c>
      <c r="B305" s="62" t="s">
        <v>46</v>
      </c>
      <c r="C305" s="62">
        <v>8.0</v>
      </c>
      <c r="D305" s="61">
        <v>1.0</v>
      </c>
      <c r="E305" s="63">
        <v>46137.0</v>
      </c>
      <c r="F305" s="47"/>
    </row>
    <row r="306" ht="22.5" customHeight="1">
      <c r="A306" s="61">
        <v>1302.0</v>
      </c>
      <c r="B306" s="62" t="s">
        <v>46</v>
      </c>
      <c r="C306" s="62">
        <v>5.0</v>
      </c>
      <c r="D306" s="61">
        <v>1.0</v>
      </c>
      <c r="E306" s="63">
        <v>46137.0</v>
      </c>
      <c r="F306" s="47"/>
    </row>
    <row r="307" ht="22.5" customHeight="1">
      <c r="A307" s="61" t="s">
        <v>763</v>
      </c>
      <c r="B307" s="62" t="s">
        <v>46</v>
      </c>
      <c r="C307" s="62" t="s">
        <v>1369</v>
      </c>
      <c r="D307" s="61">
        <v>1.0</v>
      </c>
      <c r="E307" s="63">
        <v>46137.0</v>
      </c>
      <c r="F307" s="47"/>
    </row>
    <row r="308" ht="22.5" customHeight="1">
      <c r="A308" s="61" t="s">
        <v>1378</v>
      </c>
      <c r="B308" s="62">
        <v>37.0</v>
      </c>
      <c r="C308" s="62" t="s">
        <v>47</v>
      </c>
      <c r="D308" s="61">
        <v>1.0</v>
      </c>
      <c r="E308" s="63">
        <v>46137.0</v>
      </c>
      <c r="F308" s="47"/>
    </row>
    <row r="309" ht="22.5" customHeight="1">
      <c r="A309" s="61" t="s">
        <v>1378</v>
      </c>
      <c r="B309" s="62">
        <v>42.0</v>
      </c>
      <c r="C309" s="62" t="s">
        <v>18</v>
      </c>
      <c r="D309" s="61">
        <v>1.0</v>
      </c>
      <c r="E309" s="63">
        <v>46137.0</v>
      </c>
      <c r="F309" s="47"/>
    </row>
    <row r="310" ht="22.5" customHeight="1">
      <c r="A310" s="61" t="s">
        <v>916</v>
      </c>
      <c r="B310" s="62">
        <v>37.0</v>
      </c>
      <c r="C310" s="62" t="s">
        <v>47</v>
      </c>
      <c r="D310" s="61">
        <v>1.0</v>
      </c>
      <c r="E310" s="63">
        <v>46137.0</v>
      </c>
      <c r="F310" s="47"/>
    </row>
    <row r="311" ht="22.5" customHeight="1">
      <c r="A311" s="61" t="s">
        <v>916</v>
      </c>
      <c r="B311" s="62">
        <v>39.0</v>
      </c>
      <c r="C311" s="62" t="s">
        <v>47</v>
      </c>
      <c r="D311" s="61">
        <v>1.0</v>
      </c>
      <c r="E311" s="63">
        <v>46137.0</v>
      </c>
      <c r="F311" s="47"/>
    </row>
    <row r="312" ht="22.5" customHeight="1">
      <c r="A312" s="61" t="s">
        <v>269</v>
      </c>
      <c r="B312" s="62">
        <v>35.0</v>
      </c>
      <c r="C312" s="62" t="s">
        <v>18</v>
      </c>
      <c r="D312" s="61">
        <v>1.0</v>
      </c>
      <c r="E312" s="63">
        <v>46138.0</v>
      </c>
      <c r="F312" s="47"/>
    </row>
    <row r="313" ht="22.5" customHeight="1">
      <c r="A313" s="61">
        <v>8740.0</v>
      </c>
      <c r="B313" s="62" t="s">
        <v>22</v>
      </c>
      <c r="C313" s="62" t="s">
        <v>13</v>
      </c>
      <c r="D313" s="61">
        <v>1.0</v>
      </c>
      <c r="E313" s="63">
        <v>46139.0</v>
      </c>
      <c r="F313" s="47"/>
    </row>
    <row r="314" ht="22.5" customHeight="1">
      <c r="A314" s="61">
        <v>6612.0</v>
      </c>
      <c r="B314" s="62" t="s">
        <v>46</v>
      </c>
      <c r="C314" s="62">
        <v>4.0</v>
      </c>
      <c r="D314" s="61">
        <v>4.0</v>
      </c>
      <c r="E314" s="63">
        <v>46139.0</v>
      </c>
      <c r="F314" s="47"/>
    </row>
    <row r="315" ht="22.5" customHeight="1">
      <c r="A315" s="61">
        <v>6612.0</v>
      </c>
      <c r="B315" s="62" t="s">
        <v>46</v>
      </c>
      <c r="C315" s="62">
        <v>3.0</v>
      </c>
      <c r="D315" s="61">
        <v>9.0</v>
      </c>
      <c r="E315" s="63">
        <v>46139.0</v>
      </c>
      <c r="F315" s="47"/>
    </row>
    <row r="316" ht="22.5" customHeight="1">
      <c r="A316" s="61" t="s">
        <v>517</v>
      </c>
      <c r="B316" s="62" t="s">
        <v>46</v>
      </c>
      <c r="C316" s="62" t="s">
        <v>338</v>
      </c>
      <c r="D316" s="61">
        <v>4.0</v>
      </c>
      <c r="E316" s="63">
        <v>46140.0</v>
      </c>
      <c r="F316" s="47"/>
    </row>
    <row r="317" ht="22.5" customHeight="1">
      <c r="A317" s="61" t="s">
        <v>893</v>
      </c>
      <c r="B317" s="62">
        <v>39.0</v>
      </c>
      <c r="C317" s="62" t="s">
        <v>47</v>
      </c>
      <c r="D317" s="61">
        <v>3.0</v>
      </c>
      <c r="E317" s="63">
        <v>46140.0</v>
      </c>
      <c r="F317" s="47"/>
    </row>
    <row r="318" ht="22.5" customHeight="1">
      <c r="A318" s="61" t="s">
        <v>893</v>
      </c>
      <c r="B318" s="62">
        <v>36.0</v>
      </c>
      <c r="C318" s="62" t="s">
        <v>18</v>
      </c>
      <c r="D318" s="61">
        <v>3.0</v>
      </c>
      <c r="E318" s="63">
        <v>46140.0</v>
      </c>
      <c r="F318" s="47"/>
    </row>
    <row r="319" ht="22.5" customHeight="1">
      <c r="A319" s="61" t="s">
        <v>916</v>
      </c>
      <c r="B319" s="62">
        <v>37.0</v>
      </c>
      <c r="C319" s="62" t="s">
        <v>47</v>
      </c>
      <c r="D319" s="61">
        <v>3.0</v>
      </c>
      <c r="E319" s="63">
        <v>46140.0</v>
      </c>
      <c r="F319" s="47"/>
    </row>
    <row r="320" ht="22.5" customHeight="1">
      <c r="A320" s="61" t="s">
        <v>893</v>
      </c>
      <c r="B320" s="62">
        <v>36.0</v>
      </c>
      <c r="C320" s="62" t="s">
        <v>47</v>
      </c>
      <c r="D320" s="61">
        <v>2.0</v>
      </c>
      <c r="E320" s="63">
        <v>46140.0</v>
      </c>
      <c r="F320" s="47"/>
    </row>
    <row r="321" ht="22.5" customHeight="1">
      <c r="A321" s="61">
        <v>5709.0</v>
      </c>
      <c r="B321" s="62" t="s">
        <v>22</v>
      </c>
      <c r="C321" s="62" t="s">
        <v>340</v>
      </c>
      <c r="D321" s="61">
        <v>4.0</v>
      </c>
      <c r="E321" s="63">
        <v>46140.0</v>
      </c>
      <c r="F321" s="47"/>
    </row>
    <row r="322" ht="22.5" customHeight="1">
      <c r="A322" s="61">
        <v>3225.0</v>
      </c>
      <c r="B322" s="62" t="s">
        <v>12</v>
      </c>
      <c r="C322" s="62" t="s">
        <v>47</v>
      </c>
      <c r="D322" s="61">
        <v>2.0</v>
      </c>
      <c r="E322" s="63">
        <v>46140.0</v>
      </c>
      <c r="F322" s="47"/>
    </row>
    <row r="323" ht="22.5" customHeight="1">
      <c r="A323" s="61" t="s">
        <v>763</v>
      </c>
      <c r="B323" s="62" t="s">
        <v>46</v>
      </c>
      <c r="C323" s="62" t="s">
        <v>1165</v>
      </c>
      <c r="D323" s="61">
        <v>2.0</v>
      </c>
      <c r="E323" s="63">
        <v>46140.0</v>
      </c>
      <c r="F323" s="47"/>
    </row>
    <row r="324" ht="22.5" customHeight="1">
      <c r="A324" s="61" t="s">
        <v>893</v>
      </c>
      <c r="B324" s="62">
        <v>40.0</v>
      </c>
      <c r="C324" s="62" t="s">
        <v>18</v>
      </c>
      <c r="D324" s="61">
        <v>1.0</v>
      </c>
      <c r="E324" s="63">
        <v>46140.0</v>
      </c>
      <c r="F324" s="47"/>
    </row>
    <row r="325" ht="22.5" customHeight="1">
      <c r="A325" s="61">
        <v>3225.0</v>
      </c>
      <c r="B325" s="62" t="s">
        <v>75</v>
      </c>
      <c r="C325" s="62" t="s">
        <v>58</v>
      </c>
      <c r="D325" s="61">
        <v>1.0</v>
      </c>
      <c r="E325" s="63">
        <v>46140.0</v>
      </c>
      <c r="F325" s="47"/>
    </row>
    <row r="326" ht="22.5" customHeight="1">
      <c r="A326" s="61">
        <v>3225.0</v>
      </c>
      <c r="B326" s="62" t="s">
        <v>12</v>
      </c>
      <c r="C326" s="62" t="s">
        <v>58</v>
      </c>
      <c r="D326" s="61">
        <v>1.0</v>
      </c>
      <c r="E326" s="63">
        <v>46140.0</v>
      </c>
      <c r="F326" s="47"/>
    </row>
    <row r="327" ht="22.5" customHeight="1">
      <c r="A327" s="61" t="s">
        <v>893</v>
      </c>
      <c r="B327" s="62">
        <v>39.0</v>
      </c>
      <c r="C327" s="62" t="s">
        <v>18</v>
      </c>
      <c r="D327" s="61">
        <v>1.0</v>
      </c>
      <c r="E327" s="63">
        <v>46140.0</v>
      </c>
      <c r="F327" s="47"/>
    </row>
    <row r="328" ht="22.5" customHeight="1">
      <c r="A328" s="61" t="s">
        <v>893</v>
      </c>
      <c r="B328" s="62">
        <v>35.0</v>
      </c>
      <c r="C328" s="62" t="s">
        <v>18</v>
      </c>
      <c r="D328" s="61">
        <v>1.0</v>
      </c>
      <c r="E328" s="63">
        <v>46140.0</v>
      </c>
      <c r="F328" s="47"/>
    </row>
    <row r="329" ht="22.5" customHeight="1">
      <c r="A329" s="61" t="s">
        <v>916</v>
      </c>
      <c r="B329" s="62">
        <v>38.0</v>
      </c>
      <c r="C329" s="62" t="s">
        <v>47</v>
      </c>
      <c r="D329" s="61">
        <v>1.0</v>
      </c>
      <c r="E329" s="63">
        <v>46140.0</v>
      </c>
      <c r="F329" s="47"/>
    </row>
    <row r="330" ht="22.5" customHeight="1">
      <c r="A330" s="61" t="s">
        <v>893</v>
      </c>
      <c r="B330" s="62">
        <v>40.0</v>
      </c>
      <c r="C330" s="62" t="s">
        <v>47</v>
      </c>
      <c r="D330" s="61">
        <v>1.0</v>
      </c>
      <c r="E330" s="63">
        <v>46140.0</v>
      </c>
      <c r="F330" s="47"/>
    </row>
    <row r="331" ht="22.5" customHeight="1">
      <c r="A331" s="61" t="s">
        <v>893</v>
      </c>
      <c r="B331" s="62">
        <v>38.0</v>
      </c>
      <c r="C331" s="62" t="s">
        <v>47</v>
      </c>
      <c r="D331" s="61">
        <v>1.0</v>
      </c>
      <c r="E331" s="63">
        <v>46140.0</v>
      </c>
      <c r="F331" s="47"/>
    </row>
    <row r="332" ht="22.5" customHeight="1">
      <c r="A332" s="61">
        <v>3225.0</v>
      </c>
      <c r="B332" s="62" t="s">
        <v>22</v>
      </c>
      <c r="C332" s="62" t="s">
        <v>58</v>
      </c>
      <c r="D332" s="61">
        <v>1.0</v>
      </c>
      <c r="E332" s="63">
        <v>46140.0</v>
      </c>
      <c r="F332" s="47"/>
    </row>
    <row r="333" ht="22.5" customHeight="1">
      <c r="A333" s="61">
        <v>5709.0</v>
      </c>
      <c r="B333" s="62" t="s">
        <v>989</v>
      </c>
      <c r="C333" s="62" t="s">
        <v>340</v>
      </c>
      <c r="D333" s="61">
        <v>1.0</v>
      </c>
      <c r="E333" s="63">
        <v>46140.0</v>
      </c>
      <c r="F333" s="47"/>
    </row>
    <row r="334" ht="22.5" customHeight="1">
      <c r="A334" s="61" t="s">
        <v>763</v>
      </c>
      <c r="B334" s="62" t="s">
        <v>46</v>
      </c>
      <c r="C334" s="62" t="s">
        <v>1157</v>
      </c>
      <c r="D334" s="61">
        <v>1.0</v>
      </c>
      <c r="E334" s="63">
        <v>46140.0</v>
      </c>
      <c r="F334" s="47"/>
    </row>
    <row r="335" ht="22.5" customHeight="1">
      <c r="A335" s="61" t="s">
        <v>763</v>
      </c>
      <c r="B335" s="62" t="s">
        <v>46</v>
      </c>
      <c r="C335" s="62" t="s">
        <v>1160</v>
      </c>
      <c r="D335" s="61">
        <v>1.0</v>
      </c>
      <c r="E335" s="63">
        <v>46140.0</v>
      </c>
      <c r="F335" s="47"/>
    </row>
    <row r="336" ht="22.5" customHeight="1">
      <c r="A336" s="61" t="s">
        <v>763</v>
      </c>
      <c r="B336" s="62" t="s">
        <v>46</v>
      </c>
      <c r="C336" s="62" t="s">
        <v>1166</v>
      </c>
      <c r="D336" s="61">
        <v>1.0</v>
      </c>
      <c r="E336" s="63">
        <v>46140.0</v>
      </c>
      <c r="F336" s="47"/>
    </row>
    <row r="337" ht="22.5" customHeight="1">
      <c r="A337" s="61" t="s">
        <v>763</v>
      </c>
      <c r="B337" s="62" t="s">
        <v>46</v>
      </c>
      <c r="C337" s="62" t="s">
        <v>1168</v>
      </c>
      <c r="D337" s="61">
        <v>1.0</v>
      </c>
      <c r="E337" s="63">
        <v>46140.0</v>
      </c>
      <c r="F337" s="47"/>
    </row>
    <row r="338" ht="22.5" customHeight="1">
      <c r="A338" s="61" t="s">
        <v>763</v>
      </c>
      <c r="B338" s="62" t="s">
        <v>46</v>
      </c>
      <c r="C338" s="62" t="s">
        <v>1171</v>
      </c>
      <c r="D338" s="61">
        <v>1.0</v>
      </c>
      <c r="E338" s="63">
        <v>46140.0</v>
      </c>
      <c r="F338" s="47"/>
    </row>
    <row r="339" ht="22.5" customHeight="1">
      <c r="A339" s="61" t="s">
        <v>763</v>
      </c>
      <c r="B339" s="62" t="s">
        <v>46</v>
      </c>
      <c r="C339" s="62" t="s">
        <v>1176</v>
      </c>
      <c r="D339" s="61">
        <v>1.0</v>
      </c>
      <c r="E339" s="63">
        <v>46140.0</v>
      </c>
      <c r="F339" s="47"/>
    </row>
    <row r="340" ht="22.5" customHeight="1">
      <c r="A340" s="61" t="s">
        <v>1435</v>
      </c>
      <c r="B340" s="62">
        <v>37.0</v>
      </c>
      <c r="C340" s="62" t="s">
        <v>47</v>
      </c>
      <c r="D340" s="61">
        <v>1.0</v>
      </c>
      <c r="E340" s="63">
        <v>46140.0</v>
      </c>
      <c r="F340" s="47"/>
    </row>
    <row r="341" ht="22.5" customHeight="1">
      <c r="A341" s="61" t="s">
        <v>1435</v>
      </c>
      <c r="B341" s="62">
        <v>37.0</v>
      </c>
      <c r="C341" s="62" t="s">
        <v>340</v>
      </c>
      <c r="D341" s="61">
        <v>1.0</v>
      </c>
      <c r="E341" s="63">
        <v>46140.0</v>
      </c>
      <c r="F341" s="47"/>
    </row>
    <row r="342" ht="22.5" customHeight="1">
      <c r="A342" s="61" t="s">
        <v>1435</v>
      </c>
      <c r="B342" s="62">
        <v>39.0</v>
      </c>
      <c r="C342" s="62" t="s">
        <v>47</v>
      </c>
      <c r="D342" s="61">
        <v>1.0</v>
      </c>
      <c r="E342" s="63">
        <v>46140.0</v>
      </c>
      <c r="F342" s="47"/>
    </row>
    <row r="343" ht="22.5" customHeight="1">
      <c r="A343" s="61" t="s">
        <v>269</v>
      </c>
      <c r="B343" s="62">
        <v>38.0</v>
      </c>
      <c r="C343" s="62" t="s">
        <v>18</v>
      </c>
      <c r="D343" s="61">
        <v>1.0</v>
      </c>
      <c r="E343" s="63">
        <v>46140.0</v>
      </c>
      <c r="F343" s="47"/>
    </row>
    <row r="344" ht="22.5" customHeight="1">
      <c r="A344" s="61">
        <v>6612.0</v>
      </c>
      <c r="B344" s="62" t="s">
        <v>46</v>
      </c>
      <c r="C344" s="62">
        <v>5.0</v>
      </c>
      <c r="D344" s="61">
        <v>21.0</v>
      </c>
      <c r="E344" s="63">
        <v>46141.0</v>
      </c>
      <c r="F344" s="47"/>
    </row>
    <row r="345" ht="22.5" customHeight="1">
      <c r="A345" s="61">
        <v>6612.0</v>
      </c>
      <c r="B345" s="62" t="s">
        <v>46</v>
      </c>
      <c r="C345" s="62">
        <v>2.0</v>
      </c>
      <c r="D345" s="61">
        <v>19.0</v>
      </c>
      <c r="E345" s="63">
        <v>46141.0</v>
      </c>
      <c r="F345" s="47"/>
    </row>
    <row r="346" ht="22.5" customHeight="1">
      <c r="A346" s="61">
        <v>6612.0</v>
      </c>
      <c r="B346" s="62" t="s">
        <v>46</v>
      </c>
      <c r="C346" s="62">
        <v>9.0</v>
      </c>
      <c r="D346" s="61">
        <v>3.0</v>
      </c>
      <c r="E346" s="63">
        <v>46141.0</v>
      </c>
      <c r="F346" s="47"/>
    </row>
    <row r="347" ht="22.5" customHeight="1">
      <c r="A347" s="61" t="s">
        <v>441</v>
      </c>
      <c r="B347" s="62" t="s">
        <v>46</v>
      </c>
      <c r="C347" s="62" t="s">
        <v>447</v>
      </c>
      <c r="D347" s="61">
        <v>6.0</v>
      </c>
      <c r="E347" s="63">
        <v>46141.0</v>
      </c>
      <c r="F347" s="47"/>
    </row>
    <row r="348" ht="22.5" customHeight="1">
      <c r="A348" s="61" t="s">
        <v>441</v>
      </c>
      <c r="B348" s="62" t="s">
        <v>46</v>
      </c>
      <c r="C348" s="62" t="s">
        <v>26</v>
      </c>
      <c r="D348" s="61">
        <v>3.0</v>
      </c>
      <c r="E348" s="63">
        <v>46141.0</v>
      </c>
      <c r="F348" s="47"/>
    </row>
    <row r="349" ht="22.5" customHeight="1">
      <c r="A349" s="61" t="s">
        <v>441</v>
      </c>
      <c r="B349" s="62" t="s">
        <v>46</v>
      </c>
      <c r="C349" s="62" t="s">
        <v>47</v>
      </c>
      <c r="D349" s="61">
        <v>2.0</v>
      </c>
      <c r="E349" s="63">
        <v>46141.0</v>
      </c>
      <c r="F349" s="47"/>
    </row>
    <row r="350" ht="22.5" customHeight="1">
      <c r="A350" s="61" t="s">
        <v>269</v>
      </c>
      <c r="B350" s="62">
        <v>38.0</v>
      </c>
      <c r="C350" s="62" t="s">
        <v>18</v>
      </c>
      <c r="D350" s="61">
        <v>2.0</v>
      </c>
      <c r="E350" s="63">
        <v>46141.0</v>
      </c>
      <c r="F350" s="47"/>
    </row>
    <row r="351" ht="22.5" customHeight="1">
      <c r="A351" s="61" t="s">
        <v>441</v>
      </c>
      <c r="B351" s="62" t="s">
        <v>46</v>
      </c>
      <c r="C351" s="62" t="s">
        <v>16</v>
      </c>
      <c r="D351" s="61">
        <v>1.0</v>
      </c>
      <c r="E351" s="63">
        <v>46141.0</v>
      </c>
      <c r="F351" s="47"/>
    </row>
    <row r="352" ht="22.5" customHeight="1">
      <c r="A352" s="61" t="s">
        <v>269</v>
      </c>
      <c r="B352" s="62">
        <v>40.0</v>
      </c>
      <c r="C352" s="62" t="s">
        <v>18</v>
      </c>
      <c r="D352" s="61">
        <v>1.0</v>
      </c>
      <c r="E352" s="63">
        <v>46141.0</v>
      </c>
      <c r="F352" s="47"/>
    </row>
    <row r="353" ht="22.5" customHeight="1">
      <c r="A353" s="61" t="s">
        <v>763</v>
      </c>
      <c r="B353" s="62" t="s">
        <v>46</v>
      </c>
      <c r="C353" s="62" t="s">
        <v>889</v>
      </c>
      <c r="D353" s="61">
        <v>1.0</v>
      </c>
      <c r="E353" s="63">
        <v>46141.0</v>
      </c>
      <c r="F353" s="47"/>
    </row>
    <row r="354" ht="22.5" customHeight="1">
      <c r="A354" s="61" t="s">
        <v>763</v>
      </c>
      <c r="B354" s="62" t="s">
        <v>46</v>
      </c>
      <c r="C354" s="62" t="s">
        <v>909</v>
      </c>
      <c r="D354" s="61">
        <v>1.0</v>
      </c>
      <c r="E354" s="63">
        <v>46141.0</v>
      </c>
      <c r="F354" s="47"/>
    </row>
    <row r="355" ht="22.5" customHeight="1">
      <c r="A355" s="61" t="s">
        <v>763</v>
      </c>
      <c r="B355" s="62" t="s">
        <v>46</v>
      </c>
      <c r="C355" s="62" t="s">
        <v>919</v>
      </c>
      <c r="D355" s="61">
        <v>1.0</v>
      </c>
      <c r="E355" s="63">
        <v>46141.0</v>
      </c>
      <c r="F355" s="47"/>
    </row>
    <row r="356" ht="22.5" customHeight="1">
      <c r="A356" s="61" t="s">
        <v>763</v>
      </c>
      <c r="B356" s="62" t="s">
        <v>46</v>
      </c>
      <c r="C356" s="62" t="s">
        <v>925</v>
      </c>
      <c r="D356" s="61">
        <v>1.0</v>
      </c>
      <c r="E356" s="63">
        <v>46141.0</v>
      </c>
      <c r="F356" s="47"/>
    </row>
    <row r="357" ht="22.5" customHeight="1">
      <c r="A357" s="61" t="s">
        <v>763</v>
      </c>
      <c r="B357" s="62" t="s">
        <v>46</v>
      </c>
      <c r="C357" s="62" t="s">
        <v>953</v>
      </c>
      <c r="D357" s="61">
        <v>1.0</v>
      </c>
      <c r="E357" s="63">
        <v>46141.0</v>
      </c>
      <c r="F357" s="47"/>
    </row>
    <row r="358" ht="22.5" customHeight="1">
      <c r="A358" s="61" t="s">
        <v>763</v>
      </c>
      <c r="B358" s="62" t="s">
        <v>46</v>
      </c>
      <c r="C358" s="62" t="s">
        <v>956</v>
      </c>
      <c r="D358" s="61">
        <v>1.0</v>
      </c>
      <c r="E358" s="63">
        <v>46141.0</v>
      </c>
      <c r="F358" s="47"/>
    </row>
    <row r="359" ht="22.5" customHeight="1">
      <c r="A359" s="61" t="s">
        <v>763</v>
      </c>
      <c r="B359" s="62" t="s">
        <v>46</v>
      </c>
      <c r="C359" s="62" t="s">
        <v>1115</v>
      </c>
      <c r="D359" s="61">
        <v>1.0</v>
      </c>
      <c r="E359" s="63">
        <v>46141.0</v>
      </c>
      <c r="F359" s="47"/>
    </row>
    <row r="360" ht="22.5" customHeight="1">
      <c r="A360" s="61" t="s">
        <v>269</v>
      </c>
      <c r="B360" s="62">
        <v>37.0</v>
      </c>
      <c r="C360" s="62" t="s">
        <v>18</v>
      </c>
      <c r="D360" s="61">
        <v>2.0</v>
      </c>
      <c r="E360" s="63">
        <v>46141.0</v>
      </c>
      <c r="F360" s="47"/>
    </row>
    <row r="361" ht="22.5" customHeight="1">
      <c r="A361" s="61" t="s">
        <v>269</v>
      </c>
      <c r="B361" s="62">
        <v>36.0</v>
      </c>
      <c r="C361" s="62" t="s">
        <v>18</v>
      </c>
      <c r="D361" s="61">
        <v>1.0</v>
      </c>
      <c r="E361" s="63">
        <v>46141.0</v>
      </c>
      <c r="F361" s="47"/>
    </row>
    <row r="362" ht="22.5" customHeight="1">
      <c r="A362" s="61" t="s">
        <v>269</v>
      </c>
      <c r="B362" s="62">
        <v>36.0</v>
      </c>
      <c r="C362" s="62" t="s">
        <v>47</v>
      </c>
      <c r="D362" s="61">
        <v>1.0</v>
      </c>
      <c r="E362" s="63">
        <v>46141.0</v>
      </c>
      <c r="F362" s="47"/>
    </row>
    <row r="363" ht="22.5" customHeight="1">
      <c r="A363" s="61" t="s">
        <v>1489</v>
      </c>
      <c r="B363" s="62" t="s">
        <v>46</v>
      </c>
      <c r="C363" s="62" t="s">
        <v>26</v>
      </c>
      <c r="D363" s="61">
        <v>36.0</v>
      </c>
      <c r="E363" s="63">
        <v>46141.0</v>
      </c>
      <c r="F363" s="47"/>
    </row>
    <row r="364" ht="22.5" customHeight="1">
      <c r="A364" s="61" t="s">
        <v>441</v>
      </c>
      <c r="B364" s="62" t="s">
        <v>46</v>
      </c>
      <c r="C364" s="62" t="s">
        <v>447</v>
      </c>
      <c r="D364" s="61">
        <v>2.0</v>
      </c>
      <c r="E364" s="63">
        <v>46141.0</v>
      </c>
      <c r="F364" s="47"/>
    </row>
    <row r="365" ht="22.5" customHeight="1">
      <c r="A365" s="61">
        <v>9258.0</v>
      </c>
      <c r="B365" s="62" t="s">
        <v>12</v>
      </c>
      <c r="C365" s="62" t="s">
        <v>58</v>
      </c>
      <c r="D365" s="61">
        <v>2.0</v>
      </c>
      <c r="E365" s="63">
        <v>46148.0</v>
      </c>
      <c r="F365" s="47"/>
    </row>
    <row r="366" ht="22.5" customHeight="1">
      <c r="A366" s="61">
        <v>8319.0</v>
      </c>
      <c r="B366" s="62" t="s">
        <v>22</v>
      </c>
      <c r="C366" s="62" t="s">
        <v>58</v>
      </c>
      <c r="D366" s="61">
        <v>4.0</v>
      </c>
      <c r="E366" s="63">
        <v>46148.0</v>
      </c>
      <c r="F366" s="47"/>
    </row>
    <row r="367" ht="22.5" customHeight="1">
      <c r="A367" s="61">
        <v>8319.0</v>
      </c>
      <c r="B367" s="62" t="s">
        <v>75</v>
      </c>
      <c r="C367" s="62" t="s">
        <v>58</v>
      </c>
      <c r="D367" s="61">
        <v>1.0</v>
      </c>
      <c r="E367" s="63">
        <v>46148.0</v>
      </c>
      <c r="F367" s="47"/>
    </row>
    <row r="368" ht="22.5" customHeight="1">
      <c r="A368" s="61">
        <v>8558.0</v>
      </c>
      <c r="B368" s="62" t="s">
        <v>12</v>
      </c>
      <c r="C368" s="62" t="s">
        <v>13</v>
      </c>
      <c r="D368" s="61">
        <v>2.0</v>
      </c>
      <c r="E368" s="63">
        <v>46148.0</v>
      </c>
      <c r="F368" s="47"/>
    </row>
    <row r="369" ht="22.5" customHeight="1">
      <c r="A369" s="61">
        <v>8558.0</v>
      </c>
      <c r="B369" s="62" t="s">
        <v>22</v>
      </c>
      <c r="C369" s="62" t="s">
        <v>23</v>
      </c>
      <c r="D369" s="61">
        <v>1.0</v>
      </c>
      <c r="E369" s="63">
        <v>46148.0</v>
      </c>
      <c r="F369" s="47"/>
    </row>
    <row r="370" ht="22.5" customHeight="1">
      <c r="A370" s="61">
        <v>8558.0</v>
      </c>
      <c r="B370" s="62" t="s">
        <v>22</v>
      </c>
      <c r="C370" s="62" t="s">
        <v>58</v>
      </c>
      <c r="D370" s="61">
        <v>1.0</v>
      </c>
      <c r="E370" s="63">
        <v>46148.0</v>
      </c>
      <c r="F370" s="47"/>
    </row>
    <row r="371" ht="22.5" customHeight="1">
      <c r="A371" s="61">
        <v>8558.0</v>
      </c>
      <c r="B371" s="62" t="s">
        <v>22</v>
      </c>
      <c r="C371" s="62" t="s">
        <v>16</v>
      </c>
      <c r="D371" s="61">
        <v>2.0</v>
      </c>
      <c r="E371" s="63">
        <v>46148.0</v>
      </c>
      <c r="F371" s="47"/>
    </row>
    <row r="372" ht="22.5" customHeight="1">
      <c r="A372" s="61">
        <v>8610.0</v>
      </c>
      <c r="B372" s="62" t="s">
        <v>12</v>
      </c>
      <c r="C372" s="62" t="s">
        <v>13</v>
      </c>
      <c r="D372" s="61">
        <v>7.0</v>
      </c>
      <c r="E372" s="63">
        <v>46148.0</v>
      </c>
      <c r="F372" s="47"/>
    </row>
    <row r="373" ht="22.5" customHeight="1">
      <c r="A373" s="61">
        <v>8610.0</v>
      </c>
      <c r="B373" s="62" t="s">
        <v>22</v>
      </c>
      <c r="C373" s="62" t="s">
        <v>18</v>
      </c>
      <c r="D373" s="61">
        <v>3.0</v>
      </c>
      <c r="E373" s="63">
        <v>46148.0</v>
      </c>
      <c r="F373" s="47"/>
    </row>
    <row r="374" ht="22.5" customHeight="1">
      <c r="A374" s="61">
        <v>8610.0</v>
      </c>
      <c r="B374" s="62" t="s">
        <v>12</v>
      </c>
      <c r="C374" s="62" t="s">
        <v>23</v>
      </c>
      <c r="D374" s="61">
        <v>2.0</v>
      </c>
      <c r="E374" s="63">
        <v>46148.0</v>
      </c>
      <c r="F374" s="47"/>
    </row>
    <row r="375" ht="22.5" customHeight="1">
      <c r="A375" s="61">
        <v>8610.0</v>
      </c>
      <c r="B375" s="62" t="s">
        <v>22</v>
      </c>
      <c r="C375" s="62" t="s">
        <v>58</v>
      </c>
      <c r="D375" s="61">
        <v>1.0</v>
      </c>
      <c r="E375" s="63">
        <v>46148.0</v>
      </c>
      <c r="F375" s="47"/>
    </row>
    <row r="376" ht="22.5" customHeight="1">
      <c r="A376" s="61">
        <v>8610.0</v>
      </c>
      <c r="B376" s="62" t="s">
        <v>12</v>
      </c>
      <c r="C376" s="62" t="s">
        <v>16</v>
      </c>
      <c r="D376" s="61">
        <v>1.0</v>
      </c>
      <c r="E376" s="63">
        <v>46148.0</v>
      </c>
      <c r="F376" s="47"/>
    </row>
    <row r="377" ht="22.5" customHeight="1">
      <c r="A377" s="61">
        <v>8610.0</v>
      </c>
      <c r="B377" s="62" t="s">
        <v>22</v>
      </c>
      <c r="C377" s="62" t="s">
        <v>16</v>
      </c>
      <c r="D377" s="61">
        <v>1.0</v>
      </c>
      <c r="E377" s="63">
        <v>46148.0</v>
      </c>
      <c r="F377" s="47"/>
    </row>
    <row r="378" ht="22.5" customHeight="1">
      <c r="A378" s="61">
        <v>8610.0</v>
      </c>
      <c r="B378" s="62" t="s">
        <v>22</v>
      </c>
      <c r="C378" s="62" t="s">
        <v>26</v>
      </c>
      <c r="D378" s="61">
        <v>2.0</v>
      </c>
      <c r="E378" s="63">
        <v>46148.0</v>
      </c>
      <c r="F378" s="47"/>
    </row>
    <row r="379" ht="22.5" customHeight="1">
      <c r="A379" s="61">
        <v>8740.0</v>
      </c>
      <c r="B379" s="62" t="s">
        <v>12</v>
      </c>
      <c r="C379" s="62" t="s">
        <v>13</v>
      </c>
      <c r="D379" s="61">
        <v>3.0</v>
      </c>
      <c r="E379" s="63">
        <v>46148.0</v>
      </c>
      <c r="F379" s="47"/>
    </row>
    <row r="380" ht="22.5" customHeight="1">
      <c r="A380" s="61">
        <v>8765.0</v>
      </c>
      <c r="B380" s="62" t="s">
        <v>12</v>
      </c>
      <c r="C380" s="62" t="s">
        <v>13</v>
      </c>
      <c r="D380" s="61">
        <v>3.0</v>
      </c>
      <c r="E380" s="63">
        <v>46148.0</v>
      </c>
      <c r="F380" s="47"/>
    </row>
    <row r="381" ht="22.5" customHeight="1">
      <c r="A381" s="61">
        <v>8765.0</v>
      </c>
      <c r="B381" s="62" t="s">
        <v>22</v>
      </c>
      <c r="C381" s="62" t="s">
        <v>13</v>
      </c>
      <c r="D381" s="61">
        <v>2.0</v>
      </c>
      <c r="E381" s="63">
        <v>46148.0</v>
      </c>
      <c r="F381" s="47"/>
    </row>
    <row r="382" ht="22.5" customHeight="1">
      <c r="A382" s="61">
        <v>8770.0</v>
      </c>
      <c r="B382" s="62" t="s">
        <v>46</v>
      </c>
      <c r="C382" s="62" t="s">
        <v>18</v>
      </c>
      <c r="D382" s="61">
        <v>1.0</v>
      </c>
      <c r="E382" s="63">
        <v>46148.0</v>
      </c>
      <c r="F382" s="47"/>
    </row>
    <row r="383" ht="22.5" customHeight="1">
      <c r="A383" s="61">
        <v>8876.0</v>
      </c>
      <c r="B383" s="62" t="s">
        <v>22</v>
      </c>
      <c r="C383" s="62" t="s">
        <v>16</v>
      </c>
      <c r="D383" s="61">
        <v>1.0</v>
      </c>
      <c r="E383" s="63">
        <v>46148.0</v>
      </c>
      <c r="F383" s="47"/>
    </row>
    <row r="384" ht="22.5" customHeight="1">
      <c r="A384" s="61">
        <v>9091.0</v>
      </c>
      <c r="B384" s="62" t="s">
        <v>22</v>
      </c>
      <c r="C384" s="62" t="s">
        <v>13</v>
      </c>
      <c r="D384" s="61">
        <v>1.0</v>
      </c>
      <c r="E384" s="63">
        <v>46148.0</v>
      </c>
      <c r="F384" s="47"/>
    </row>
    <row r="385" ht="22.5" customHeight="1">
      <c r="A385" s="61">
        <v>9091.0</v>
      </c>
      <c r="B385" s="62" t="s">
        <v>22</v>
      </c>
      <c r="C385" s="62" t="s">
        <v>58</v>
      </c>
      <c r="D385" s="61">
        <v>3.0</v>
      </c>
      <c r="E385" s="63">
        <v>46148.0</v>
      </c>
      <c r="F385" s="47"/>
    </row>
    <row r="386" ht="22.5" customHeight="1">
      <c r="A386" s="61">
        <v>9094.0</v>
      </c>
      <c r="B386" s="62" t="s">
        <v>22</v>
      </c>
      <c r="C386" s="62" t="s">
        <v>58</v>
      </c>
      <c r="D386" s="61">
        <v>3.0</v>
      </c>
      <c r="E386" s="63">
        <v>46148.0</v>
      </c>
      <c r="F386" s="47"/>
    </row>
    <row r="387" ht="22.5" customHeight="1">
      <c r="A387" s="61">
        <v>9258.0</v>
      </c>
      <c r="B387" s="62" t="s">
        <v>12</v>
      </c>
      <c r="C387" s="62" t="s">
        <v>58</v>
      </c>
      <c r="D387" s="61">
        <v>1.0</v>
      </c>
      <c r="E387" s="63">
        <v>46148.0</v>
      </c>
      <c r="F387" s="47"/>
    </row>
    <row r="388" ht="22.5" customHeight="1">
      <c r="A388" s="61">
        <v>9258.0</v>
      </c>
      <c r="B388" s="62" t="s">
        <v>22</v>
      </c>
      <c r="C388" s="62" t="s">
        <v>58</v>
      </c>
      <c r="D388" s="61">
        <v>3.0</v>
      </c>
      <c r="E388" s="63">
        <v>46148.0</v>
      </c>
      <c r="F388" s="47"/>
    </row>
    <row r="389" ht="22.5" customHeight="1">
      <c r="A389" s="61">
        <v>9258.0</v>
      </c>
      <c r="B389" s="62" t="s">
        <v>75</v>
      </c>
      <c r="C389" s="62" t="s">
        <v>58</v>
      </c>
      <c r="D389" s="61">
        <v>1.0</v>
      </c>
      <c r="E389" s="63">
        <v>46148.0</v>
      </c>
      <c r="F389" s="47"/>
    </row>
    <row r="390" ht="22.5" customHeight="1">
      <c r="A390" s="61">
        <v>9275.0</v>
      </c>
      <c r="B390" s="62" t="s">
        <v>22</v>
      </c>
      <c r="C390" s="62" t="s">
        <v>13</v>
      </c>
      <c r="D390" s="61">
        <v>1.0</v>
      </c>
      <c r="E390" s="63">
        <v>46148.0</v>
      </c>
      <c r="F390" s="47"/>
    </row>
    <row r="391" ht="22.5" customHeight="1">
      <c r="A391" s="61">
        <v>9275.0</v>
      </c>
      <c r="B391" s="62" t="s">
        <v>22</v>
      </c>
      <c r="C391" s="62" t="s">
        <v>23</v>
      </c>
      <c r="D391" s="61">
        <v>1.0</v>
      </c>
      <c r="E391" s="63">
        <v>46148.0</v>
      </c>
      <c r="F391" s="47"/>
    </row>
    <row r="392" ht="22.5" customHeight="1">
      <c r="A392" s="61">
        <v>9275.0</v>
      </c>
      <c r="B392" s="62" t="s">
        <v>22</v>
      </c>
      <c r="C392" s="62" t="s">
        <v>18</v>
      </c>
      <c r="D392" s="61">
        <v>2.0</v>
      </c>
      <c r="E392" s="63">
        <v>46148.0</v>
      </c>
      <c r="F392" s="47"/>
    </row>
    <row r="393" ht="22.5" customHeight="1">
      <c r="A393" s="61">
        <v>9275.0</v>
      </c>
      <c r="B393" s="62" t="s">
        <v>22</v>
      </c>
      <c r="C393" s="62" t="s">
        <v>47</v>
      </c>
      <c r="D393" s="61">
        <v>2.0</v>
      </c>
      <c r="E393" s="63">
        <v>46148.0</v>
      </c>
      <c r="F393" s="47"/>
    </row>
    <row r="394" ht="22.5" customHeight="1">
      <c r="A394" s="61">
        <v>8825.0</v>
      </c>
      <c r="B394" s="62" t="s">
        <v>22</v>
      </c>
      <c r="C394" s="62" t="s">
        <v>18</v>
      </c>
      <c r="D394" s="61">
        <v>2.0</v>
      </c>
      <c r="E394" s="63">
        <v>46148.0</v>
      </c>
      <c r="F394" s="47"/>
    </row>
    <row r="395" ht="22.5" customHeight="1">
      <c r="A395" s="61">
        <v>9091.0</v>
      </c>
      <c r="B395" s="62" t="s">
        <v>75</v>
      </c>
      <c r="C395" s="62" t="s">
        <v>58</v>
      </c>
      <c r="D395" s="61">
        <v>2.0</v>
      </c>
      <c r="E395" s="63">
        <v>46148.0</v>
      </c>
      <c r="F395" s="47"/>
    </row>
    <row r="396" ht="22.5" customHeight="1">
      <c r="A396" s="61" t="s">
        <v>361</v>
      </c>
      <c r="B396" s="62" t="s">
        <v>46</v>
      </c>
      <c r="C396" s="62" t="s">
        <v>338</v>
      </c>
      <c r="D396" s="61">
        <v>1.0</v>
      </c>
      <c r="E396" s="63">
        <v>46148.0</v>
      </c>
      <c r="F396" s="47"/>
    </row>
    <row r="397" ht="22.5" customHeight="1">
      <c r="A397" s="61" t="s">
        <v>361</v>
      </c>
      <c r="B397" s="62" t="s">
        <v>46</v>
      </c>
      <c r="C397" s="62" t="s">
        <v>760</v>
      </c>
      <c r="D397" s="61">
        <v>1.0</v>
      </c>
      <c r="E397" s="63">
        <v>46148.0</v>
      </c>
      <c r="F397" s="47"/>
    </row>
    <row r="398" ht="22.5" customHeight="1">
      <c r="A398" s="61" t="s">
        <v>361</v>
      </c>
      <c r="B398" s="62" t="s">
        <v>46</v>
      </c>
      <c r="C398" s="62" t="s">
        <v>735</v>
      </c>
      <c r="D398" s="61">
        <v>1.0</v>
      </c>
      <c r="E398" s="63">
        <v>46148.0</v>
      </c>
      <c r="F398" s="47"/>
    </row>
    <row r="399" ht="22.5" customHeight="1">
      <c r="A399" s="61" t="s">
        <v>361</v>
      </c>
      <c r="B399" s="62" t="s">
        <v>46</v>
      </c>
      <c r="C399" s="62" t="s">
        <v>16</v>
      </c>
      <c r="D399" s="61">
        <v>1.0</v>
      </c>
      <c r="E399" s="63">
        <v>46148.0</v>
      </c>
      <c r="F399" s="47"/>
    </row>
    <row r="400" ht="22.5" customHeight="1">
      <c r="A400" s="61">
        <v>8321.0</v>
      </c>
      <c r="B400" s="62" t="s">
        <v>46</v>
      </c>
      <c r="C400" s="62" t="s">
        <v>26</v>
      </c>
      <c r="D400" s="61">
        <v>14.0</v>
      </c>
      <c r="E400" s="63">
        <v>46148.0</v>
      </c>
      <c r="F400" s="47"/>
    </row>
    <row r="401" ht="22.5" customHeight="1">
      <c r="A401" s="61">
        <v>8321.0</v>
      </c>
      <c r="B401" s="62" t="s">
        <v>46</v>
      </c>
      <c r="C401" s="62" t="s">
        <v>58</v>
      </c>
      <c r="D401" s="61">
        <v>6.0</v>
      </c>
      <c r="E401" s="63">
        <v>46148.0</v>
      </c>
      <c r="F401" s="47"/>
    </row>
    <row r="402" ht="22.5" customHeight="1">
      <c r="A402" s="61">
        <v>8321.0</v>
      </c>
      <c r="B402" s="62" t="s">
        <v>46</v>
      </c>
      <c r="C402" s="62" t="s">
        <v>447</v>
      </c>
      <c r="D402" s="61">
        <v>3.0</v>
      </c>
      <c r="E402" s="63">
        <v>46148.0</v>
      </c>
      <c r="F402" s="47"/>
    </row>
    <row r="403" ht="22.5" customHeight="1">
      <c r="A403" s="61" t="s">
        <v>959</v>
      </c>
      <c r="B403" s="62" t="s">
        <v>12</v>
      </c>
      <c r="C403" s="62" t="s">
        <v>18</v>
      </c>
      <c r="D403" s="61">
        <v>16.0</v>
      </c>
      <c r="E403" s="63">
        <v>46148.0</v>
      </c>
      <c r="F403" s="47"/>
    </row>
    <row r="404" ht="22.5" customHeight="1">
      <c r="A404" s="61" t="s">
        <v>959</v>
      </c>
      <c r="B404" s="62" t="s">
        <v>22</v>
      </c>
      <c r="C404" s="62" t="s">
        <v>18</v>
      </c>
      <c r="D404" s="61">
        <v>19.0</v>
      </c>
      <c r="E404" s="63">
        <v>46148.0</v>
      </c>
      <c r="F404" s="47"/>
    </row>
    <row r="405" ht="22.5" customHeight="1">
      <c r="A405" s="61" t="s">
        <v>959</v>
      </c>
      <c r="B405" s="62" t="s">
        <v>75</v>
      </c>
      <c r="C405" s="62" t="s">
        <v>18</v>
      </c>
      <c r="D405" s="61">
        <v>4.0</v>
      </c>
      <c r="E405" s="63">
        <v>46148.0</v>
      </c>
      <c r="F405" s="47"/>
    </row>
    <row r="406" ht="22.5" customHeight="1">
      <c r="A406" s="61" t="s">
        <v>959</v>
      </c>
      <c r="B406" s="62" t="s">
        <v>989</v>
      </c>
      <c r="C406" s="62" t="s">
        <v>18</v>
      </c>
      <c r="D406" s="61">
        <v>2.0</v>
      </c>
      <c r="E406" s="63">
        <v>46148.0</v>
      </c>
      <c r="F406" s="47"/>
    </row>
    <row r="407" ht="22.5" customHeight="1">
      <c r="A407" s="61" t="s">
        <v>959</v>
      </c>
      <c r="B407" s="62" t="s">
        <v>1037</v>
      </c>
      <c r="C407" s="62" t="s">
        <v>18</v>
      </c>
      <c r="D407" s="61">
        <v>1.0</v>
      </c>
      <c r="E407" s="63">
        <v>46148.0</v>
      </c>
      <c r="F407" s="47"/>
    </row>
    <row r="408" ht="22.5" customHeight="1">
      <c r="A408" s="61" t="s">
        <v>959</v>
      </c>
      <c r="B408" s="62" t="s">
        <v>22</v>
      </c>
      <c r="C408" s="62" t="s">
        <v>18</v>
      </c>
      <c r="D408" s="61">
        <v>1.0</v>
      </c>
      <c r="E408" s="63">
        <v>46148.0</v>
      </c>
      <c r="F408" s="47"/>
    </row>
    <row r="409" ht="22.5" customHeight="1">
      <c r="A409" s="61" t="s">
        <v>913</v>
      </c>
      <c r="B409" s="62" t="s">
        <v>22</v>
      </c>
      <c r="C409" s="62" t="s">
        <v>338</v>
      </c>
      <c r="D409" s="61">
        <v>1.0</v>
      </c>
      <c r="E409" s="63">
        <v>46150.0</v>
      </c>
      <c r="F409" s="47"/>
    </row>
    <row r="410" ht="22.5" customHeight="1">
      <c r="A410" s="61" t="s">
        <v>913</v>
      </c>
      <c r="B410" s="62" t="s">
        <v>22</v>
      </c>
      <c r="C410" s="62" t="s">
        <v>13</v>
      </c>
      <c r="D410" s="61">
        <v>2.0</v>
      </c>
      <c r="E410" s="63">
        <v>46150.0</v>
      </c>
      <c r="F410" s="47"/>
    </row>
    <row r="411" ht="22.5" customHeight="1">
      <c r="A411" s="61" t="s">
        <v>913</v>
      </c>
      <c r="B411" s="62" t="s">
        <v>75</v>
      </c>
      <c r="C411" s="62" t="s">
        <v>914</v>
      </c>
      <c r="D411" s="61">
        <v>1.0</v>
      </c>
      <c r="E411" s="63">
        <v>46150.0</v>
      </c>
      <c r="F411" s="47"/>
    </row>
    <row r="412" ht="22.5" customHeight="1">
      <c r="A412" s="61" t="s">
        <v>913</v>
      </c>
      <c r="B412" s="62" t="s">
        <v>75</v>
      </c>
      <c r="C412" s="62" t="s">
        <v>338</v>
      </c>
      <c r="D412" s="61">
        <v>1.0</v>
      </c>
      <c r="E412" s="63">
        <v>46150.0</v>
      </c>
      <c r="F412" s="47"/>
    </row>
    <row r="413" ht="22.5" customHeight="1">
      <c r="A413" s="61" t="s">
        <v>913</v>
      </c>
      <c r="B413" s="62" t="s">
        <v>22</v>
      </c>
      <c r="C413" s="62" t="s">
        <v>16</v>
      </c>
      <c r="D413" s="61">
        <v>1.0</v>
      </c>
      <c r="E413" s="63">
        <v>46150.0</v>
      </c>
      <c r="F413" s="47"/>
    </row>
    <row r="414" ht="22.5" customHeight="1">
      <c r="A414" s="61" t="s">
        <v>913</v>
      </c>
      <c r="B414" s="62" t="s">
        <v>75</v>
      </c>
      <c r="C414" s="62" t="s">
        <v>16</v>
      </c>
      <c r="D414" s="61">
        <v>1.0</v>
      </c>
      <c r="E414" s="63">
        <v>46150.0</v>
      </c>
      <c r="F414" s="47"/>
    </row>
    <row r="415" ht="22.5" customHeight="1">
      <c r="A415" s="61" t="s">
        <v>913</v>
      </c>
      <c r="B415" s="62" t="s">
        <v>22</v>
      </c>
      <c r="C415" s="62" t="s">
        <v>23</v>
      </c>
      <c r="D415" s="61">
        <v>1.0</v>
      </c>
      <c r="E415" s="63">
        <v>46150.0</v>
      </c>
      <c r="F415" s="47"/>
    </row>
    <row r="416" ht="22.5" customHeight="1">
      <c r="A416" s="61" t="s">
        <v>763</v>
      </c>
      <c r="B416" s="62" t="s">
        <v>46</v>
      </c>
      <c r="C416" s="62" t="s">
        <v>1152</v>
      </c>
      <c r="D416" s="61">
        <v>1.0</v>
      </c>
      <c r="E416" s="63">
        <v>46151.0</v>
      </c>
      <c r="F416" s="47"/>
    </row>
    <row r="417" ht="22.5" customHeight="1">
      <c r="A417" s="61" t="s">
        <v>763</v>
      </c>
      <c r="B417" s="62" t="s">
        <v>46</v>
      </c>
      <c r="C417" s="62" t="s">
        <v>1154</v>
      </c>
      <c r="D417" s="61">
        <v>1.0</v>
      </c>
      <c r="E417" s="63">
        <v>46151.0</v>
      </c>
      <c r="F417" s="47"/>
    </row>
    <row r="418" ht="22.5" customHeight="1">
      <c r="A418" s="61" t="s">
        <v>763</v>
      </c>
      <c r="B418" s="62" t="s">
        <v>46</v>
      </c>
      <c r="C418" s="62" t="s">
        <v>1330</v>
      </c>
      <c r="D418" s="61">
        <v>2.0</v>
      </c>
      <c r="E418" s="63">
        <v>46151.0</v>
      </c>
      <c r="F418" s="47"/>
    </row>
    <row r="419" ht="22.5" customHeight="1">
      <c r="A419" s="61">
        <v>8876.0</v>
      </c>
      <c r="B419" s="62" t="s">
        <v>22</v>
      </c>
      <c r="C419" s="62" t="s">
        <v>13</v>
      </c>
      <c r="D419" s="61">
        <v>2.0</v>
      </c>
      <c r="E419" s="63">
        <v>46151.0</v>
      </c>
      <c r="F419" s="47"/>
    </row>
    <row r="420" ht="22.5" customHeight="1">
      <c r="A420" s="61">
        <v>8876.0</v>
      </c>
      <c r="B420" s="62" t="s">
        <v>12</v>
      </c>
      <c r="C420" s="62" t="s">
        <v>18</v>
      </c>
      <c r="D420" s="61">
        <v>4.0</v>
      </c>
      <c r="E420" s="63">
        <v>46151.0</v>
      </c>
      <c r="F420" s="47"/>
    </row>
    <row r="421" ht="22.5" customHeight="1">
      <c r="A421" s="61">
        <v>8610.0</v>
      </c>
      <c r="B421" s="62" t="s">
        <v>12</v>
      </c>
      <c r="C421" s="62" t="s">
        <v>18</v>
      </c>
      <c r="D421" s="61">
        <v>2.0</v>
      </c>
      <c r="E421" s="63">
        <v>46151.0</v>
      </c>
      <c r="F421" s="47"/>
    </row>
    <row r="422" ht="22.5" customHeight="1">
      <c r="A422" s="61">
        <v>8770.0</v>
      </c>
      <c r="B422" s="62" t="s">
        <v>46</v>
      </c>
      <c r="C422" s="62" t="s">
        <v>13</v>
      </c>
      <c r="D422" s="61">
        <v>1.0</v>
      </c>
      <c r="E422" s="63">
        <v>46151.0</v>
      </c>
      <c r="F422" s="47"/>
    </row>
    <row r="423" ht="22.5" customHeight="1">
      <c r="A423" s="61">
        <v>9091.0</v>
      </c>
      <c r="B423" s="62" t="s">
        <v>22</v>
      </c>
      <c r="C423" s="62" t="s">
        <v>58</v>
      </c>
      <c r="D423" s="61">
        <v>1.0</v>
      </c>
      <c r="E423" s="63">
        <v>46151.0</v>
      </c>
      <c r="F423" s="47"/>
    </row>
    <row r="424" ht="22.5" customHeight="1">
      <c r="A424" s="61">
        <v>9425.0</v>
      </c>
      <c r="B424" s="62" t="s">
        <v>22</v>
      </c>
      <c r="C424" s="62" t="s">
        <v>58</v>
      </c>
      <c r="D424" s="61">
        <v>2.0</v>
      </c>
      <c r="E424" s="63">
        <v>46151.0</v>
      </c>
      <c r="F424" s="47"/>
    </row>
    <row r="425" ht="22.5" customHeight="1">
      <c r="A425" s="61">
        <v>9425.0</v>
      </c>
      <c r="B425" s="62" t="s">
        <v>12</v>
      </c>
      <c r="C425" s="62" t="s">
        <v>58</v>
      </c>
      <c r="D425" s="61">
        <v>3.0</v>
      </c>
      <c r="E425" s="63">
        <v>46151.0</v>
      </c>
      <c r="F425" s="47"/>
    </row>
    <row r="426" ht="22.5" customHeight="1">
      <c r="A426" s="61">
        <v>8610.0</v>
      </c>
      <c r="B426" s="62" t="s">
        <v>12</v>
      </c>
      <c r="C426" s="62" t="s">
        <v>58</v>
      </c>
      <c r="D426" s="61">
        <v>1.0</v>
      </c>
      <c r="E426" s="63">
        <v>46151.0</v>
      </c>
      <c r="F426" s="47"/>
    </row>
    <row r="427" ht="22.5" customHeight="1">
      <c r="A427" s="61">
        <v>8610.0</v>
      </c>
      <c r="B427" s="62" t="s">
        <v>12</v>
      </c>
      <c r="C427" s="62" t="s">
        <v>58</v>
      </c>
      <c r="D427" s="61">
        <v>1.0</v>
      </c>
      <c r="E427" s="63">
        <v>46151.0</v>
      </c>
      <c r="F427" s="47"/>
    </row>
    <row r="428" ht="22.5" customHeight="1">
      <c r="A428" s="61">
        <v>8740.0</v>
      </c>
      <c r="B428" s="62" t="s">
        <v>22</v>
      </c>
      <c r="C428" s="62" t="s">
        <v>13</v>
      </c>
      <c r="D428" s="61">
        <v>2.0</v>
      </c>
      <c r="E428" s="63">
        <v>46151.0</v>
      </c>
      <c r="F428" s="47"/>
    </row>
    <row r="429" ht="22.5" customHeight="1">
      <c r="A429" s="61">
        <v>8748.0</v>
      </c>
      <c r="B429" s="62" t="s">
        <v>22</v>
      </c>
      <c r="C429" s="62" t="s">
        <v>58</v>
      </c>
      <c r="D429" s="61">
        <v>5.0</v>
      </c>
      <c r="E429" s="63">
        <v>46151.0</v>
      </c>
      <c r="F429" s="47"/>
    </row>
    <row r="430" ht="22.5" customHeight="1">
      <c r="A430" s="61">
        <v>8770.0</v>
      </c>
      <c r="B430" s="62" t="s">
        <v>46</v>
      </c>
      <c r="C430" s="62" t="s">
        <v>27</v>
      </c>
      <c r="D430" s="61">
        <v>6.0</v>
      </c>
      <c r="E430" s="63">
        <v>46151.0</v>
      </c>
      <c r="F430" s="47"/>
    </row>
    <row r="431" ht="22.5" customHeight="1">
      <c r="A431" s="61">
        <v>8770.0</v>
      </c>
      <c r="B431" s="62" t="s">
        <v>46</v>
      </c>
      <c r="C431" s="62" t="s">
        <v>58</v>
      </c>
      <c r="D431" s="61">
        <v>1.0</v>
      </c>
      <c r="E431" s="63">
        <v>46151.0</v>
      </c>
      <c r="F431" s="47"/>
    </row>
    <row r="432" ht="22.5" customHeight="1">
      <c r="A432" s="61" t="s">
        <v>1185</v>
      </c>
      <c r="B432" s="62" t="s">
        <v>1037</v>
      </c>
      <c r="C432" s="62" t="s">
        <v>58</v>
      </c>
      <c r="D432" s="61">
        <v>6.0</v>
      </c>
      <c r="E432" s="63">
        <v>46151.0</v>
      </c>
      <c r="F432" s="47"/>
    </row>
    <row r="433" ht="22.5" customHeight="1">
      <c r="A433" s="61" t="s">
        <v>1185</v>
      </c>
      <c r="B433" s="62" t="s">
        <v>1037</v>
      </c>
      <c r="C433" s="62" t="s">
        <v>18</v>
      </c>
      <c r="D433" s="61">
        <v>6.0</v>
      </c>
      <c r="E433" s="63">
        <v>46151.0</v>
      </c>
      <c r="F433" s="47"/>
    </row>
    <row r="434" ht="22.5" customHeight="1">
      <c r="A434" s="61" t="s">
        <v>1185</v>
      </c>
      <c r="B434" s="62" t="s">
        <v>1037</v>
      </c>
      <c r="C434" s="62" t="s">
        <v>23</v>
      </c>
      <c r="D434" s="61">
        <v>3.0</v>
      </c>
      <c r="E434" s="63">
        <v>46151.0</v>
      </c>
      <c r="F434" s="47"/>
    </row>
    <row r="435" ht="22.5" customHeight="1">
      <c r="A435" s="61" t="s">
        <v>1185</v>
      </c>
      <c r="B435" s="62" t="s">
        <v>989</v>
      </c>
      <c r="C435" s="62" t="s">
        <v>23</v>
      </c>
      <c r="D435" s="61">
        <v>6.0</v>
      </c>
      <c r="E435" s="63">
        <v>46151.0</v>
      </c>
      <c r="F435" s="47"/>
    </row>
    <row r="436" ht="22.5" customHeight="1">
      <c r="A436" s="61" t="s">
        <v>1185</v>
      </c>
      <c r="B436" s="62" t="s">
        <v>989</v>
      </c>
      <c r="C436" s="62" t="s">
        <v>18</v>
      </c>
      <c r="D436" s="61">
        <v>6.0</v>
      </c>
      <c r="E436" s="63">
        <v>46151.0</v>
      </c>
      <c r="F436" s="47"/>
    </row>
    <row r="437" ht="22.5" customHeight="1">
      <c r="A437" s="61" t="s">
        <v>1185</v>
      </c>
      <c r="B437" s="62" t="s">
        <v>989</v>
      </c>
      <c r="C437" s="62" t="s">
        <v>58</v>
      </c>
      <c r="D437" s="61">
        <v>3.0</v>
      </c>
      <c r="E437" s="63">
        <v>46151.0</v>
      </c>
      <c r="F437" s="47"/>
    </row>
    <row r="438" ht="22.5" customHeight="1">
      <c r="A438" s="61" t="s">
        <v>763</v>
      </c>
      <c r="B438" s="62" t="s">
        <v>46</v>
      </c>
      <c r="C438" s="62" t="s">
        <v>1343</v>
      </c>
      <c r="D438" s="61">
        <v>1.0</v>
      </c>
      <c r="E438" s="63">
        <v>46151.0</v>
      </c>
      <c r="F438" s="47"/>
    </row>
    <row r="439" ht="22.5" customHeight="1">
      <c r="A439" s="61" t="s">
        <v>763</v>
      </c>
      <c r="B439" s="62" t="s">
        <v>46</v>
      </c>
      <c r="C439" s="62" t="s">
        <v>1336</v>
      </c>
      <c r="D439" s="61">
        <v>1.0</v>
      </c>
      <c r="E439" s="63">
        <v>46151.0</v>
      </c>
      <c r="F439" s="47"/>
    </row>
    <row r="440" ht="22.5" customHeight="1">
      <c r="A440" s="61" t="s">
        <v>959</v>
      </c>
      <c r="B440" s="62" t="s">
        <v>12</v>
      </c>
      <c r="C440" s="62" t="s">
        <v>18</v>
      </c>
      <c r="D440" s="61">
        <v>3.0</v>
      </c>
      <c r="E440" s="63">
        <v>46151.0</v>
      </c>
      <c r="F440" s="47"/>
    </row>
    <row r="441" ht="22.5" customHeight="1">
      <c r="A441" s="61" t="s">
        <v>959</v>
      </c>
      <c r="B441" s="62" t="s">
        <v>22</v>
      </c>
      <c r="C441" s="62" t="s">
        <v>18</v>
      </c>
      <c r="D441" s="61">
        <v>2.0</v>
      </c>
      <c r="E441" s="63">
        <v>46151.0</v>
      </c>
      <c r="F441" s="47"/>
    </row>
    <row r="442" ht="22.5" customHeight="1">
      <c r="A442" s="61" t="s">
        <v>959</v>
      </c>
      <c r="B442" s="62" t="s">
        <v>989</v>
      </c>
      <c r="C442" s="62" t="s">
        <v>18</v>
      </c>
      <c r="D442" s="61">
        <v>1.0</v>
      </c>
      <c r="E442" s="63">
        <v>46151.0</v>
      </c>
      <c r="F442" s="47"/>
    </row>
    <row r="443" ht="22.5" customHeight="1">
      <c r="A443" s="61" t="s">
        <v>1204</v>
      </c>
      <c r="B443" s="62" t="s">
        <v>75</v>
      </c>
      <c r="C443" s="62" t="s">
        <v>47</v>
      </c>
      <c r="D443" s="61">
        <v>11.0</v>
      </c>
      <c r="E443" s="63">
        <v>46151.0</v>
      </c>
      <c r="F443" s="47"/>
    </row>
    <row r="444" ht="22.5" customHeight="1">
      <c r="A444" s="61" t="s">
        <v>1204</v>
      </c>
      <c r="B444" s="62" t="s">
        <v>12</v>
      </c>
      <c r="C444" s="62" t="s">
        <v>18</v>
      </c>
      <c r="D444" s="61">
        <v>1.0</v>
      </c>
      <c r="E444" s="63">
        <v>46151.0</v>
      </c>
      <c r="F444" s="47"/>
    </row>
    <row r="445" ht="22.5" customHeight="1">
      <c r="A445" s="61" t="s">
        <v>1204</v>
      </c>
      <c r="B445" s="62" t="s">
        <v>12</v>
      </c>
      <c r="C445" s="62" t="s">
        <v>13</v>
      </c>
      <c r="D445" s="61">
        <v>2.0</v>
      </c>
      <c r="E445" s="63">
        <v>46151.0</v>
      </c>
      <c r="F445" s="47"/>
    </row>
    <row r="446" ht="22.5" customHeight="1">
      <c r="A446" s="61" t="s">
        <v>1204</v>
      </c>
      <c r="B446" s="62" t="s">
        <v>12</v>
      </c>
      <c r="C446" s="62" t="s">
        <v>47</v>
      </c>
      <c r="D446" s="61">
        <v>3.0</v>
      </c>
      <c r="E446" s="63">
        <v>46151.0</v>
      </c>
      <c r="F446" s="47"/>
    </row>
    <row r="447" ht="22.5" customHeight="1">
      <c r="A447" s="61" t="s">
        <v>1204</v>
      </c>
      <c r="B447" s="62" t="s">
        <v>75</v>
      </c>
      <c r="C447" s="62" t="s">
        <v>18</v>
      </c>
      <c r="D447" s="61">
        <v>6.0</v>
      </c>
      <c r="E447" s="63">
        <v>46151.0</v>
      </c>
      <c r="F447" s="47"/>
    </row>
    <row r="448" ht="22.5" customHeight="1">
      <c r="A448" s="61" t="s">
        <v>1204</v>
      </c>
      <c r="B448" s="62" t="s">
        <v>22</v>
      </c>
      <c r="C448" s="62" t="s">
        <v>13</v>
      </c>
      <c r="D448" s="61">
        <v>3.0</v>
      </c>
      <c r="E448" s="63">
        <v>46151.0</v>
      </c>
      <c r="F448" s="47"/>
    </row>
    <row r="449" ht="22.5" customHeight="1">
      <c r="A449" s="61" t="s">
        <v>1204</v>
      </c>
      <c r="B449" s="62" t="s">
        <v>22</v>
      </c>
      <c r="C449" s="62" t="s">
        <v>47</v>
      </c>
      <c r="D449" s="61">
        <v>2.0</v>
      </c>
      <c r="E449" s="63">
        <v>46151.0</v>
      </c>
      <c r="F449" s="47"/>
    </row>
    <row r="450" ht="22.5" customHeight="1">
      <c r="A450" s="61" t="s">
        <v>1204</v>
      </c>
      <c r="B450" s="62" t="s">
        <v>75</v>
      </c>
      <c r="C450" s="62" t="s">
        <v>23</v>
      </c>
      <c r="D450" s="61">
        <v>1.0</v>
      </c>
      <c r="E450" s="63">
        <v>46151.0</v>
      </c>
      <c r="F450" s="47"/>
    </row>
    <row r="451" ht="22.5" customHeight="1">
      <c r="A451" s="61" t="s">
        <v>1204</v>
      </c>
      <c r="B451" s="62" t="s">
        <v>75</v>
      </c>
      <c r="C451" s="62" t="s">
        <v>13</v>
      </c>
      <c r="D451" s="61">
        <v>1.0</v>
      </c>
      <c r="E451" s="63">
        <v>46151.0</v>
      </c>
      <c r="F451" s="47"/>
    </row>
    <row r="452" ht="22.5" customHeight="1">
      <c r="A452" s="61" t="s">
        <v>441</v>
      </c>
      <c r="B452" s="62" t="s">
        <v>46</v>
      </c>
      <c r="C452" s="62" t="s">
        <v>16</v>
      </c>
      <c r="D452" s="61">
        <v>1.0</v>
      </c>
      <c r="E452" s="63">
        <v>46151.0</v>
      </c>
      <c r="F452" s="47"/>
    </row>
    <row r="453" ht="22.5" customHeight="1">
      <c r="A453" s="61" t="s">
        <v>441</v>
      </c>
      <c r="B453" s="62" t="s">
        <v>46</v>
      </c>
      <c r="C453" s="62" t="s">
        <v>26</v>
      </c>
      <c r="D453" s="61">
        <v>3.0</v>
      </c>
      <c r="E453" s="63">
        <v>46151.0</v>
      </c>
      <c r="F453" s="47"/>
    </row>
    <row r="454" ht="22.5" customHeight="1">
      <c r="A454" s="61" t="s">
        <v>441</v>
      </c>
      <c r="B454" s="62" t="s">
        <v>46</v>
      </c>
      <c r="C454" s="62" t="s">
        <v>447</v>
      </c>
      <c r="D454" s="61">
        <v>1.0</v>
      </c>
      <c r="E454" s="63">
        <v>46151.0</v>
      </c>
      <c r="F454" s="47"/>
    </row>
    <row r="455" ht="22.5" customHeight="1">
      <c r="A455" s="61" t="s">
        <v>441</v>
      </c>
      <c r="B455" s="62" t="s">
        <v>46</v>
      </c>
      <c r="C455" s="62" t="s">
        <v>47</v>
      </c>
      <c r="D455" s="61">
        <v>1.0</v>
      </c>
      <c r="E455" s="63">
        <v>46151.0</v>
      </c>
      <c r="F455" s="47"/>
    </row>
    <row r="456" ht="22.5" customHeight="1">
      <c r="A456" s="61" t="s">
        <v>1185</v>
      </c>
      <c r="B456" s="62" t="s">
        <v>22</v>
      </c>
      <c r="C456" s="62" t="s">
        <v>18</v>
      </c>
      <c r="D456" s="61">
        <v>1.0</v>
      </c>
      <c r="E456" s="63">
        <v>46151.0</v>
      </c>
      <c r="F456" s="47"/>
    </row>
    <row r="457" ht="22.5" customHeight="1">
      <c r="A457" s="61" t="s">
        <v>1185</v>
      </c>
      <c r="B457" s="62" t="s">
        <v>22</v>
      </c>
      <c r="C457" s="62" t="s">
        <v>23</v>
      </c>
      <c r="D457" s="61">
        <v>1.0</v>
      </c>
      <c r="E457" s="63">
        <v>46151.0</v>
      </c>
      <c r="F457" s="47"/>
    </row>
    <row r="458" ht="22.5" customHeight="1">
      <c r="A458" s="61" t="s">
        <v>1185</v>
      </c>
      <c r="B458" s="62" t="s">
        <v>1186</v>
      </c>
      <c r="C458" s="62" t="s">
        <v>58</v>
      </c>
      <c r="D458" s="61">
        <v>3.0</v>
      </c>
      <c r="E458" s="63">
        <v>46151.0</v>
      </c>
      <c r="F458" s="47"/>
    </row>
    <row r="459" ht="22.5" customHeight="1">
      <c r="A459" s="61" t="s">
        <v>1185</v>
      </c>
      <c r="B459" s="62" t="s">
        <v>1186</v>
      </c>
      <c r="C459" s="62" t="s">
        <v>18</v>
      </c>
      <c r="D459" s="61">
        <v>3.0</v>
      </c>
      <c r="E459" s="63">
        <v>46151.0</v>
      </c>
      <c r="F459" s="47"/>
    </row>
    <row r="460" ht="22.5" customHeight="1">
      <c r="A460" s="61" t="s">
        <v>1185</v>
      </c>
      <c r="B460" s="62" t="s">
        <v>22</v>
      </c>
      <c r="C460" s="62" t="s">
        <v>18</v>
      </c>
      <c r="D460" s="61">
        <v>3.0</v>
      </c>
      <c r="E460" s="63">
        <v>46151.0</v>
      </c>
      <c r="F460" s="47"/>
    </row>
    <row r="461" ht="22.5" customHeight="1">
      <c r="A461" s="61" t="s">
        <v>1185</v>
      </c>
      <c r="B461" s="62" t="s">
        <v>75</v>
      </c>
      <c r="C461" s="62" t="s">
        <v>58</v>
      </c>
      <c r="D461" s="61">
        <v>3.0</v>
      </c>
      <c r="E461" s="63">
        <v>46151.0</v>
      </c>
      <c r="F461" s="47"/>
    </row>
    <row r="462" ht="22.5" customHeight="1">
      <c r="A462" s="61" t="s">
        <v>1185</v>
      </c>
      <c r="B462" s="62" t="s">
        <v>75</v>
      </c>
      <c r="C462" s="62" t="s">
        <v>18</v>
      </c>
      <c r="D462" s="61">
        <v>3.0</v>
      </c>
      <c r="E462" s="63">
        <v>46151.0</v>
      </c>
      <c r="F462" s="47"/>
    </row>
    <row r="463" ht="22.5" customHeight="1">
      <c r="A463" s="61" t="s">
        <v>1185</v>
      </c>
      <c r="B463" s="62" t="s">
        <v>75</v>
      </c>
      <c r="C463" s="62" t="s">
        <v>18</v>
      </c>
      <c r="D463" s="61">
        <v>2.0</v>
      </c>
      <c r="E463" s="63">
        <v>46151.0</v>
      </c>
      <c r="F463" s="47"/>
    </row>
    <row r="464" ht="22.5" customHeight="1">
      <c r="A464" s="61" t="s">
        <v>1185</v>
      </c>
      <c r="B464" s="62" t="s">
        <v>75</v>
      </c>
      <c r="C464" s="62" t="s">
        <v>23</v>
      </c>
      <c r="D464" s="61">
        <v>5.0</v>
      </c>
      <c r="E464" s="63">
        <v>46151.0</v>
      </c>
      <c r="F464" s="47"/>
    </row>
    <row r="465" ht="22.5" customHeight="1">
      <c r="A465" s="61" t="s">
        <v>1185</v>
      </c>
      <c r="B465" s="62" t="s">
        <v>75</v>
      </c>
      <c r="C465" s="62" t="s">
        <v>18</v>
      </c>
      <c r="D465" s="61">
        <v>5.0</v>
      </c>
      <c r="E465" s="63">
        <v>46151.0</v>
      </c>
      <c r="F465" s="47"/>
    </row>
    <row r="466" ht="22.5" customHeight="1">
      <c r="A466" s="61" t="s">
        <v>376</v>
      </c>
      <c r="B466" s="62">
        <v>36.0</v>
      </c>
      <c r="C466" s="62" t="s">
        <v>18</v>
      </c>
      <c r="D466" s="61">
        <v>1.0</v>
      </c>
      <c r="E466" s="63">
        <v>46151.0</v>
      </c>
      <c r="F466" s="47"/>
    </row>
    <row r="467" ht="22.5" customHeight="1">
      <c r="A467" s="61" t="s">
        <v>376</v>
      </c>
      <c r="B467" s="62">
        <v>39.0</v>
      </c>
      <c r="C467" s="62" t="s">
        <v>26</v>
      </c>
      <c r="D467" s="61">
        <v>1.0</v>
      </c>
      <c r="E467" s="63">
        <v>46151.0</v>
      </c>
      <c r="F467" s="47"/>
    </row>
    <row r="468" ht="22.5" customHeight="1">
      <c r="A468" s="61" t="s">
        <v>763</v>
      </c>
      <c r="B468" s="62" t="s">
        <v>46</v>
      </c>
      <c r="C468" s="62" t="s">
        <v>1155</v>
      </c>
      <c r="D468" s="61">
        <v>1.0</v>
      </c>
      <c r="E468" s="63">
        <v>46151.0</v>
      </c>
      <c r="F468" s="47"/>
    </row>
    <row r="469" ht="22.5" customHeight="1">
      <c r="A469" s="61" t="s">
        <v>763</v>
      </c>
      <c r="B469" s="62" t="s">
        <v>46</v>
      </c>
      <c r="C469" s="62" t="s">
        <v>1173</v>
      </c>
      <c r="D469" s="61">
        <v>1.0</v>
      </c>
      <c r="E469" s="63">
        <v>46151.0</v>
      </c>
      <c r="F469" s="47"/>
    </row>
    <row r="470" ht="22.5" customHeight="1">
      <c r="A470" s="61" t="s">
        <v>763</v>
      </c>
      <c r="B470" s="62" t="s">
        <v>46</v>
      </c>
      <c r="C470" s="62" t="s">
        <v>1163</v>
      </c>
      <c r="D470" s="61">
        <v>1.0</v>
      </c>
      <c r="E470" s="63">
        <v>46151.0</v>
      </c>
      <c r="F470" s="47"/>
    </row>
    <row r="471" ht="22.5" customHeight="1">
      <c r="A471" s="61" t="s">
        <v>763</v>
      </c>
      <c r="B471" s="62" t="s">
        <v>46</v>
      </c>
      <c r="C471" s="62" t="s">
        <v>1347</v>
      </c>
      <c r="D471" s="61">
        <v>1.0</v>
      </c>
      <c r="E471" s="63">
        <v>46151.0</v>
      </c>
      <c r="F471" s="47"/>
    </row>
    <row r="472" ht="22.5" customHeight="1">
      <c r="A472" s="61" t="s">
        <v>763</v>
      </c>
      <c r="B472" s="62" t="s">
        <v>46</v>
      </c>
      <c r="C472" s="62" t="s">
        <v>1346</v>
      </c>
      <c r="D472" s="61">
        <v>1.0</v>
      </c>
      <c r="E472" s="63">
        <v>46151.0</v>
      </c>
      <c r="F472" s="47"/>
    </row>
    <row r="473" ht="22.5" customHeight="1">
      <c r="A473" s="61" t="s">
        <v>517</v>
      </c>
      <c r="B473" s="62" t="s">
        <v>46</v>
      </c>
      <c r="C473" s="62" t="s">
        <v>338</v>
      </c>
      <c r="D473" s="61">
        <v>1.0</v>
      </c>
      <c r="E473" s="63">
        <v>46151.0</v>
      </c>
      <c r="F473" s="47"/>
    </row>
    <row r="474" ht="22.5" customHeight="1">
      <c r="A474" s="61">
        <v>9091.0</v>
      </c>
      <c r="B474" s="62" t="s">
        <v>12</v>
      </c>
      <c r="C474" s="62" t="s">
        <v>58</v>
      </c>
      <c r="D474" s="61">
        <v>1.0</v>
      </c>
      <c r="E474" s="63">
        <v>46151.0</v>
      </c>
      <c r="F474" s="47"/>
    </row>
    <row r="475" ht="22.5" customHeight="1">
      <c r="A475" s="61" t="s">
        <v>1233</v>
      </c>
      <c r="B475" s="62" t="s">
        <v>46</v>
      </c>
      <c r="C475" s="62" t="s">
        <v>13</v>
      </c>
      <c r="D475" s="61">
        <v>17.0</v>
      </c>
      <c r="E475" s="63">
        <v>46153.0</v>
      </c>
      <c r="F475" s="47"/>
    </row>
    <row r="476" ht="22.5" customHeight="1">
      <c r="A476" s="61">
        <v>92212.0</v>
      </c>
      <c r="B476" s="62" t="s">
        <v>46</v>
      </c>
      <c r="C476" s="62" t="s">
        <v>16</v>
      </c>
      <c r="D476" s="61">
        <v>22.0</v>
      </c>
      <c r="E476" s="63">
        <v>46153.0</v>
      </c>
      <c r="F476" s="47"/>
    </row>
    <row r="477" ht="22.5" customHeight="1">
      <c r="A477" s="61" t="s">
        <v>1200</v>
      </c>
      <c r="B477" s="62" t="s">
        <v>22</v>
      </c>
      <c r="C477" s="62" t="s">
        <v>47</v>
      </c>
      <c r="D477" s="61">
        <v>1.0</v>
      </c>
      <c r="E477" s="63">
        <v>46153.0</v>
      </c>
      <c r="F477" s="47"/>
    </row>
    <row r="478" ht="22.5" customHeight="1">
      <c r="A478" s="61" t="s">
        <v>1200</v>
      </c>
      <c r="B478" s="62" t="s">
        <v>75</v>
      </c>
      <c r="C478" s="62" t="s">
        <v>47</v>
      </c>
      <c r="D478" s="61">
        <v>2.0</v>
      </c>
      <c r="E478" s="63">
        <v>46153.0</v>
      </c>
      <c r="F478" s="47"/>
    </row>
    <row r="479" ht="22.5" customHeight="1">
      <c r="A479" s="61" t="s">
        <v>1255</v>
      </c>
      <c r="B479" s="62" t="s">
        <v>22</v>
      </c>
      <c r="C479" s="62" t="s">
        <v>1256</v>
      </c>
      <c r="D479" s="61">
        <v>10.0</v>
      </c>
      <c r="E479" s="63">
        <v>46153.0</v>
      </c>
      <c r="F479" s="47"/>
    </row>
    <row r="480" ht="22.5" customHeight="1">
      <c r="A480" s="61" t="s">
        <v>517</v>
      </c>
      <c r="B480" s="62" t="s">
        <v>46</v>
      </c>
      <c r="C480" s="62" t="s">
        <v>338</v>
      </c>
      <c r="D480" s="61">
        <v>6.0</v>
      </c>
      <c r="E480" s="63">
        <v>46153.0</v>
      </c>
      <c r="F480" s="47"/>
    </row>
    <row r="481" ht="22.5" customHeight="1">
      <c r="A481" s="61">
        <v>92212.0</v>
      </c>
      <c r="B481" s="62" t="s">
        <v>46</v>
      </c>
      <c r="C481" s="62" t="s">
        <v>23</v>
      </c>
      <c r="D481" s="61">
        <v>1.0</v>
      </c>
      <c r="E481" s="63">
        <v>46153.0</v>
      </c>
      <c r="F481" s="47"/>
    </row>
    <row r="482" ht="22.5" customHeight="1">
      <c r="A482" s="61" t="s">
        <v>1200</v>
      </c>
      <c r="B482" s="62" t="s">
        <v>12</v>
      </c>
      <c r="C482" s="62" t="s">
        <v>47</v>
      </c>
      <c r="D482" s="61">
        <v>1.0</v>
      </c>
      <c r="E482" s="63">
        <v>46153.0</v>
      </c>
      <c r="F482" s="47"/>
    </row>
    <row r="483" ht="22.5" customHeight="1">
      <c r="A483" s="61">
        <v>8321.0</v>
      </c>
      <c r="B483" s="62" t="s">
        <v>46</v>
      </c>
      <c r="C483" s="62" t="s">
        <v>58</v>
      </c>
      <c r="D483" s="61">
        <v>5.0</v>
      </c>
      <c r="E483" s="63">
        <v>46153.0</v>
      </c>
      <c r="F483" s="47"/>
    </row>
    <row r="484" ht="22.5" customHeight="1">
      <c r="A484" s="61" t="s">
        <v>1200</v>
      </c>
      <c r="B484" s="62" t="s">
        <v>75</v>
      </c>
      <c r="C484" s="62" t="s">
        <v>18</v>
      </c>
      <c r="D484" s="61">
        <v>1.0</v>
      </c>
      <c r="E484" s="63">
        <v>46153.0</v>
      </c>
      <c r="F484" s="47"/>
    </row>
    <row r="485" ht="22.5" customHeight="1">
      <c r="A485" s="61">
        <v>8321.0</v>
      </c>
      <c r="B485" s="62" t="s">
        <v>46</v>
      </c>
      <c r="C485" s="62" t="s">
        <v>26</v>
      </c>
      <c r="D485" s="61">
        <v>4.0</v>
      </c>
      <c r="E485" s="63">
        <v>46153.0</v>
      </c>
      <c r="F485" s="47"/>
    </row>
    <row r="486" ht="22.5" customHeight="1">
      <c r="A486" s="61">
        <v>92212.0</v>
      </c>
      <c r="B486" s="62" t="s">
        <v>46</v>
      </c>
      <c r="C486" s="62" t="s">
        <v>18</v>
      </c>
      <c r="D486" s="61">
        <v>1.0</v>
      </c>
      <c r="E486" s="63">
        <v>46153.0</v>
      </c>
      <c r="F486" s="47"/>
    </row>
    <row r="487" ht="22.5" customHeight="1">
      <c r="A487" s="61" t="s">
        <v>1255</v>
      </c>
      <c r="B487" s="62" t="s">
        <v>75</v>
      </c>
      <c r="C487" s="62" t="s">
        <v>1258</v>
      </c>
      <c r="D487" s="61">
        <v>4.0</v>
      </c>
      <c r="E487" s="63">
        <v>46153.0</v>
      </c>
      <c r="F487" s="47"/>
    </row>
    <row r="488" ht="22.5" customHeight="1">
      <c r="A488" s="61" t="s">
        <v>1255</v>
      </c>
      <c r="B488" s="62" t="s">
        <v>22</v>
      </c>
      <c r="C488" s="62" t="s">
        <v>1258</v>
      </c>
      <c r="D488" s="61">
        <v>3.0</v>
      </c>
      <c r="E488" s="63">
        <v>46153.0</v>
      </c>
      <c r="F488" s="47"/>
    </row>
    <row r="489" ht="22.5" customHeight="1">
      <c r="A489" s="61">
        <v>8321.0</v>
      </c>
      <c r="B489" s="62" t="s">
        <v>46</v>
      </c>
      <c r="C489" s="62" t="s">
        <v>447</v>
      </c>
      <c r="D489" s="61">
        <v>2.0</v>
      </c>
      <c r="E489" s="63">
        <v>46153.0</v>
      </c>
      <c r="F489" s="47"/>
    </row>
    <row r="490" ht="22.5" customHeight="1">
      <c r="A490" s="61">
        <v>92212.0</v>
      </c>
      <c r="B490" s="62" t="s">
        <v>46</v>
      </c>
      <c r="C490" s="62" t="s">
        <v>13</v>
      </c>
      <c r="D490" s="61">
        <v>1.0</v>
      </c>
      <c r="E490" s="63">
        <v>46153.0</v>
      </c>
      <c r="F490" s="47"/>
    </row>
    <row r="491" ht="22.5" customHeight="1">
      <c r="A491" s="61" t="s">
        <v>378</v>
      </c>
      <c r="B491" s="62" t="s">
        <v>46</v>
      </c>
      <c r="C491" s="62" t="s">
        <v>23</v>
      </c>
      <c r="D491" s="61">
        <v>1.0</v>
      </c>
      <c r="E491" s="63">
        <v>46153.0</v>
      </c>
      <c r="F491" s="47"/>
    </row>
    <row r="492" ht="22.5" customHeight="1">
      <c r="A492" s="61" t="s">
        <v>893</v>
      </c>
      <c r="B492" s="62">
        <v>38.0</v>
      </c>
      <c r="C492" s="62" t="s">
        <v>47</v>
      </c>
      <c r="D492" s="61">
        <v>1.0</v>
      </c>
      <c r="E492" s="63">
        <v>46153.0</v>
      </c>
      <c r="F492" s="47"/>
    </row>
    <row r="493" ht="22.5" customHeight="1">
      <c r="A493" s="61" t="s">
        <v>893</v>
      </c>
      <c r="B493" s="62">
        <v>37.0</v>
      </c>
      <c r="C493" s="62" t="s">
        <v>47</v>
      </c>
      <c r="D493" s="61">
        <v>1.0</v>
      </c>
      <c r="E493" s="63">
        <v>46153.0</v>
      </c>
      <c r="F493" s="47"/>
    </row>
    <row r="494" ht="22.5" customHeight="1">
      <c r="A494" s="61" t="s">
        <v>361</v>
      </c>
      <c r="B494" s="62" t="s">
        <v>46</v>
      </c>
      <c r="C494" s="62" t="s">
        <v>758</v>
      </c>
      <c r="D494" s="61">
        <v>1.0</v>
      </c>
      <c r="E494" s="63">
        <v>46153.0</v>
      </c>
      <c r="F494" s="47"/>
    </row>
    <row r="495" ht="22.5" customHeight="1">
      <c r="A495" s="61" t="s">
        <v>361</v>
      </c>
      <c r="B495" s="62" t="s">
        <v>46</v>
      </c>
      <c r="C495" s="62" t="s">
        <v>1227</v>
      </c>
      <c r="D495" s="61">
        <v>1.0</v>
      </c>
      <c r="E495" s="63">
        <v>46153.0</v>
      </c>
      <c r="F495" s="47"/>
    </row>
    <row r="496" ht="22.5" customHeight="1">
      <c r="A496" s="61" t="s">
        <v>893</v>
      </c>
      <c r="B496" s="62">
        <v>37.0</v>
      </c>
      <c r="C496" s="62" t="s">
        <v>18</v>
      </c>
      <c r="D496" s="61">
        <v>1.0</v>
      </c>
      <c r="E496" s="63">
        <v>46153.0</v>
      </c>
      <c r="F496" s="47"/>
    </row>
    <row r="497" ht="22.5" customHeight="1">
      <c r="A497" s="61" t="s">
        <v>916</v>
      </c>
      <c r="B497" s="62">
        <v>38.0</v>
      </c>
      <c r="C497" s="62" t="s">
        <v>18</v>
      </c>
      <c r="D497" s="61">
        <v>1.0</v>
      </c>
      <c r="E497" s="63">
        <v>46153.0</v>
      </c>
      <c r="F497" s="47"/>
    </row>
    <row r="498" ht="22.5" customHeight="1">
      <c r="A498" s="61" t="s">
        <v>1255</v>
      </c>
      <c r="B498" s="62" t="s">
        <v>989</v>
      </c>
      <c r="C498" s="62" t="s">
        <v>1256</v>
      </c>
      <c r="D498" s="61">
        <v>1.0</v>
      </c>
      <c r="E498" s="63">
        <v>46153.0</v>
      </c>
      <c r="F498" s="47"/>
    </row>
    <row r="499" ht="22.5" customHeight="1">
      <c r="A499" s="61" t="s">
        <v>1255</v>
      </c>
      <c r="B499" s="62" t="s">
        <v>989</v>
      </c>
      <c r="C499" s="62" t="s">
        <v>1260</v>
      </c>
      <c r="D499" s="61">
        <v>1.0</v>
      </c>
      <c r="E499" s="63">
        <v>46153.0</v>
      </c>
      <c r="F499" s="47"/>
    </row>
    <row r="500" ht="22.5" customHeight="1">
      <c r="A500" s="61" t="s">
        <v>1204</v>
      </c>
      <c r="B500" s="62" t="s">
        <v>12</v>
      </c>
      <c r="C500" s="62" t="s">
        <v>47</v>
      </c>
      <c r="D500" s="61">
        <v>1.0</v>
      </c>
      <c r="E500" s="63">
        <v>46153.0</v>
      </c>
      <c r="F500" s="47"/>
    </row>
    <row r="501" ht="22.5" customHeight="1">
      <c r="A501" s="61" t="s">
        <v>1204</v>
      </c>
      <c r="B501" s="62" t="s">
        <v>22</v>
      </c>
      <c r="C501" s="62" t="s">
        <v>47</v>
      </c>
      <c r="D501" s="61">
        <v>1.0</v>
      </c>
      <c r="E501" s="63">
        <v>46153.0</v>
      </c>
      <c r="F501" s="47"/>
    </row>
    <row r="502" ht="22.5" customHeight="1">
      <c r="A502" s="61" t="s">
        <v>378</v>
      </c>
      <c r="B502" s="62" t="s">
        <v>46</v>
      </c>
      <c r="C502" s="62" t="s">
        <v>18</v>
      </c>
      <c r="D502" s="61">
        <v>2.0</v>
      </c>
      <c r="E502" s="63">
        <v>46153.0</v>
      </c>
      <c r="F502" s="47"/>
    </row>
    <row r="503" ht="22.5" customHeight="1">
      <c r="A503" s="61" t="s">
        <v>378</v>
      </c>
      <c r="B503" s="62" t="s">
        <v>46</v>
      </c>
      <c r="C503" s="62" t="s">
        <v>13</v>
      </c>
      <c r="D503" s="61">
        <v>1.0</v>
      </c>
      <c r="E503" s="63">
        <v>46153.0</v>
      </c>
      <c r="F503" s="47"/>
    </row>
    <row r="504" ht="22.5" customHeight="1">
      <c r="A504" s="61">
        <v>8770.0</v>
      </c>
      <c r="B504" s="62" t="s">
        <v>46</v>
      </c>
      <c r="C504" s="62" t="s">
        <v>27</v>
      </c>
      <c r="D504" s="61">
        <v>1.0</v>
      </c>
      <c r="E504" s="63">
        <v>46153.0</v>
      </c>
      <c r="F504" s="47"/>
    </row>
    <row r="505" ht="22.5" customHeight="1">
      <c r="A505" s="61">
        <v>8321.0</v>
      </c>
      <c r="B505" s="62" t="s">
        <v>46</v>
      </c>
      <c r="C505" s="62" t="s">
        <v>58</v>
      </c>
      <c r="D505" s="61">
        <v>1.0</v>
      </c>
      <c r="E505" s="63">
        <v>46153.0</v>
      </c>
      <c r="F505" s="47"/>
    </row>
    <row r="506" ht="22.5" customHeight="1">
      <c r="A506" s="61" t="s">
        <v>959</v>
      </c>
      <c r="B506" s="62" t="s">
        <v>12</v>
      </c>
      <c r="C506" s="62" t="s">
        <v>18</v>
      </c>
      <c r="D506" s="61">
        <v>1.0</v>
      </c>
      <c r="E506" s="63">
        <v>46153.0</v>
      </c>
      <c r="F506" s="47"/>
    </row>
    <row r="507" ht="22.5" customHeight="1">
      <c r="A507" s="61">
        <v>9094.0</v>
      </c>
      <c r="B507" s="62" t="s">
        <v>12</v>
      </c>
      <c r="C507" s="62" t="s">
        <v>58</v>
      </c>
      <c r="D507" s="61">
        <v>1.0</v>
      </c>
      <c r="E507" s="63">
        <v>46154.0</v>
      </c>
      <c r="F507" s="47"/>
    </row>
    <row r="508" ht="22.5" customHeight="1">
      <c r="A508" s="61" t="s">
        <v>1233</v>
      </c>
      <c r="B508" s="62" t="s">
        <v>46</v>
      </c>
      <c r="C508" s="62" t="s">
        <v>13</v>
      </c>
      <c r="D508" s="61">
        <v>14.0</v>
      </c>
      <c r="E508" s="63">
        <v>46158.0</v>
      </c>
      <c r="F508" s="47"/>
    </row>
    <row r="509" ht="22.5" customHeight="1">
      <c r="A509" s="61">
        <v>6612.0</v>
      </c>
      <c r="B509" s="62" t="s">
        <v>46</v>
      </c>
      <c r="C509" s="62">
        <v>5.0</v>
      </c>
      <c r="D509" s="61">
        <v>5.0</v>
      </c>
      <c r="E509" s="63">
        <v>46158.0</v>
      </c>
      <c r="F509" s="47"/>
    </row>
    <row r="510" ht="22.5" customHeight="1">
      <c r="A510" s="61">
        <v>6612.0</v>
      </c>
      <c r="B510" s="62" t="s">
        <v>46</v>
      </c>
      <c r="C510" s="62">
        <v>2.0</v>
      </c>
      <c r="D510" s="61">
        <v>6.0</v>
      </c>
      <c r="E510" s="63">
        <v>46158.0</v>
      </c>
      <c r="F510" s="47"/>
    </row>
    <row r="511" ht="22.5" customHeight="1">
      <c r="A511" s="61">
        <v>6612.0</v>
      </c>
      <c r="B511" s="62" t="s">
        <v>46</v>
      </c>
      <c r="C511" s="62">
        <v>9.0</v>
      </c>
      <c r="D511" s="61">
        <v>4.0</v>
      </c>
      <c r="E511" s="63">
        <v>46158.0</v>
      </c>
      <c r="F511" s="47"/>
    </row>
    <row r="512" ht="22.5" customHeight="1">
      <c r="A512" s="61" t="s">
        <v>517</v>
      </c>
      <c r="B512" s="62" t="s">
        <v>46</v>
      </c>
      <c r="C512" s="62" t="s">
        <v>338</v>
      </c>
      <c r="D512" s="61">
        <v>6.0</v>
      </c>
      <c r="E512" s="63">
        <v>46158.0</v>
      </c>
      <c r="F512" s="47"/>
    </row>
    <row r="513" ht="22.5" customHeight="1">
      <c r="A513" s="61" t="s">
        <v>1471</v>
      </c>
      <c r="B513" s="62" t="s">
        <v>46</v>
      </c>
      <c r="C513" s="62" t="s">
        <v>26</v>
      </c>
      <c r="D513" s="61">
        <v>8.0</v>
      </c>
      <c r="E513" s="63">
        <v>46158.0</v>
      </c>
      <c r="F513" s="47"/>
    </row>
    <row r="514" ht="22.5" customHeight="1">
      <c r="A514" s="61" t="s">
        <v>1471</v>
      </c>
      <c r="B514" s="62" t="s">
        <v>46</v>
      </c>
      <c r="C514" s="62" t="s">
        <v>27</v>
      </c>
      <c r="D514" s="61">
        <v>8.0</v>
      </c>
      <c r="E514" s="63">
        <v>46158.0</v>
      </c>
      <c r="F514" s="47"/>
    </row>
    <row r="515" ht="22.5" customHeight="1">
      <c r="A515" s="61" t="s">
        <v>1471</v>
      </c>
      <c r="B515" s="62" t="s">
        <v>46</v>
      </c>
      <c r="C515" s="62" t="s">
        <v>198</v>
      </c>
      <c r="D515" s="61">
        <v>8.0</v>
      </c>
      <c r="E515" s="63">
        <v>46158.0</v>
      </c>
      <c r="F515" s="47"/>
    </row>
    <row r="516" ht="22.5" customHeight="1">
      <c r="A516" s="61">
        <v>6612.0</v>
      </c>
      <c r="B516" s="62" t="s">
        <v>46</v>
      </c>
      <c r="C516" s="62">
        <v>4.0</v>
      </c>
      <c r="D516" s="61">
        <v>1.0</v>
      </c>
      <c r="E516" s="63">
        <v>46158.0</v>
      </c>
      <c r="F516" s="47"/>
    </row>
    <row r="517" ht="22.5" customHeight="1">
      <c r="A517" s="61">
        <v>5709.0</v>
      </c>
      <c r="B517" s="62" t="s">
        <v>12</v>
      </c>
      <c r="C517" s="62" t="s">
        <v>340</v>
      </c>
      <c r="D517" s="61">
        <v>5.0</v>
      </c>
      <c r="E517" s="63">
        <v>46158.0</v>
      </c>
      <c r="F517" s="47"/>
    </row>
    <row r="518" ht="22.5" customHeight="1">
      <c r="A518" s="61" t="s">
        <v>959</v>
      </c>
      <c r="B518" s="62" t="s">
        <v>22</v>
      </c>
      <c r="C518" s="62" t="s">
        <v>18</v>
      </c>
      <c r="D518" s="61">
        <v>2.0</v>
      </c>
      <c r="E518" s="63">
        <v>46158.0</v>
      </c>
      <c r="F518" s="47"/>
    </row>
    <row r="519" ht="22.5" customHeight="1">
      <c r="A519" s="61" t="s">
        <v>959</v>
      </c>
      <c r="B519" s="62" t="s">
        <v>12</v>
      </c>
      <c r="C519" s="62" t="s">
        <v>18</v>
      </c>
      <c r="D519" s="61">
        <v>3.0</v>
      </c>
      <c r="E519" s="63">
        <v>46158.0</v>
      </c>
      <c r="F519" s="47"/>
    </row>
    <row r="520" ht="22.5" customHeight="1">
      <c r="A520" s="61">
        <v>3225.0</v>
      </c>
      <c r="B520" s="62" t="s">
        <v>12</v>
      </c>
      <c r="C520" s="62" t="s">
        <v>58</v>
      </c>
      <c r="D520" s="61">
        <v>3.0</v>
      </c>
      <c r="E520" s="63">
        <v>46158.0</v>
      </c>
      <c r="F520" s="47"/>
    </row>
    <row r="521" ht="22.5" customHeight="1">
      <c r="A521" s="61">
        <v>6612.0</v>
      </c>
      <c r="B521" s="62" t="s">
        <v>46</v>
      </c>
      <c r="C521" s="62">
        <v>3.0</v>
      </c>
      <c r="D521" s="61">
        <v>1.0</v>
      </c>
      <c r="E521" s="63">
        <v>46158.0</v>
      </c>
      <c r="F521" s="47"/>
    </row>
    <row r="522" ht="22.5" customHeight="1">
      <c r="A522" s="61" t="s">
        <v>913</v>
      </c>
      <c r="B522" s="62" t="s">
        <v>75</v>
      </c>
      <c r="C522" s="62" t="s">
        <v>198</v>
      </c>
      <c r="D522" s="61">
        <v>1.0</v>
      </c>
      <c r="E522" s="63">
        <v>46158.0</v>
      </c>
      <c r="F522" s="47"/>
    </row>
    <row r="523" ht="22.5" customHeight="1">
      <c r="A523" s="61" t="s">
        <v>913</v>
      </c>
      <c r="B523" s="62" t="s">
        <v>75</v>
      </c>
      <c r="C523" s="62" t="s">
        <v>338</v>
      </c>
      <c r="D523" s="61">
        <v>1.0</v>
      </c>
      <c r="E523" s="63">
        <v>46158.0</v>
      </c>
      <c r="F523" s="47"/>
    </row>
    <row r="524" ht="22.5" customHeight="1">
      <c r="A524" s="61" t="s">
        <v>913</v>
      </c>
      <c r="B524" s="62" t="s">
        <v>22</v>
      </c>
      <c r="C524" s="62" t="s">
        <v>16</v>
      </c>
      <c r="D524" s="61">
        <v>1.0</v>
      </c>
      <c r="E524" s="63">
        <v>46158.0</v>
      </c>
      <c r="F524" s="47"/>
    </row>
    <row r="525" ht="22.5" customHeight="1">
      <c r="A525" s="61" t="s">
        <v>913</v>
      </c>
      <c r="B525" s="62" t="s">
        <v>75</v>
      </c>
      <c r="C525" s="62" t="s">
        <v>23</v>
      </c>
      <c r="D525" s="61">
        <v>1.0</v>
      </c>
      <c r="E525" s="63">
        <v>46158.0</v>
      </c>
      <c r="F525" s="47"/>
    </row>
    <row r="526" ht="22.5" customHeight="1">
      <c r="A526" s="61">
        <v>3225.0</v>
      </c>
      <c r="B526" s="62" t="s">
        <v>22</v>
      </c>
      <c r="C526" s="62" t="s">
        <v>58</v>
      </c>
      <c r="D526" s="61">
        <v>2.0</v>
      </c>
      <c r="E526" s="63">
        <v>46158.0</v>
      </c>
      <c r="F526" s="47"/>
    </row>
    <row r="527" ht="22.5" customHeight="1">
      <c r="A527" s="61" t="s">
        <v>959</v>
      </c>
      <c r="B527" s="62" t="s">
        <v>989</v>
      </c>
      <c r="C527" s="62"/>
      <c r="D527" s="61">
        <v>1.0</v>
      </c>
      <c r="E527" s="63">
        <v>46158.0</v>
      </c>
      <c r="F527" s="47"/>
    </row>
    <row r="528" ht="22.5" customHeight="1">
      <c r="A528" s="61" t="s">
        <v>763</v>
      </c>
      <c r="B528" s="62" t="s">
        <v>46</v>
      </c>
      <c r="C528" s="62" t="s">
        <v>1544</v>
      </c>
      <c r="D528" s="61">
        <v>1.0</v>
      </c>
      <c r="E528" s="63">
        <v>46158.0</v>
      </c>
      <c r="F528" s="47"/>
    </row>
    <row r="529" ht="22.5" customHeight="1">
      <c r="A529" s="61" t="s">
        <v>1200</v>
      </c>
      <c r="B529" s="62" t="s">
        <v>22</v>
      </c>
      <c r="C529" s="62" t="s">
        <v>47</v>
      </c>
      <c r="D529" s="61">
        <v>20.0</v>
      </c>
      <c r="E529" s="63">
        <v>46158.0</v>
      </c>
      <c r="F529" s="47"/>
    </row>
    <row r="530" ht="22.5" customHeight="1">
      <c r="A530" s="61" t="s">
        <v>1255</v>
      </c>
      <c r="B530" s="62" t="s">
        <v>75</v>
      </c>
      <c r="C530" s="62" t="s">
        <v>1260</v>
      </c>
      <c r="D530" s="61">
        <v>13.0</v>
      </c>
      <c r="E530" s="63">
        <v>46158.0</v>
      </c>
      <c r="F530" s="47"/>
    </row>
    <row r="531" ht="22.5" customHeight="1">
      <c r="A531" s="61" t="s">
        <v>1255</v>
      </c>
      <c r="B531" s="62" t="s">
        <v>75</v>
      </c>
      <c r="C531" s="62" t="s">
        <v>1256</v>
      </c>
      <c r="D531" s="61">
        <v>11.0</v>
      </c>
      <c r="E531" s="63">
        <v>46158.0</v>
      </c>
      <c r="F531" s="47"/>
    </row>
    <row r="532" ht="22.5" customHeight="1">
      <c r="A532" s="61" t="s">
        <v>1255</v>
      </c>
      <c r="B532" s="62" t="s">
        <v>22</v>
      </c>
      <c r="C532" s="62" t="s">
        <v>1260</v>
      </c>
      <c r="D532" s="61">
        <v>8.0</v>
      </c>
      <c r="E532" s="63">
        <v>46158.0</v>
      </c>
      <c r="F532" s="47"/>
    </row>
    <row r="533" ht="22.5" customHeight="1">
      <c r="A533" s="61" t="s">
        <v>1202</v>
      </c>
      <c r="B533" s="62" t="s">
        <v>22</v>
      </c>
      <c r="C533" s="62" t="s">
        <v>47</v>
      </c>
      <c r="D533" s="61">
        <v>11.0</v>
      </c>
      <c r="E533" s="63">
        <v>46158.0</v>
      </c>
      <c r="F533" s="47"/>
    </row>
    <row r="534" ht="22.5" customHeight="1">
      <c r="A534" s="61" t="s">
        <v>1200</v>
      </c>
      <c r="B534" s="62" t="s">
        <v>75</v>
      </c>
      <c r="C534" s="62" t="s">
        <v>47</v>
      </c>
      <c r="D534" s="61">
        <v>11.0</v>
      </c>
      <c r="E534" s="63">
        <v>46158.0</v>
      </c>
      <c r="F534" s="47"/>
    </row>
    <row r="535" ht="22.5" customHeight="1">
      <c r="A535" s="61">
        <v>92212.0</v>
      </c>
      <c r="B535" s="62" t="s">
        <v>46</v>
      </c>
      <c r="C535" s="62" t="s">
        <v>16</v>
      </c>
      <c r="D535" s="61">
        <v>7.0</v>
      </c>
      <c r="E535" s="63">
        <v>46158.0</v>
      </c>
      <c r="F535" s="47"/>
    </row>
    <row r="536" ht="22.5" customHeight="1">
      <c r="A536" s="61" t="s">
        <v>1202</v>
      </c>
      <c r="B536" s="62" t="s">
        <v>75</v>
      </c>
      <c r="C536" s="62" t="s">
        <v>47</v>
      </c>
      <c r="D536" s="61">
        <v>8.0</v>
      </c>
      <c r="E536" s="63">
        <v>46158.0</v>
      </c>
      <c r="F536" s="47"/>
    </row>
    <row r="537" ht="22.5" customHeight="1">
      <c r="A537" s="61">
        <v>92212.0</v>
      </c>
      <c r="B537" s="62" t="s">
        <v>46</v>
      </c>
      <c r="C537" s="62" t="s">
        <v>23</v>
      </c>
      <c r="D537" s="61">
        <v>6.0</v>
      </c>
      <c r="E537" s="63">
        <v>46158.0</v>
      </c>
      <c r="F537" s="47"/>
    </row>
    <row r="538" ht="22.5" customHeight="1">
      <c r="A538" s="61" t="s">
        <v>1202</v>
      </c>
      <c r="B538" s="62" t="s">
        <v>22</v>
      </c>
      <c r="C538" s="62" t="s">
        <v>13</v>
      </c>
      <c r="D538" s="61">
        <v>6.0</v>
      </c>
      <c r="E538" s="63">
        <v>46158.0</v>
      </c>
      <c r="F538" s="47"/>
    </row>
    <row r="539" ht="22.5" customHeight="1">
      <c r="A539" s="61" t="s">
        <v>1200</v>
      </c>
      <c r="B539" s="62" t="s">
        <v>22</v>
      </c>
      <c r="C539" s="62" t="s">
        <v>18</v>
      </c>
      <c r="D539" s="61">
        <v>5.0</v>
      </c>
      <c r="E539" s="63">
        <v>46158.0</v>
      </c>
      <c r="F539" s="47"/>
    </row>
    <row r="540" ht="22.5" customHeight="1">
      <c r="A540" s="61" t="s">
        <v>1200</v>
      </c>
      <c r="B540" s="62" t="s">
        <v>75</v>
      </c>
      <c r="C540" s="62" t="s">
        <v>13</v>
      </c>
      <c r="D540" s="61">
        <v>5.0</v>
      </c>
      <c r="E540" s="63">
        <v>46158.0</v>
      </c>
      <c r="F540" s="47"/>
    </row>
    <row r="541" ht="22.5" customHeight="1">
      <c r="A541" s="61" t="s">
        <v>1200</v>
      </c>
      <c r="B541" s="62" t="s">
        <v>12</v>
      </c>
      <c r="C541" s="62" t="s">
        <v>47</v>
      </c>
      <c r="D541" s="61">
        <v>5.0</v>
      </c>
      <c r="E541" s="63">
        <v>46158.0</v>
      </c>
      <c r="F541" s="47"/>
    </row>
    <row r="542" ht="22.5" customHeight="1">
      <c r="A542" s="61" t="s">
        <v>1524</v>
      </c>
      <c r="B542" s="62" t="s">
        <v>46</v>
      </c>
      <c r="C542" s="62" t="s">
        <v>198</v>
      </c>
      <c r="D542" s="61">
        <v>5.0</v>
      </c>
      <c r="E542" s="63">
        <v>46158.0</v>
      </c>
      <c r="F542" s="47"/>
    </row>
    <row r="543" ht="22.5" customHeight="1">
      <c r="A543" s="61" t="s">
        <v>1200</v>
      </c>
      <c r="B543" s="62" t="s">
        <v>75</v>
      </c>
      <c r="C543" s="62" t="s">
        <v>18</v>
      </c>
      <c r="D543" s="61">
        <v>4.0</v>
      </c>
      <c r="E543" s="63">
        <v>46158.0</v>
      </c>
      <c r="F543" s="47"/>
    </row>
    <row r="544" ht="22.5" customHeight="1">
      <c r="A544" s="61" t="s">
        <v>1200</v>
      </c>
      <c r="B544" s="62" t="s">
        <v>12</v>
      </c>
      <c r="C544" s="62" t="s">
        <v>13</v>
      </c>
      <c r="D544" s="61">
        <v>3.0</v>
      </c>
      <c r="E544" s="63">
        <v>46158.0</v>
      </c>
      <c r="F544" s="47"/>
    </row>
    <row r="545" ht="22.5" customHeight="1">
      <c r="A545" s="61" t="s">
        <v>1202</v>
      </c>
      <c r="B545" s="62" t="s">
        <v>75</v>
      </c>
      <c r="C545" s="62" t="s">
        <v>13</v>
      </c>
      <c r="D545" s="61">
        <v>3.0</v>
      </c>
      <c r="E545" s="63">
        <v>46158.0</v>
      </c>
      <c r="F545" s="47"/>
    </row>
    <row r="546" ht="22.5" customHeight="1">
      <c r="A546" s="61" t="s">
        <v>1202</v>
      </c>
      <c r="B546" s="62" t="s">
        <v>989</v>
      </c>
      <c r="C546" s="62" t="s">
        <v>47</v>
      </c>
      <c r="D546" s="61">
        <v>2.0</v>
      </c>
      <c r="E546" s="63">
        <v>46158.0</v>
      </c>
      <c r="F546" s="47"/>
    </row>
    <row r="547" ht="22.5" customHeight="1">
      <c r="A547" s="61">
        <v>92212.0</v>
      </c>
      <c r="B547" s="62" t="s">
        <v>46</v>
      </c>
      <c r="C547" s="62" t="s">
        <v>18</v>
      </c>
      <c r="D547" s="61">
        <v>3.0</v>
      </c>
      <c r="E547" s="63">
        <v>46158.0</v>
      </c>
      <c r="F547" s="47"/>
    </row>
    <row r="548" ht="22.5" customHeight="1">
      <c r="A548" s="61" t="s">
        <v>1200</v>
      </c>
      <c r="B548" s="62" t="s">
        <v>22</v>
      </c>
      <c r="C548" s="62" t="s">
        <v>13</v>
      </c>
      <c r="D548" s="61">
        <v>2.0</v>
      </c>
      <c r="E548" s="63">
        <v>46158.0</v>
      </c>
      <c r="F548" s="47"/>
    </row>
    <row r="549" ht="22.5" customHeight="1">
      <c r="A549" s="61" t="s">
        <v>1200</v>
      </c>
      <c r="B549" s="62" t="s">
        <v>989</v>
      </c>
      <c r="C549" s="62" t="s">
        <v>47</v>
      </c>
      <c r="D549" s="61">
        <v>2.0</v>
      </c>
      <c r="E549" s="63">
        <v>46158.0</v>
      </c>
      <c r="F549" s="47"/>
    </row>
    <row r="550" ht="22.5" customHeight="1">
      <c r="A550" s="61" t="s">
        <v>1202</v>
      </c>
      <c r="B550" s="62" t="s">
        <v>75</v>
      </c>
      <c r="C550" s="62" t="s">
        <v>18</v>
      </c>
      <c r="D550" s="61">
        <v>2.0</v>
      </c>
      <c r="E550" s="63">
        <v>46158.0</v>
      </c>
      <c r="F550" s="47"/>
    </row>
    <row r="551" ht="22.5" customHeight="1">
      <c r="A551" s="61" t="s">
        <v>1202</v>
      </c>
      <c r="B551" s="62" t="s">
        <v>22</v>
      </c>
      <c r="C551" s="62" t="s">
        <v>18</v>
      </c>
      <c r="D551" s="61">
        <v>2.0</v>
      </c>
      <c r="E551" s="63">
        <v>46158.0</v>
      </c>
      <c r="F551" s="47"/>
    </row>
    <row r="552" ht="22.5" customHeight="1">
      <c r="A552" s="61" t="s">
        <v>1200</v>
      </c>
      <c r="B552" s="62" t="s">
        <v>22</v>
      </c>
      <c r="C552" s="62" t="s">
        <v>16</v>
      </c>
      <c r="D552" s="61">
        <v>1.0</v>
      </c>
      <c r="E552" s="63">
        <v>46158.0</v>
      </c>
      <c r="F552" s="47"/>
    </row>
    <row r="553" ht="22.5" customHeight="1">
      <c r="A553" s="61" t="s">
        <v>1202</v>
      </c>
      <c r="B553" s="62" t="s">
        <v>12</v>
      </c>
      <c r="C553" s="62" t="s">
        <v>13</v>
      </c>
      <c r="D553" s="61">
        <v>1.0</v>
      </c>
      <c r="E553" s="63">
        <v>46158.0</v>
      </c>
      <c r="F553" s="47"/>
    </row>
    <row r="554" ht="22.5" customHeight="1">
      <c r="A554" s="61">
        <v>92212.0</v>
      </c>
      <c r="B554" s="62" t="s">
        <v>46</v>
      </c>
      <c r="C554" s="62" t="s">
        <v>13</v>
      </c>
      <c r="D554" s="61">
        <v>1.0</v>
      </c>
      <c r="E554" s="63">
        <v>46158.0</v>
      </c>
      <c r="F554" s="47"/>
    </row>
    <row r="555" ht="22.5" customHeight="1">
      <c r="A555" s="61" t="s">
        <v>441</v>
      </c>
      <c r="B555" s="62" t="s">
        <v>46</v>
      </c>
      <c r="C555" s="62" t="s">
        <v>47</v>
      </c>
      <c r="D555" s="61">
        <v>2.0</v>
      </c>
      <c r="E555" s="63">
        <v>46158.0</v>
      </c>
      <c r="F555" s="47"/>
    </row>
    <row r="556" ht="22.5" customHeight="1">
      <c r="A556" s="61" t="s">
        <v>269</v>
      </c>
      <c r="B556" s="62">
        <v>35.0</v>
      </c>
      <c r="C556" s="62" t="s">
        <v>18</v>
      </c>
      <c r="D556" s="61">
        <v>1.0</v>
      </c>
      <c r="E556" s="63">
        <v>46160.0</v>
      </c>
      <c r="F556" s="47"/>
    </row>
    <row r="557" ht="22.5" customHeight="1">
      <c r="A557" s="61">
        <v>6612.0</v>
      </c>
      <c r="B557" s="62" t="s">
        <v>46</v>
      </c>
      <c r="C557" s="62">
        <v>5.0</v>
      </c>
      <c r="D557" s="61">
        <v>10.0</v>
      </c>
      <c r="E557" s="63">
        <v>46160.0</v>
      </c>
      <c r="F557" s="47"/>
    </row>
    <row r="558" ht="22.5" customHeight="1">
      <c r="A558" s="61">
        <v>6612.0</v>
      </c>
      <c r="B558" s="62" t="s">
        <v>46</v>
      </c>
      <c r="C558" s="62">
        <v>9.0</v>
      </c>
      <c r="D558" s="61">
        <v>5.0</v>
      </c>
      <c r="E558" s="63">
        <v>46160.0</v>
      </c>
      <c r="F558" s="47"/>
    </row>
    <row r="559" ht="22.5" customHeight="1">
      <c r="A559" s="61">
        <v>6612.0</v>
      </c>
      <c r="B559" s="62" t="s">
        <v>46</v>
      </c>
      <c r="C559" s="62">
        <v>6.0</v>
      </c>
      <c r="D559" s="61">
        <v>1.0</v>
      </c>
      <c r="E559" s="63">
        <v>46160.0</v>
      </c>
      <c r="F559" s="47"/>
    </row>
    <row r="560" ht="22.5" customHeight="1">
      <c r="A560" s="61" t="s">
        <v>269</v>
      </c>
      <c r="B560" s="62">
        <v>36.0</v>
      </c>
      <c r="C560" s="62" t="s">
        <v>47</v>
      </c>
      <c r="D560" s="61">
        <v>1.0</v>
      </c>
      <c r="E560" s="63">
        <v>46160.0</v>
      </c>
      <c r="F560" s="47"/>
    </row>
    <row r="561" ht="22.5" customHeight="1">
      <c r="A561" s="61" t="s">
        <v>269</v>
      </c>
      <c r="B561" s="62">
        <v>36.0</v>
      </c>
      <c r="C561" s="62" t="s">
        <v>18</v>
      </c>
      <c r="D561" s="61">
        <v>1.0</v>
      </c>
      <c r="E561" s="63">
        <v>46160.0</v>
      </c>
      <c r="F561" s="47"/>
    </row>
    <row r="562" ht="22.5" customHeight="1">
      <c r="A562" s="61" t="s">
        <v>269</v>
      </c>
      <c r="B562" s="62">
        <v>37.0</v>
      </c>
      <c r="C562" s="62" t="s">
        <v>18</v>
      </c>
      <c r="D562" s="61">
        <v>2.0</v>
      </c>
      <c r="E562" s="63">
        <v>46160.0</v>
      </c>
      <c r="F562" s="47"/>
    </row>
    <row r="563" ht="22.5" customHeight="1">
      <c r="A563" s="61" t="s">
        <v>269</v>
      </c>
      <c r="B563" s="62">
        <v>38.0</v>
      </c>
      <c r="C563" s="62" t="s">
        <v>18</v>
      </c>
      <c r="D563" s="61">
        <v>2.0</v>
      </c>
      <c r="E563" s="63">
        <v>46160.0</v>
      </c>
      <c r="F563" s="47"/>
    </row>
    <row r="564" ht="22.5" customHeight="1">
      <c r="A564" s="61" t="s">
        <v>269</v>
      </c>
      <c r="B564" s="62">
        <v>40.0</v>
      </c>
      <c r="C564" s="62" t="s">
        <v>18</v>
      </c>
      <c r="D564" s="61">
        <v>1.0</v>
      </c>
      <c r="E564" s="63">
        <v>46160.0</v>
      </c>
      <c r="F564" s="47"/>
    </row>
    <row r="565" ht="22.5" customHeight="1">
      <c r="A565" s="61" t="s">
        <v>763</v>
      </c>
      <c r="B565" s="62" t="s">
        <v>46</v>
      </c>
      <c r="C565" s="62" t="s">
        <v>1115</v>
      </c>
      <c r="D565" s="61">
        <v>1.0</v>
      </c>
      <c r="E565" s="63">
        <v>46160.0</v>
      </c>
      <c r="F565" s="47"/>
    </row>
    <row r="566" ht="22.5" customHeight="1">
      <c r="A566" s="61">
        <v>8610.0</v>
      </c>
      <c r="B566" s="62" t="s">
        <v>22</v>
      </c>
      <c r="C566" s="62" t="s">
        <v>13</v>
      </c>
      <c r="D566" s="61">
        <v>1.0</v>
      </c>
      <c r="E566" s="63">
        <v>46163.0</v>
      </c>
      <c r="F566" s="47"/>
    </row>
    <row r="567" ht="22.5" customHeight="1">
      <c r="A567" s="61">
        <v>9031.0</v>
      </c>
      <c r="B567" s="62" t="s">
        <v>22</v>
      </c>
      <c r="C567" s="62" t="s">
        <v>13</v>
      </c>
      <c r="D567" s="61">
        <v>6.0</v>
      </c>
      <c r="E567" s="63">
        <v>46163.0</v>
      </c>
      <c r="F567" s="47"/>
    </row>
    <row r="568" ht="22.5" customHeight="1">
      <c r="A568" s="61">
        <v>8888.0</v>
      </c>
      <c r="B568" s="62" t="s">
        <v>12</v>
      </c>
      <c r="C568" s="62" t="s">
        <v>13</v>
      </c>
      <c r="D568" s="61">
        <v>1.0</v>
      </c>
      <c r="E568" s="63">
        <v>46163.0</v>
      </c>
      <c r="F568" s="47"/>
    </row>
    <row r="569" ht="22.5" customHeight="1">
      <c r="A569" s="61">
        <v>9083.0</v>
      </c>
      <c r="B569" s="62" t="s">
        <v>12</v>
      </c>
      <c r="C569" s="62" t="s">
        <v>340</v>
      </c>
      <c r="D569" s="61">
        <v>1.0</v>
      </c>
      <c r="E569" s="63">
        <v>46163.0</v>
      </c>
      <c r="F569" s="47"/>
    </row>
    <row r="570" ht="22.5" customHeight="1">
      <c r="A570" s="61">
        <v>9031.0</v>
      </c>
      <c r="B570" s="62" t="s">
        <v>12</v>
      </c>
      <c r="C570" s="62" t="s">
        <v>13</v>
      </c>
      <c r="D570" s="61">
        <v>4.0</v>
      </c>
      <c r="E570" s="63">
        <v>46163.0</v>
      </c>
      <c r="F570" s="47"/>
    </row>
    <row r="571" ht="22.5" customHeight="1">
      <c r="A571" s="61">
        <v>8558.0</v>
      </c>
      <c r="B571" s="62" t="s">
        <v>22</v>
      </c>
      <c r="C571" s="62" t="s">
        <v>18</v>
      </c>
      <c r="D571" s="61">
        <v>2.0</v>
      </c>
      <c r="E571" s="63">
        <v>46163.0</v>
      </c>
      <c r="F571" s="47"/>
    </row>
    <row r="572" ht="22.5" customHeight="1">
      <c r="A572" s="61">
        <v>8558.0</v>
      </c>
      <c r="B572" s="62" t="s">
        <v>22</v>
      </c>
      <c r="C572" s="62" t="s">
        <v>13</v>
      </c>
      <c r="D572" s="61">
        <v>2.0</v>
      </c>
      <c r="E572" s="63">
        <v>46163.0</v>
      </c>
      <c r="F572" s="47"/>
    </row>
    <row r="573" ht="22.5" customHeight="1">
      <c r="A573" s="61">
        <v>9500.0</v>
      </c>
      <c r="B573" s="62" t="s">
        <v>75</v>
      </c>
      <c r="C573" s="62" t="s">
        <v>340</v>
      </c>
      <c r="D573" s="61">
        <v>2.0</v>
      </c>
      <c r="E573" s="63">
        <v>46163.0</v>
      </c>
      <c r="F573" s="47"/>
    </row>
    <row r="574" ht="22.5" customHeight="1">
      <c r="A574" s="61">
        <v>9500.0</v>
      </c>
      <c r="B574" s="62" t="s">
        <v>22</v>
      </c>
      <c r="C574" s="62" t="s">
        <v>340</v>
      </c>
      <c r="D574" s="61">
        <v>2.0</v>
      </c>
      <c r="E574" s="63">
        <v>46163.0</v>
      </c>
      <c r="F574" s="47"/>
    </row>
    <row r="575" ht="22.5" customHeight="1">
      <c r="A575" s="61">
        <v>8770.0</v>
      </c>
      <c r="B575" s="62" t="s">
        <v>46</v>
      </c>
      <c r="C575" s="62" t="s">
        <v>415</v>
      </c>
      <c r="D575" s="61">
        <v>1.0</v>
      </c>
      <c r="E575" s="63">
        <v>46163.0</v>
      </c>
      <c r="F575" s="47"/>
    </row>
    <row r="576" ht="22.5" customHeight="1">
      <c r="A576" s="61">
        <v>8558.0</v>
      </c>
      <c r="B576" s="62" t="s">
        <v>12</v>
      </c>
      <c r="C576" s="62" t="s">
        <v>16</v>
      </c>
      <c r="D576" s="61">
        <v>1.0</v>
      </c>
      <c r="E576" s="63">
        <v>46163.0</v>
      </c>
      <c r="F576" s="47"/>
    </row>
    <row r="577" ht="22.5" customHeight="1">
      <c r="A577" s="61">
        <v>8770.0</v>
      </c>
      <c r="B577" s="62" t="s">
        <v>46</v>
      </c>
      <c r="C577" s="62" t="s">
        <v>58</v>
      </c>
      <c r="D577" s="61">
        <v>1.0</v>
      </c>
      <c r="E577" s="63">
        <v>46163.0</v>
      </c>
      <c r="F577" s="47"/>
    </row>
    <row r="578" ht="22.5" customHeight="1">
      <c r="A578" s="61">
        <v>8770.0</v>
      </c>
      <c r="B578" s="62" t="s">
        <v>46</v>
      </c>
      <c r="C578" s="62" t="s">
        <v>13</v>
      </c>
      <c r="D578" s="61">
        <v>2.0</v>
      </c>
      <c r="E578" s="63">
        <v>46163.0</v>
      </c>
      <c r="F578" s="47"/>
    </row>
    <row r="579" ht="22.5" customHeight="1">
      <c r="A579" s="61">
        <v>9091.0</v>
      </c>
      <c r="B579" s="62" t="s">
        <v>75</v>
      </c>
      <c r="C579" s="62" t="s">
        <v>58</v>
      </c>
      <c r="D579" s="61">
        <v>1.0</v>
      </c>
      <c r="E579" s="63">
        <v>46163.0</v>
      </c>
      <c r="F579" s="47"/>
    </row>
    <row r="580" ht="22.5" customHeight="1">
      <c r="A580" s="61">
        <v>8888.0</v>
      </c>
      <c r="B580" s="62" t="s">
        <v>22</v>
      </c>
      <c r="C580" s="62" t="s">
        <v>13</v>
      </c>
      <c r="D580" s="61">
        <v>1.0</v>
      </c>
      <c r="E580" s="63">
        <v>46163.0</v>
      </c>
      <c r="F580" s="47"/>
    </row>
    <row r="581" ht="22.5" customHeight="1">
      <c r="A581" s="61" t="s">
        <v>959</v>
      </c>
      <c r="B581" s="62" t="s">
        <v>75</v>
      </c>
      <c r="C581" s="62" t="s">
        <v>18</v>
      </c>
      <c r="D581" s="61">
        <v>1.0</v>
      </c>
      <c r="E581" s="63">
        <v>46163.0</v>
      </c>
      <c r="F581" s="47"/>
    </row>
    <row r="582" ht="22.5" customHeight="1">
      <c r="A582" s="61">
        <v>9500.0</v>
      </c>
      <c r="B582" s="62" t="s">
        <v>12</v>
      </c>
      <c r="C582" s="62" t="s">
        <v>340</v>
      </c>
      <c r="D582" s="61">
        <v>1.0</v>
      </c>
      <c r="E582" s="63">
        <v>46163.0</v>
      </c>
      <c r="F582" s="47"/>
    </row>
    <row r="583" ht="22.5" customHeight="1">
      <c r="A583" s="61" t="s">
        <v>763</v>
      </c>
      <c r="B583" s="62" t="s">
        <v>46</v>
      </c>
      <c r="C583" s="62" t="s">
        <v>1659</v>
      </c>
      <c r="D583" s="61">
        <v>1.0</v>
      </c>
      <c r="E583" s="63">
        <v>46163.0</v>
      </c>
      <c r="F583" s="47"/>
    </row>
    <row r="584" ht="22.5" customHeight="1">
      <c r="A584" s="61" t="s">
        <v>959</v>
      </c>
      <c r="B584" s="62" t="s">
        <v>12</v>
      </c>
      <c r="C584" s="62" t="s">
        <v>18</v>
      </c>
      <c r="D584" s="61">
        <v>1.0</v>
      </c>
      <c r="E584" s="63">
        <v>46163.0</v>
      </c>
      <c r="F584" s="47"/>
    </row>
    <row r="585" ht="22.5" customHeight="1">
      <c r="A585" s="61" t="s">
        <v>959</v>
      </c>
      <c r="B585" s="62" t="s">
        <v>989</v>
      </c>
      <c r="C585" s="62" t="s">
        <v>18</v>
      </c>
      <c r="D585" s="61">
        <v>1.0</v>
      </c>
      <c r="E585" s="63">
        <v>46163.0</v>
      </c>
      <c r="F585" s="47"/>
    </row>
    <row r="586" ht="22.5" customHeight="1">
      <c r="A586" s="61" t="s">
        <v>763</v>
      </c>
      <c r="B586" s="62" t="s">
        <v>2353</v>
      </c>
      <c r="C586" s="62" t="s">
        <v>2018</v>
      </c>
      <c r="D586" s="61">
        <v>1.0</v>
      </c>
      <c r="E586" s="63">
        <v>46163.0</v>
      </c>
      <c r="F586" s="47"/>
    </row>
    <row r="587" ht="22.5" customHeight="1">
      <c r="A587" s="61" t="s">
        <v>763</v>
      </c>
      <c r="B587" s="62">
        <v>37.0</v>
      </c>
      <c r="C587" s="62" t="s">
        <v>2018</v>
      </c>
      <c r="D587" s="61">
        <v>1.0</v>
      </c>
      <c r="E587" s="63">
        <v>46163.0</v>
      </c>
      <c r="F587" s="47"/>
    </row>
    <row r="588" ht="22.5" customHeight="1">
      <c r="A588" s="61" t="s">
        <v>763</v>
      </c>
      <c r="B588" s="62">
        <v>39.0</v>
      </c>
      <c r="C588" s="62" t="s">
        <v>2018</v>
      </c>
      <c r="D588" s="61">
        <v>1.0</v>
      </c>
      <c r="E588" s="63">
        <v>46163.0</v>
      </c>
      <c r="F588" s="47"/>
    </row>
    <row r="589" ht="22.5" customHeight="1">
      <c r="A589" s="61" t="s">
        <v>1377</v>
      </c>
      <c r="B589" s="62">
        <v>36.0</v>
      </c>
      <c r="C589" s="62" t="s">
        <v>47</v>
      </c>
      <c r="D589" s="61">
        <v>1.0</v>
      </c>
      <c r="E589" s="63">
        <v>46163.0</v>
      </c>
      <c r="F589" s="47"/>
    </row>
    <row r="590" ht="22.5" customHeight="1">
      <c r="A590" s="61" t="s">
        <v>1377</v>
      </c>
      <c r="B590" s="62">
        <v>37.0</v>
      </c>
      <c r="C590" s="62" t="s">
        <v>47</v>
      </c>
      <c r="D590" s="61">
        <v>1.0</v>
      </c>
      <c r="E590" s="63">
        <v>46163.0</v>
      </c>
      <c r="F590" s="47"/>
    </row>
    <row r="591" ht="22.5" customHeight="1">
      <c r="A591" s="61" t="s">
        <v>1294</v>
      </c>
      <c r="B591" s="62">
        <v>36.0</v>
      </c>
      <c r="C591" s="62" t="s">
        <v>26</v>
      </c>
      <c r="D591" s="61">
        <v>1.0</v>
      </c>
      <c r="E591" s="63">
        <v>46163.0</v>
      </c>
      <c r="F591" s="47"/>
    </row>
    <row r="592" ht="22.5" customHeight="1">
      <c r="A592" s="61" t="s">
        <v>1294</v>
      </c>
      <c r="B592" s="62">
        <v>38.0</v>
      </c>
      <c r="C592" s="62" t="s">
        <v>47</v>
      </c>
      <c r="D592" s="61">
        <v>1.0</v>
      </c>
      <c r="E592" s="63">
        <v>46163.0</v>
      </c>
      <c r="F592" s="47"/>
    </row>
    <row r="593" ht="22.5" customHeight="1">
      <c r="A593" s="61" t="s">
        <v>376</v>
      </c>
      <c r="B593" s="62">
        <v>39.0</v>
      </c>
      <c r="C593" s="62" t="s">
        <v>26</v>
      </c>
      <c r="D593" s="61">
        <v>1.0</v>
      </c>
      <c r="E593" s="63">
        <v>46163.0</v>
      </c>
      <c r="F593" s="47"/>
    </row>
    <row r="594" ht="22.5" customHeight="1">
      <c r="A594" s="61" t="s">
        <v>376</v>
      </c>
      <c r="B594" s="62">
        <v>36.0</v>
      </c>
      <c r="C594" s="62" t="s">
        <v>26</v>
      </c>
      <c r="D594" s="61">
        <v>1.0</v>
      </c>
      <c r="E594" s="63">
        <v>46163.0</v>
      </c>
      <c r="F594" s="47"/>
    </row>
    <row r="595" ht="22.5" customHeight="1">
      <c r="A595" s="61">
        <v>8876.0</v>
      </c>
      <c r="B595" s="62" t="s">
        <v>12</v>
      </c>
      <c r="C595" s="62" t="s">
        <v>18</v>
      </c>
      <c r="D595" s="61">
        <v>1.0</v>
      </c>
      <c r="E595" s="63">
        <v>46163.0</v>
      </c>
      <c r="F595" s="47"/>
    </row>
    <row r="596" ht="22.5" customHeight="1">
      <c r="A596" s="61">
        <v>8558.0</v>
      </c>
      <c r="B596" s="62" t="s">
        <v>22</v>
      </c>
      <c r="C596" s="62" t="s">
        <v>16</v>
      </c>
      <c r="D596" s="61">
        <v>1.0</v>
      </c>
      <c r="E596" s="63">
        <v>46163.0</v>
      </c>
      <c r="F596" s="47"/>
    </row>
    <row r="597" ht="22.5" customHeight="1">
      <c r="A597" s="61" t="s">
        <v>1471</v>
      </c>
      <c r="B597" s="62" t="s">
        <v>46</v>
      </c>
      <c r="C597" s="62" t="s">
        <v>338</v>
      </c>
      <c r="D597" s="61">
        <v>24.0</v>
      </c>
      <c r="E597" s="63">
        <v>46163.0</v>
      </c>
      <c r="F597" s="47"/>
    </row>
    <row r="598" ht="22.5" customHeight="1">
      <c r="A598" s="61" t="s">
        <v>1672</v>
      </c>
      <c r="B598" s="62" t="s">
        <v>46</v>
      </c>
      <c r="C598" s="62" t="s">
        <v>47</v>
      </c>
      <c r="D598" s="61">
        <v>20.0</v>
      </c>
      <c r="E598" s="63">
        <v>46163.0</v>
      </c>
      <c r="F598" s="47"/>
    </row>
    <row r="599" ht="22.5" customHeight="1">
      <c r="A599" s="61" t="s">
        <v>1471</v>
      </c>
      <c r="B599" s="62" t="s">
        <v>46</v>
      </c>
      <c r="C599" s="62" t="s">
        <v>340</v>
      </c>
      <c r="D599" s="61">
        <v>10.0</v>
      </c>
      <c r="E599" s="63">
        <v>46163.0</v>
      </c>
      <c r="F599" s="47"/>
    </row>
    <row r="600" ht="22.5" customHeight="1">
      <c r="A600" s="61">
        <v>8319.0</v>
      </c>
      <c r="B600" s="62" t="s">
        <v>12</v>
      </c>
      <c r="C600" s="62" t="s">
        <v>58</v>
      </c>
      <c r="D600" s="61">
        <v>7.0</v>
      </c>
      <c r="E600" s="63">
        <v>46163.0</v>
      </c>
      <c r="F600" s="47"/>
    </row>
    <row r="601" ht="22.5" customHeight="1">
      <c r="A601" s="61">
        <v>8610.0</v>
      </c>
      <c r="B601" s="62" t="s">
        <v>22</v>
      </c>
      <c r="C601" s="62" t="s">
        <v>13</v>
      </c>
      <c r="D601" s="61">
        <v>6.0</v>
      </c>
      <c r="E601" s="63">
        <v>46163.0</v>
      </c>
      <c r="F601" s="47"/>
    </row>
    <row r="602" ht="22.5" customHeight="1">
      <c r="A602" s="61">
        <v>9083.0</v>
      </c>
      <c r="B602" s="62" t="s">
        <v>12</v>
      </c>
      <c r="C602" s="62" t="s">
        <v>340</v>
      </c>
      <c r="D602" s="61">
        <v>4.0</v>
      </c>
      <c r="E602" s="63">
        <v>46163.0</v>
      </c>
      <c r="F602" s="47"/>
    </row>
    <row r="603" ht="22.5" customHeight="1">
      <c r="A603" s="61">
        <v>9277.0</v>
      </c>
      <c r="B603" s="62" t="s">
        <v>46</v>
      </c>
      <c r="C603" s="62" t="s">
        <v>13</v>
      </c>
      <c r="D603" s="61">
        <v>4.0</v>
      </c>
      <c r="E603" s="63">
        <v>46163.0</v>
      </c>
      <c r="F603" s="47"/>
    </row>
    <row r="604" ht="22.5" customHeight="1">
      <c r="A604" s="61" t="s">
        <v>1318</v>
      </c>
      <c r="B604" s="62" t="s">
        <v>46</v>
      </c>
      <c r="C604" s="62" t="s">
        <v>1321</v>
      </c>
      <c r="D604" s="61">
        <v>2.0</v>
      </c>
      <c r="E604" s="63">
        <v>46163.0</v>
      </c>
      <c r="F604" s="47"/>
    </row>
    <row r="605" ht="22.5" customHeight="1">
      <c r="A605" s="61">
        <v>9277.0</v>
      </c>
      <c r="B605" s="62" t="s">
        <v>46</v>
      </c>
      <c r="C605" s="62" t="s">
        <v>18</v>
      </c>
      <c r="D605" s="61">
        <v>1.0</v>
      </c>
      <c r="E605" s="63">
        <v>46163.0</v>
      </c>
      <c r="F605" s="47"/>
    </row>
    <row r="606" ht="22.5" customHeight="1">
      <c r="A606" s="61">
        <v>9369.0</v>
      </c>
      <c r="B606" s="62" t="s">
        <v>75</v>
      </c>
      <c r="C606" s="62" t="s">
        <v>58</v>
      </c>
      <c r="D606" s="61">
        <v>1.0</v>
      </c>
      <c r="E606" s="63">
        <v>46163.0</v>
      </c>
      <c r="F606" s="47"/>
    </row>
    <row r="607" ht="22.5" customHeight="1">
      <c r="A607" s="61">
        <v>9369.0</v>
      </c>
      <c r="B607" s="62" t="s">
        <v>22</v>
      </c>
      <c r="C607" s="62" t="s">
        <v>58</v>
      </c>
      <c r="D607" s="61">
        <v>1.0</v>
      </c>
      <c r="E607" s="63">
        <v>46163.0</v>
      </c>
      <c r="F607" s="47"/>
    </row>
    <row r="608" ht="22.5" customHeight="1">
      <c r="A608" s="61" t="s">
        <v>1602</v>
      </c>
      <c r="B608" s="62">
        <v>35.0</v>
      </c>
      <c r="C608" s="62" t="s">
        <v>13</v>
      </c>
      <c r="D608" s="61">
        <v>1.0</v>
      </c>
      <c r="E608" s="63">
        <v>46163.0</v>
      </c>
      <c r="F608" s="47"/>
    </row>
    <row r="609" ht="22.5" customHeight="1">
      <c r="A609" s="61" t="s">
        <v>1602</v>
      </c>
      <c r="B609" s="62">
        <v>37.0</v>
      </c>
      <c r="C609" s="62" t="s">
        <v>18</v>
      </c>
      <c r="D609" s="61">
        <v>1.0</v>
      </c>
      <c r="E609" s="63">
        <v>46163.0</v>
      </c>
      <c r="F609" s="47"/>
    </row>
    <row r="610" ht="22.5" customHeight="1">
      <c r="A610" s="61" t="s">
        <v>1602</v>
      </c>
      <c r="B610" s="62">
        <v>37.0</v>
      </c>
      <c r="C610" s="62" t="s">
        <v>13</v>
      </c>
      <c r="D610" s="61">
        <v>1.0</v>
      </c>
      <c r="E610" s="63">
        <v>46163.0</v>
      </c>
      <c r="F610" s="47"/>
    </row>
    <row r="611" ht="22.5" customHeight="1">
      <c r="A611" s="61" t="s">
        <v>1602</v>
      </c>
      <c r="B611" s="62">
        <v>35.0</v>
      </c>
      <c r="C611" s="62" t="s">
        <v>18</v>
      </c>
      <c r="D611" s="61">
        <v>1.0</v>
      </c>
      <c r="E611" s="63">
        <v>46163.0</v>
      </c>
      <c r="F611" s="47"/>
    </row>
    <row r="612" ht="22.5" customHeight="1">
      <c r="A612" s="61" t="s">
        <v>1602</v>
      </c>
      <c r="B612" s="62">
        <v>36.0</v>
      </c>
      <c r="C612" s="62" t="s">
        <v>13</v>
      </c>
      <c r="D612" s="61">
        <v>1.0</v>
      </c>
      <c r="E612" s="63">
        <v>46163.0</v>
      </c>
      <c r="F612" s="47"/>
    </row>
    <row r="613" ht="22.5" customHeight="1">
      <c r="A613" s="61" t="s">
        <v>1602</v>
      </c>
      <c r="B613" s="62">
        <v>36.0</v>
      </c>
      <c r="C613" s="62" t="s">
        <v>23</v>
      </c>
      <c r="D613" s="61">
        <v>1.0</v>
      </c>
      <c r="E613" s="63">
        <v>46163.0</v>
      </c>
      <c r="F613" s="47"/>
    </row>
    <row r="614" ht="22.5" customHeight="1">
      <c r="A614" s="61" t="s">
        <v>763</v>
      </c>
      <c r="B614" s="62" t="s">
        <v>46</v>
      </c>
      <c r="C614" s="62" t="s">
        <v>1634</v>
      </c>
      <c r="D614" s="61">
        <v>1.0</v>
      </c>
      <c r="E614" s="63">
        <v>46163.0</v>
      </c>
      <c r="F614" s="47"/>
    </row>
    <row r="615" ht="22.5" customHeight="1">
      <c r="A615" s="61" t="s">
        <v>763</v>
      </c>
      <c r="B615" s="62" t="s">
        <v>46</v>
      </c>
      <c r="C615" s="62" t="s">
        <v>2354</v>
      </c>
      <c r="D615" s="61">
        <v>1.0</v>
      </c>
      <c r="E615" s="63">
        <v>46163.0</v>
      </c>
      <c r="F615" s="47"/>
    </row>
    <row r="616" ht="22.5" customHeight="1">
      <c r="A616" s="61">
        <v>7249.0</v>
      </c>
      <c r="B616" s="62" t="s">
        <v>22</v>
      </c>
      <c r="C616" s="62" t="s">
        <v>340</v>
      </c>
      <c r="D616" s="61">
        <v>1.0</v>
      </c>
      <c r="E616" s="63">
        <v>46163.0</v>
      </c>
      <c r="F616" s="47"/>
    </row>
    <row r="617" ht="22.5" customHeight="1">
      <c r="A617" s="61">
        <v>9094.0</v>
      </c>
      <c r="B617" s="62" t="s">
        <v>12</v>
      </c>
      <c r="C617" s="62" t="s">
        <v>58</v>
      </c>
      <c r="D617" s="61">
        <v>1.0</v>
      </c>
      <c r="E617" s="63">
        <v>46163.0</v>
      </c>
      <c r="F617" s="47"/>
    </row>
    <row r="618" ht="22.5" customHeight="1">
      <c r="A618" s="61">
        <v>9094.0</v>
      </c>
      <c r="B618" s="62" t="s">
        <v>12</v>
      </c>
      <c r="C618" s="62" t="s">
        <v>23</v>
      </c>
      <c r="D618" s="61">
        <v>1.0</v>
      </c>
      <c r="E618" s="63">
        <v>46163.0</v>
      </c>
      <c r="F618" s="47"/>
    </row>
    <row r="619" ht="22.5" customHeight="1">
      <c r="A619" s="61" t="s">
        <v>913</v>
      </c>
      <c r="B619" s="62" t="s">
        <v>75</v>
      </c>
      <c r="C619" s="62" t="s">
        <v>23</v>
      </c>
      <c r="D619" s="61">
        <v>1.0</v>
      </c>
      <c r="E619" s="63">
        <v>46164.0</v>
      </c>
      <c r="F619" s="47"/>
    </row>
    <row r="620" ht="22.5" customHeight="1">
      <c r="A620" s="61">
        <v>8610.0</v>
      </c>
      <c r="B620" s="62" t="s">
        <v>12</v>
      </c>
      <c r="C620" s="62" t="s">
        <v>13</v>
      </c>
      <c r="D620" s="61">
        <v>1.0</v>
      </c>
      <c r="E620" s="63">
        <v>46164.0</v>
      </c>
      <c r="F620" s="47"/>
    </row>
    <row r="621" ht="22.5" customHeight="1">
      <c r="A621" s="61" t="s">
        <v>1255</v>
      </c>
      <c r="B621" s="62" t="s">
        <v>22</v>
      </c>
      <c r="C621" s="62" t="s">
        <v>1256</v>
      </c>
      <c r="D621" s="61">
        <v>5.0</v>
      </c>
      <c r="E621" s="63">
        <v>46166.0</v>
      </c>
      <c r="F621" s="47"/>
    </row>
    <row r="622" ht="22.5" customHeight="1">
      <c r="A622" s="61" t="s">
        <v>1255</v>
      </c>
      <c r="B622" s="62" t="s">
        <v>22</v>
      </c>
      <c r="C622" s="62" t="s">
        <v>1260</v>
      </c>
      <c r="D622" s="61">
        <v>4.0</v>
      </c>
      <c r="E622" s="63">
        <v>46166.0</v>
      </c>
      <c r="F622" s="47"/>
    </row>
    <row r="623" ht="22.5" customHeight="1">
      <c r="A623" s="61" t="s">
        <v>1620</v>
      </c>
      <c r="B623" s="62" t="s">
        <v>22</v>
      </c>
      <c r="C623" s="62" t="s">
        <v>47</v>
      </c>
      <c r="D623" s="61">
        <v>5.0</v>
      </c>
      <c r="E623" s="63">
        <v>46166.0</v>
      </c>
      <c r="F623" s="47"/>
    </row>
    <row r="624" ht="22.5" customHeight="1">
      <c r="A624" s="61" t="s">
        <v>1620</v>
      </c>
      <c r="B624" s="62" t="s">
        <v>22</v>
      </c>
      <c r="C624" s="62" t="s">
        <v>914</v>
      </c>
      <c r="D624" s="61">
        <v>5.0</v>
      </c>
      <c r="E624" s="63">
        <v>46166.0</v>
      </c>
      <c r="F624" s="47"/>
    </row>
    <row r="625" ht="22.5" customHeight="1">
      <c r="A625" s="61" t="s">
        <v>1620</v>
      </c>
      <c r="B625" s="62" t="s">
        <v>12</v>
      </c>
      <c r="C625" s="62" t="s">
        <v>47</v>
      </c>
      <c r="D625" s="61">
        <v>5.0</v>
      </c>
      <c r="E625" s="63">
        <v>46166.0</v>
      </c>
      <c r="F625" s="47"/>
    </row>
    <row r="626" ht="22.5" customHeight="1">
      <c r="A626" s="61" t="s">
        <v>1255</v>
      </c>
      <c r="B626" s="62" t="s">
        <v>75</v>
      </c>
      <c r="C626" s="62" t="s">
        <v>1256</v>
      </c>
      <c r="D626" s="61">
        <v>3.0</v>
      </c>
      <c r="E626" s="63">
        <v>46166.0</v>
      </c>
      <c r="F626" s="47"/>
    </row>
    <row r="627" ht="22.5" customHeight="1">
      <c r="A627" s="61" t="s">
        <v>1623</v>
      </c>
      <c r="B627" s="62" t="s">
        <v>22</v>
      </c>
      <c r="C627" s="62" t="s">
        <v>18</v>
      </c>
      <c r="D627" s="61">
        <v>4.0</v>
      </c>
      <c r="E627" s="63">
        <v>46166.0</v>
      </c>
      <c r="F627" s="47"/>
    </row>
    <row r="628" ht="22.5" customHeight="1">
      <c r="A628" s="61" t="s">
        <v>1233</v>
      </c>
      <c r="B628" s="62" t="s">
        <v>46</v>
      </c>
      <c r="C628" s="62" t="s">
        <v>13</v>
      </c>
      <c r="D628" s="61">
        <v>4.0</v>
      </c>
      <c r="E628" s="63">
        <v>46166.0</v>
      </c>
      <c r="F628" s="47"/>
    </row>
    <row r="629" ht="22.5" customHeight="1">
      <c r="A629" s="61" t="s">
        <v>1255</v>
      </c>
      <c r="B629" s="62" t="s">
        <v>75</v>
      </c>
      <c r="C629" s="62" t="s">
        <v>1260</v>
      </c>
      <c r="D629" s="61">
        <v>2.0</v>
      </c>
      <c r="E629" s="63">
        <v>46166.0</v>
      </c>
      <c r="F629" s="47"/>
    </row>
    <row r="630" ht="22.5" customHeight="1">
      <c r="A630" s="61" t="s">
        <v>1620</v>
      </c>
      <c r="B630" s="62" t="s">
        <v>12</v>
      </c>
      <c r="C630" s="62" t="s">
        <v>23</v>
      </c>
      <c r="D630" s="61">
        <v>3.0</v>
      </c>
      <c r="E630" s="63">
        <v>46166.0</v>
      </c>
      <c r="F630" s="47"/>
    </row>
    <row r="631" ht="22.5" customHeight="1">
      <c r="A631" s="61" t="s">
        <v>1620</v>
      </c>
      <c r="B631" s="62" t="s">
        <v>22</v>
      </c>
      <c r="C631" s="62" t="s">
        <v>16</v>
      </c>
      <c r="D631" s="61">
        <v>3.0</v>
      </c>
      <c r="E631" s="63">
        <v>46166.0</v>
      </c>
      <c r="F631" s="47"/>
    </row>
    <row r="632" ht="22.5" customHeight="1">
      <c r="A632" s="61" t="s">
        <v>1620</v>
      </c>
      <c r="B632" s="62" t="s">
        <v>22</v>
      </c>
      <c r="C632" s="62" t="s">
        <v>18</v>
      </c>
      <c r="D632" s="61">
        <v>3.0</v>
      </c>
      <c r="E632" s="63">
        <v>46166.0</v>
      </c>
      <c r="F632" s="47"/>
    </row>
    <row r="633" ht="22.5" customHeight="1">
      <c r="A633" s="61" t="s">
        <v>1623</v>
      </c>
      <c r="B633" s="62" t="s">
        <v>75</v>
      </c>
      <c r="C633" s="62" t="s">
        <v>18</v>
      </c>
      <c r="D633" s="61">
        <v>3.0</v>
      </c>
      <c r="E633" s="63">
        <v>46166.0</v>
      </c>
      <c r="F633" s="47"/>
    </row>
    <row r="634" ht="22.5" customHeight="1">
      <c r="A634" s="61" t="s">
        <v>1623</v>
      </c>
      <c r="B634" s="62" t="s">
        <v>75</v>
      </c>
      <c r="C634" s="62" t="s">
        <v>58</v>
      </c>
      <c r="D634" s="61">
        <v>3.0</v>
      </c>
      <c r="E634" s="63">
        <v>46166.0</v>
      </c>
      <c r="F634" s="47"/>
    </row>
    <row r="635" ht="22.5" customHeight="1">
      <c r="A635" s="61" t="s">
        <v>1255</v>
      </c>
      <c r="B635" s="62" t="s">
        <v>989</v>
      </c>
      <c r="C635" s="62" t="s">
        <v>1258</v>
      </c>
      <c r="D635" s="61">
        <v>1.0</v>
      </c>
      <c r="E635" s="63">
        <v>46166.0</v>
      </c>
      <c r="F635" s="47"/>
    </row>
    <row r="636" ht="22.5" customHeight="1">
      <c r="A636" s="61" t="s">
        <v>1435</v>
      </c>
      <c r="B636" s="62">
        <v>37.0</v>
      </c>
      <c r="C636" s="62" t="s">
        <v>47</v>
      </c>
      <c r="D636" s="61">
        <v>2.0</v>
      </c>
      <c r="E636" s="63">
        <v>46166.0</v>
      </c>
      <c r="F636" s="47"/>
    </row>
    <row r="637" ht="22.5" customHeight="1">
      <c r="A637" s="61" t="s">
        <v>1255</v>
      </c>
      <c r="B637" s="62" t="s">
        <v>22</v>
      </c>
      <c r="C637" s="62" t="s">
        <v>1258</v>
      </c>
      <c r="D637" s="61">
        <v>2.0</v>
      </c>
      <c r="E637" s="63">
        <v>46166.0</v>
      </c>
      <c r="F637" s="47"/>
    </row>
    <row r="638" ht="22.5" customHeight="1">
      <c r="A638" s="61" t="s">
        <v>1255</v>
      </c>
      <c r="B638" s="62" t="s">
        <v>75</v>
      </c>
      <c r="C638" s="62" t="s">
        <v>1258</v>
      </c>
      <c r="D638" s="61">
        <v>2.0</v>
      </c>
      <c r="E638" s="63">
        <v>46166.0</v>
      </c>
      <c r="F638" s="47"/>
    </row>
    <row r="639" ht="22.5" customHeight="1">
      <c r="A639" s="61" t="s">
        <v>1623</v>
      </c>
      <c r="B639" s="62" t="s">
        <v>22</v>
      </c>
      <c r="C639" s="62" t="s">
        <v>58</v>
      </c>
      <c r="D639" s="61">
        <v>2.0</v>
      </c>
      <c r="E639" s="63">
        <v>46166.0</v>
      </c>
      <c r="F639" s="47"/>
    </row>
    <row r="640" ht="22.5" customHeight="1">
      <c r="A640" s="61" t="s">
        <v>1627</v>
      </c>
      <c r="B640" s="62" t="s">
        <v>75</v>
      </c>
      <c r="C640" s="62">
        <v>1.0</v>
      </c>
      <c r="D640" s="61">
        <v>2.0</v>
      </c>
      <c r="E640" s="63">
        <v>46166.0</v>
      </c>
      <c r="F640" s="47"/>
    </row>
    <row r="641" ht="22.5" customHeight="1">
      <c r="A641" s="61" t="s">
        <v>1627</v>
      </c>
      <c r="B641" s="62" t="s">
        <v>75</v>
      </c>
      <c r="C641" s="62">
        <v>3.0</v>
      </c>
      <c r="D641" s="61">
        <v>2.0</v>
      </c>
      <c r="E641" s="63">
        <v>46166.0</v>
      </c>
      <c r="F641" s="47"/>
    </row>
    <row r="642" ht="22.5" customHeight="1">
      <c r="A642" s="61" t="s">
        <v>763</v>
      </c>
      <c r="B642" s="62" t="s">
        <v>46</v>
      </c>
      <c r="C642" s="62" t="s">
        <v>2355</v>
      </c>
      <c r="D642" s="61">
        <v>1.0</v>
      </c>
      <c r="E642" s="63">
        <v>46166.0</v>
      </c>
      <c r="F642" s="47"/>
    </row>
    <row r="643" ht="22.5" customHeight="1">
      <c r="A643" s="61" t="s">
        <v>1623</v>
      </c>
      <c r="B643" s="62" t="s">
        <v>989</v>
      </c>
      <c r="C643" s="62" t="s">
        <v>18</v>
      </c>
      <c r="D643" s="61">
        <v>2.0</v>
      </c>
      <c r="E643" s="63">
        <v>46166.0</v>
      </c>
      <c r="F643" s="47"/>
    </row>
    <row r="644" ht="22.5" customHeight="1">
      <c r="A644" s="61" t="s">
        <v>1623</v>
      </c>
      <c r="B644" s="62" t="s">
        <v>989</v>
      </c>
      <c r="C644" s="62" t="s">
        <v>13</v>
      </c>
      <c r="D644" s="61">
        <v>2.0</v>
      </c>
      <c r="E644" s="63">
        <v>46166.0</v>
      </c>
      <c r="F644" s="47"/>
    </row>
    <row r="645" ht="22.5" customHeight="1">
      <c r="A645" s="61" t="s">
        <v>1623</v>
      </c>
      <c r="B645" s="62" t="s">
        <v>22</v>
      </c>
      <c r="C645" s="62" t="s">
        <v>23</v>
      </c>
      <c r="D645" s="61">
        <v>2.0</v>
      </c>
      <c r="E645" s="63">
        <v>46166.0</v>
      </c>
      <c r="F645" s="47"/>
    </row>
    <row r="646" ht="22.5" customHeight="1">
      <c r="A646" s="61" t="s">
        <v>1315</v>
      </c>
      <c r="B646" s="62">
        <v>35.0</v>
      </c>
      <c r="C646" s="62" t="s">
        <v>16</v>
      </c>
      <c r="D646" s="61">
        <v>1.0</v>
      </c>
      <c r="E646" s="63">
        <v>46166.0</v>
      </c>
      <c r="F646" s="47"/>
    </row>
    <row r="647" ht="22.5" customHeight="1">
      <c r="A647" s="61" t="s">
        <v>1435</v>
      </c>
      <c r="B647" s="62">
        <v>39.0</v>
      </c>
      <c r="C647" s="62" t="s">
        <v>47</v>
      </c>
      <c r="D647" s="61">
        <v>1.0</v>
      </c>
      <c r="E647" s="63">
        <v>46166.0</v>
      </c>
      <c r="F647" s="47"/>
    </row>
    <row r="648" ht="22.5" customHeight="1">
      <c r="A648" s="61" t="s">
        <v>1627</v>
      </c>
      <c r="B648" s="62" t="s">
        <v>75</v>
      </c>
      <c r="C648" s="62">
        <v>6.0</v>
      </c>
      <c r="D648" s="61">
        <v>1.0</v>
      </c>
      <c r="E648" s="63">
        <v>46166.0</v>
      </c>
      <c r="F648" s="47"/>
    </row>
    <row r="649" ht="22.5" customHeight="1">
      <c r="A649" s="61" t="s">
        <v>1627</v>
      </c>
      <c r="B649" s="62" t="s">
        <v>1037</v>
      </c>
      <c r="C649" s="62">
        <v>3.0</v>
      </c>
      <c r="D649" s="61">
        <v>1.0</v>
      </c>
      <c r="E649" s="63">
        <v>46166.0</v>
      </c>
      <c r="F649" s="47"/>
    </row>
    <row r="650" ht="22.5" customHeight="1">
      <c r="A650" s="61" t="s">
        <v>1627</v>
      </c>
      <c r="B650" s="62" t="s">
        <v>1037</v>
      </c>
      <c r="C650" s="62">
        <v>2.0</v>
      </c>
      <c r="D650" s="61">
        <v>1.0</v>
      </c>
      <c r="E650" s="63">
        <v>46166.0</v>
      </c>
      <c r="F650" s="47"/>
    </row>
    <row r="651" ht="22.5" customHeight="1">
      <c r="A651" s="61" t="s">
        <v>1627</v>
      </c>
      <c r="B651" s="62" t="s">
        <v>75</v>
      </c>
      <c r="C651" s="62">
        <v>4.0</v>
      </c>
      <c r="D651" s="61">
        <v>1.0</v>
      </c>
      <c r="E651" s="63">
        <v>46166.0</v>
      </c>
      <c r="F651" s="47"/>
    </row>
    <row r="652" ht="22.5" customHeight="1">
      <c r="A652" s="61" t="s">
        <v>763</v>
      </c>
      <c r="B652" s="62" t="s">
        <v>22</v>
      </c>
      <c r="C652" s="62" t="s">
        <v>1687</v>
      </c>
      <c r="D652" s="61">
        <v>1.0</v>
      </c>
      <c r="E652" s="63">
        <v>46166.0</v>
      </c>
      <c r="F652" s="47"/>
    </row>
    <row r="653" ht="22.5" customHeight="1">
      <c r="A653" s="61" t="s">
        <v>893</v>
      </c>
      <c r="B653" s="62">
        <v>37.0</v>
      </c>
      <c r="C653" s="62" t="s">
        <v>47</v>
      </c>
      <c r="D653" s="61">
        <v>1.0</v>
      </c>
      <c r="E653" s="63">
        <v>46166.0</v>
      </c>
      <c r="F653" s="47"/>
    </row>
    <row r="654" ht="22.5" customHeight="1">
      <c r="A654" s="61" t="s">
        <v>763</v>
      </c>
      <c r="B654" s="62" t="s">
        <v>46</v>
      </c>
      <c r="C654" s="62" t="s">
        <v>2356</v>
      </c>
      <c r="D654" s="61">
        <v>1.0</v>
      </c>
      <c r="E654" s="63">
        <v>46166.0</v>
      </c>
      <c r="F654" s="47"/>
    </row>
    <row r="655" ht="22.5" customHeight="1">
      <c r="A655" s="61" t="s">
        <v>893</v>
      </c>
      <c r="B655" s="62">
        <v>35.0</v>
      </c>
      <c r="C655" s="62" t="s">
        <v>47</v>
      </c>
      <c r="D655" s="61">
        <v>1.0</v>
      </c>
      <c r="E655" s="63">
        <v>46166.0</v>
      </c>
      <c r="F655" s="47"/>
    </row>
    <row r="656" ht="22.5" customHeight="1">
      <c r="A656" s="61" t="s">
        <v>1315</v>
      </c>
      <c r="B656" s="62">
        <v>38.0</v>
      </c>
      <c r="C656" s="62" t="s">
        <v>47</v>
      </c>
      <c r="D656" s="61">
        <v>1.0</v>
      </c>
      <c r="E656" s="63">
        <v>46166.0</v>
      </c>
      <c r="F656" s="47"/>
    </row>
    <row r="657" ht="22.5" customHeight="1">
      <c r="A657" s="61" t="s">
        <v>1889</v>
      </c>
      <c r="B657" s="62">
        <v>38.0</v>
      </c>
      <c r="C657" s="62" t="s">
        <v>47</v>
      </c>
      <c r="D657" s="61">
        <v>1.0</v>
      </c>
      <c r="E657" s="63">
        <v>46166.0</v>
      </c>
      <c r="F657" s="47"/>
    </row>
    <row r="658" ht="22.5" customHeight="1">
      <c r="A658" s="61" t="s">
        <v>1435</v>
      </c>
      <c r="B658" s="62">
        <v>37.0</v>
      </c>
      <c r="C658" s="62" t="s">
        <v>16</v>
      </c>
      <c r="D658" s="61">
        <v>1.0</v>
      </c>
      <c r="E658" s="63">
        <v>46166.0</v>
      </c>
      <c r="F658" s="47"/>
    </row>
    <row r="659" ht="22.5" customHeight="1">
      <c r="A659" s="61" t="s">
        <v>1435</v>
      </c>
      <c r="B659" s="62">
        <v>36.0</v>
      </c>
      <c r="C659" s="62" t="s">
        <v>47</v>
      </c>
      <c r="D659" s="61">
        <v>1.0</v>
      </c>
      <c r="E659" s="63">
        <v>46166.0</v>
      </c>
      <c r="F659" s="47"/>
    </row>
    <row r="660" ht="22.5" customHeight="1">
      <c r="A660" s="61" t="s">
        <v>269</v>
      </c>
      <c r="B660" s="62">
        <v>38.0</v>
      </c>
      <c r="C660" s="62" t="s">
        <v>18</v>
      </c>
      <c r="D660" s="61">
        <v>1.0</v>
      </c>
      <c r="E660" s="63">
        <v>46166.0</v>
      </c>
      <c r="F660" s="47"/>
    </row>
    <row r="661" ht="22.5" customHeight="1">
      <c r="A661" s="61" t="s">
        <v>269</v>
      </c>
      <c r="B661" s="62">
        <v>36.0</v>
      </c>
      <c r="C661" s="62" t="s">
        <v>18</v>
      </c>
      <c r="D661" s="61">
        <v>1.0</v>
      </c>
      <c r="E661" s="63">
        <v>46166.0</v>
      </c>
      <c r="F661" s="47"/>
    </row>
    <row r="662" ht="22.5" customHeight="1">
      <c r="A662" s="61" t="s">
        <v>269</v>
      </c>
      <c r="B662" s="62">
        <v>38.0</v>
      </c>
      <c r="C662" s="62" t="s">
        <v>47</v>
      </c>
      <c r="D662" s="61">
        <v>1.0</v>
      </c>
      <c r="E662" s="63">
        <v>46166.0</v>
      </c>
      <c r="F662" s="47"/>
    </row>
    <row r="663" ht="22.5" customHeight="1">
      <c r="A663" s="61" t="s">
        <v>269</v>
      </c>
      <c r="B663" s="62">
        <v>37.0</v>
      </c>
      <c r="C663" s="62" t="s">
        <v>18</v>
      </c>
      <c r="D663" s="61">
        <v>1.0</v>
      </c>
      <c r="E663" s="63">
        <v>46166.0</v>
      </c>
      <c r="F663" s="47"/>
    </row>
    <row r="664" ht="22.5" customHeight="1">
      <c r="A664" s="61">
        <v>6612.0</v>
      </c>
      <c r="B664" s="62" t="s">
        <v>46</v>
      </c>
      <c r="C664" s="62">
        <v>4.0</v>
      </c>
      <c r="D664" s="61">
        <v>1.0</v>
      </c>
      <c r="E664" s="63">
        <v>46166.0</v>
      </c>
      <c r="F664" s="47"/>
    </row>
    <row r="665" ht="22.5" customHeight="1">
      <c r="A665" s="61" t="s">
        <v>1318</v>
      </c>
      <c r="B665" s="62" t="s">
        <v>46</v>
      </c>
      <c r="C665" s="62" t="s">
        <v>1319</v>
      </c>
      <c r="D665" s="61">
        <v>4.0</v>
      </c>
      <c r="E665" s="63">
        <v>46166.0</v>
      </c>
      <c r="F665" s="47"/>
    </row>
    <row r="666" ht="22.5" customHeight="1">
      <c r="A666" s="61" t="s">
        <v>1318</v>
      </c>
      <c r="B666" s="62" t="s">
        <v>46</v>
      </c>
      <c r="C666" s="62" t="s">
        <v>1320</v>
      </c>
      <c r="D666" s="61">
        <v>4.0</v>
      </c>
      <c r="E666" s="63">
        <v>46166.0</v>
      </c>
      <c r="F666" s="47"/>
    </row>
    <row r="667" ht="22.5" customHeight="1">
      <c r="A667" s="61" t="s">
        <v>1185</v>
      </c>
      <c r="B667" s="62" t="s">
        <v>22</v>
      </c>
      <c r="C667" s="62" t="s">
        <v>23</v>
      </c>
      <c r="D667" s="61">
        <v>1.0</v>
      </c>
      <c r="E667" s="63">
        <v>46166.0</v>
      </c>
      <c r="F667" s="47"/>
    </row>
    <row r="668" ht="22.5" customHeight="1">
      <c r="A668" s="61" t="s">
        <v>1202</v>
      </c>
      <c r="B668" s="62" t="s">
        <v>75</v>
      </c>
      <c r="C668" s="62" t="s">
        <v>47</v>
      </c>
      <c r="D668" s="61">
        <v>1.0</v>
      </c>
      <c r="E668" s="63">
        <v>46166.0</v>
      </c>
      <c r="F668" s="47"/>
    </row>
    <row r="669" ht="22.5" customHeight="1">
      <c r="A669" s="61" t="s">
        <v>1185</v>
      </c>
      <c r="B669" s="62" t="s">
        <v>22</v>
      </c>
      <c r="C669" s="62" t="s">
        <v>58</v>
      </c>
      <c r="D669" s="61">
        <v>1.0</v>
      </c>
      <c r="E669" s="63">
        <v>46166.0</v>
      </c>
      <c r="F669" s="47"/>
    </row>
    <row r="670" ht="22.5" customHeight="1">
      <c r="A670" s="61">
        <v>6612.0</v>
      </c>
      <c r="B670" s="62" t="s">
        <v>46</v>
      </c>
      <c r="C670" s="62">
        <v>5.0</v>
      </c>
      <c r="D670" s="61">
        <v>1.0</v>
      </c>
      <c r="E670" s="63">
        <v>46166.0</v>
      </c>
      <c r="F670" s="47"/>
    </row>
    <row r="671" ht="22.5" customHeight="1">
      <c r="A671" s="61" t="s">
        <v>1255</v>
      </c>
      <c r="B671" s="62" t="s">
        <v>22</v>
      </c>
      <c r="C671" s="62" t="s">
        <v>1260</v>
      </c>
      <c r="D671" s="61">
        <v>2.0</v>
      </c>
      <c r="E671" s="63">
        <v>46166.0</v>
      </c>
      <c r="F671" s="47"/>
    </row>
    <row r="672" ht="22.5" customHeight="1">
      <c r="A672" s="61">
        <v>8436.0</v>
      </c>
      <c r="B672" s="62" t="s">
        <v>22</v>
      </c>
      <c r="C672" s="62" t="s">
        <v>13</v>
      </c>
      <c r="D672" s="61">
        <v>1.0</v>
      </c>
      <c r="E672" s="63">
        <v>46166.0</v>
      </c>
      <c r="F672" s="47"/>
    </row>
    <row r="673" ht="22.5" customHeight="1">
      <c r="A673" s="61" t="s">
        <v>1202</v>
      </c>
      <c r="B673" s="62" t="s">
        <v>989</v>
      </c>
      <c r="C673" s="62" t="s">
        <v>47</v>
      </c>
      <c r="D673" s="61">
        <v>1.0</v>
      </c>
      <c r="E673" s="63">
        <v>46166.0</v>
      </c>
      <c r="F673" s="47"/>
    </row>
    <row r="674" ht="22.5" customHeight="1">
      <c r="A674" s="61" t="s">
        <v>1202</v>
      </c>
      <c r="B674" s="62" t="s">
        <v>989</v>
      </c>
      <c r="C674" s="62" t="s">
        <v>18</v>
      </c>
      <c r="D674" s="61">
        <v>1.0</v>
      </c>
      <c r="E674" s="63">
        <v>46166.0</v>
      </c>
      <c r="F674" s="47"/>
    </row>
    <row r="675" ht="22.5" customHeight="1">
      <c r="A675" s="61" t="s">
        <v>763</v>
      </c>
      <c r="B675" s="62" t="s">
        <v>46</v>
      </c>
      <c r="C675" s="62" t="s">
        <v>1163</v>
      </c>
      <c r="D675" s="61">
        <v>1.0</v>
      </c>
      <c r="E675" s="63">
        <v>46166.0</v>
      </c>
      <c r="F675" s="47"/>
    </row>
    <row r="676" ht="22.5" customHeight="1">
      <c r="A676" s="61" t="s">
        <v>763</v>
      </c>
      <c r="B676" s="62" t="s">
        <v>46</v>
      </c>
      <c r="C676" s="62" t="s">
        <v>1537</v>
      </c>
      <c r="D676" s="61">
        <v>1.0</v>
      </c>
      <c r="E676" s="63">
        <v>46166.0</v>
      </c>
      <c r="F676" s="47"/>
    </row>
    <row r="677" ht="22.5" customHeight="1">
      <c r="A677" s="61" t="s">
        <v>763</v>
      </c>
      <c r="B677" s="62" t="s">
        <v>46</v>
      </c>
      <c r="C677" s="62" t="s">
        <v>1539</v>
      </c>
      <c r="D677" s="61">
        <v>1.0</v>
      </c>
      <c r="E677" s="63">
        <v>46166.0</v>
      </c>
      <c r="F677" s="47"/>
    </row>
    <row r="678" ht="22.5" customHeight="1">
      <c r="A678" s="61" t="s">
        <v>763</v>
      </c>
      <c r="B678" s="62" t="s">
        <v>46</v>
      </c>
      <c r="C678" s="62" t="s">
        <v>1540</v>
      </c>
      <c r="D678" s="61">
        <v>1.0</v>
      </c>
      <c r="E678" s="63">
        <v>46166.0</v>
      </c>
      <c r="F678" s="47"/>
    </row>
    <row r="679" ht="22.5" customHeight="1">
      <c r="A679" s="61" t="s">
        <v>763</v>
      </c>
      <c r="B679" s="62" t="s">
        <v>46</v>
      </c>
      <c r="C679" s="62" t="s">
        <v>1542</v>
      </c>
      <c r="D679" s="61">
        <v>1.0</v>
      </c>
      <c r="E679" s="63">
        <v>46166.0</v>
      </c>
      <c r="F679" s="47"/>
    </row>
    <row r="680" ht="22.5" customHeight="1">
      <c r="A680" s="61" t="s">
        <v>763</v>
      </c>
      <c r="B680" s="62" t="s">
        <v>46</v>
      </c>
      <c r="C680" s="62" t="s">
        <v>1543</v>
      </c>
      <c r="D680" s="61">
        <v>1.0</v>
      </c>
      <c r="E680" s="63">
        <v>46166.0</v>
      </c>
      <c r="F680" s="47"/>
    </row>
    <row r="681" ht="22.5" customHeight="1">
      <c r="A681" s="61" t="s">
        <v>1255</v>
      </c>
      <c r="B681" s="62" t="s">
        <v>75</v>
      </c>
      <c r="C681" s="62" t="s">
        <v>1260</v>
      </c>
      <c r="D681" s="61">
        <v>1.0</v>
      </c>
      <c r="E681" s="63">
        <v>46166.0</v>
      </c>
      <c r="F681" s="47"/>
    </row>
    <row r="682" ht="22.5" customHeight="1">
      <c r="A682" s="61" t="s">
        <v>1255</v>
      </c>
      <c r="B682" s="62" t="s">
        <v>75</v>
      </c>
      <c r="C682" s="62" t="s">
        <v>1256</v>
      </c>
      <c r="D682" s="61">
        <v>1.0</v>
      </c>
      <c r="E682" s="63">
        <v>46166.0</v>
      </c>
      <c r="F682" s="47"/>
    </row>
    <row r="683" ht="22.5" customHeight="1">
      <c r="A683" s="61" t="s">
        <v>1185</v>
      </c>
      <c r="B683" s="62" t="s">
        <v>22</v>
      </c>
      <c r="C683" s="62" t="s">
        <v>18</v>
      </c>
      <c r="D683" s="61">
        <v>1.0</v>
      </c>
      <c r="E683" s="63">
        <v>46166.0</v>
      </c>
      <c r="F683" s="47"/>
    </row>
    <row r="684" ht="22.5" customHeight="1">
      <c r="A684" s="61" t="s">
        <v>1255</v>
      </c>
      <c r="B684" s="62" t="s">
        <v>22</v>
      </c>
      <c r="C684" s="62" t="s">
        <v>1256</v>
      </c>
      <c r="D684" s="61">
        <v>1.0</v>
      </c>
      <c r="E684" s="63">
        <v>46166.0</v>
      </c>
      <c r="F684" s="47"/>
    </row>
    <row r="685" ht="22.5" customHeight="1">
      <c r="A685" s="61" t="s">
        <v>1185</v>
      </c>
      <c r="B685" s="62" t="s">
        <v>989</v>
      </c>
      <c r="C685" s="62" t="s">
        <v>18</v>
      </c>
      <c r="D685" s="61">
        <v>1.0</v>
      </c>
      <c r="E685" s="63">
        <v>46166.0</v>
      </c>
      <c r="F685" s="47"/>
    </row>
    <row r="686" ht="22.5" customHeight="1">
      <c r="A686" s="61" t="s">
        <v>1185</v>
      </c>
      <c r="B686" s="62" t="s">
        <v>989</v>
      </c>
      <c r="C686" s="62" t="s">
        <v>58</v>
      </c>
      <c r="D686" s="61">
        <v>1.0</v>
      </c>
      <c r="E686" s="63">
        <v>46166.0</v>
      </c>
      <c r="F686" s="47"/>
    </row>
    <row r="687" ht="22.5" customHeight="1">
      <c r="A687" s="61">
        <v>9091.0</v>
      </c>
      <c r="B687" s="62" t="s">
        <v>75</v>
      </c>
      <c r="C687" s="62" t="s">
        <v>58</v>
      </c>
      <c r="D687" s="61">
        <v>1.0</v>
      </c>
      <c r="E687" s="63">
        <v>46166.0</v>
      </c>
      <c r="F687" s="47"/>
    </row>
    <row r="688" ht="22.5" customHeight="1">
      <c r="A688" s="61" t="s">
        <v>1378</v>
      </c>
      <c r="B688" s="62">
        <v>37.0</v>
      </c>
      <c r="C688" s="62" t="s">
        <v>26</v>
      </c>
      <c r="D688" s="61">
        <v>1.0</v>
      </c>
      <c r="E688" s="63">
        <v>46166.0</v>
      </c>
      <c r="F688" s="47"/>
    </row>
    <row r="689" ht="22.5" customHeight="1">
      <c r="A689" s="61" t="s">
        <v>1378</v>
      </c>
      <c r="B689" s="62">
        <v>38.0</v>
      </c>
      <c r="C689" s="62" t="s">
        <v>47</v>
      </c>
      <c r="D689" s="61">
        <v>1.0</v>
      </c>
      <c r="E689" s="63">
        <v>46166.0</v>
      </c>
      <c r="F689" s="47"/>
    </row>
    <row r="690" ht="22.5" customHeight="1">
      <c r="A690" s="61">
        <v>8888.0</v>
      </c>
      <c r="B690" s="62" t="s">
        <v>22</v>
      </c>
      <c r="C690" s="62" t="s">
        <v>13</v>
      </c>
      <c r="D690" s="61">
        <v>1.0</v>
      </c>
      <c r="E690" s="63">
        <v>46166.0</v>
      </c>
      <c r="F690" s="47"/>
    </row>
    <row r="691" ht="22.5" customHeight="1">
      <c r="A691" s="61" t="s">
        <v>1255</v>
      </c>
      <c r="B691" s="62" t="s">
        <v>22</v>
      </c>
      <c r="C691" s="62" t="s">
        <v>1256</v>
      </c>
      <c r="D691" s="61">
        <v>1.0</v>
      </c>
      <c r="E691" s="63">
        <v>46166.0</v>
      </c>
      <c r="F691" s="47"/>
    </row>
    <row r="692" ht="22.5" customHeight="1">
      <c r="A692" s="61" t="s">
        <v>1471</v>
      </c>
      <c r="B692" s="62" t="s">
        <v>46</v>
      </c>
      <c r="C692" s="62" t="s">
        <v>198</v>
      </c>
      <c r="D692" s="61">
        <v>1.0</v>
      </c>
      <c r="E692" s="63">
        <v>46167.0</v>
      </c>
      <c r="F692" s="47"/>
    </row>
    <row r="693" ht="22.5" customHeight="1">
      <c r="A693" s="61" t="s">
        <v>1471</v>
      </c>
      <c r="B693" s="62" t="s">
        <v>46</v>
      </c>
      <c r="C693" s="62" t="s">
        <v>26</v>
      </c>
      <c r="D693" s="61">
        <v>1.0</v>
      </c>
      <c r="E693" s="63">
        <v>46168.0</v>
      </c>
      <c r="F693" s="47"/>
    </row>
    <row r="694" ht="22.5" customHeight="1">
      <c r="A694" s="61" t="s">
        <v>1471</v>
      </c>
      <c r="B694" s="62" t="s">
        <v>46</v>
      </c>
      <c r="C694" s="62" t="s">
        <v>338</v>
      </c>
      <c r="D694" s="61">
        <v>1.0</v>
      </c>
      <c r="E694" s="63">
        <v>46168.0</v>
      </c>
      <c r="F694" s="47"/>
    </row>
    <row r="695" ht="22.5" customHeight="1">
      <c r="A695" s="61" t="s">
        <v>1471</v>
      </c>
      <c r="B695" s="62" t="s">
        <v>46</v>
      </c>
      <c r="C695" s="62" t="s">
        <v>198</v>
      </c>
      <c r="D695" s="61">
        <v>1.0</v>
      </c>
      <c r="E695" s="63">
        <v>46168.0</v>
      </c>
      <c r="F695" s="47"/>
    </row>
    <row r="696" ht="22.5" customHeight="1">
      <c r="A696" s="61" t="s">
        <v>1623</v>
      </c>
      <c r="B696" s="62" t="s">
        <v>22</v>
      </c>
      <c r="C696" s="62" t="s">
        <v>13</v>
      </c>
      <c r="D696" s="61">
        <v>6.0</v>
      </c>
      <c r="E696" s="63">
        <v>46168.0</v>
      </c>
      <c r="F696" s="47"/>
    </row>
    <row r="697" ht="22.5" customHeight="1">
      <c r="A697" s="61" t="s">
        <v>1623</v>
      </c>
      <c r="B697" s="62" t="s">
        <v>75</v>
      </c>
      <c r="C697" s="62" t="s">
        <v>13</v>
      </c>
      <c r="D697" s="61">
        <v>5.0</v>
      </c>
      <c r="E697" s="63">
        <v>46168.0</v>
      </c>
      <c r="F697" s="47"/>
    </row>
    <row r="698" ht="22.5" customHeight="1">
      <c r="A698" s="61" t="s">
        <v>1623</v>
      </c>
      <c r="B698" s="62" t="s">
        <v>75</v>
      </c>
      <c r="C698" s="62" t="s">
        <v>23</v>
      </c>
      <c r="D698" s="61">
        <v>5.0</v>
      </c>
      <c r="E698" s="63">
        <v>46168.0</v>
      </c>
      <c r="F698" s="47"/>
    </row>
    <row r="699" ht="22.5" customHeight="1">
      <c r="A699" s="61">
        <v>92212.0</v>
      </c>
      <c r="B699" s="62" t="s">
        <v>46</v>
      </c>
      <c r="C699" s="62" t="s">
        <v>23</v>
      </c>
      <c r="D699" s="61">
        <v>3.0</v>
      </c>
      <c r="E699" s="63">
        <v>46168.0</v>
      </c>
      <c r="F699" s="47"/>
    </row>
    <row r="700" ht="22.5" customHeight="1">
      <c r="A700" s="61" t="s">
        <v>1637</v>
      </c>
      <c r="B700" s="62" t="s">
        <v>46</v>
      </c>
      <c r="C700" s="62" t="s">
        <v>26</v>
      </c>
      <c r="D700" s="61">
        <v>3.0</v>
      </c>
      <c r="E700" s="63">
        <v>46168.0</v>
      </c>
      <c r="F700" s="47"/>
    </row>
    <row r="701" ht="22.5" customHeight="1">
      <c r="A701" s="61">
        <v>92212.0</v>
      </c>
      <c r="B701" s="62" t="s">
        <v>46</v>
      </c>
      <c r="C701" s="62" t="s">
        <v>16</v>
      </c>
      <c r="D701" s="61">
        <v>3.0</v>
      </c>
      <c r="E701" s="63">
        <v>46168.0</v>
      </c>
      <c r="F701" s="47"/>
    </row>
    <row r="702" ht="22.5" customHeight="1">
      <c r="A702" s="61" t="s">
        <v>1620</v>
      </c>
      <c r="B702" s="62" t="s">
        <v>75</v>
      </c>
      <c r="C702" s="62" t="s">
        <v>18</v>
      </c>
      <c r="D702" s="61">
        <v>3.0</v>
      </c>
      <c r="E702" s="63">
        <v>46168.0</v>
      </c>
      <c r="F702" s="47"/>
    </row>
    <row r="703" ht="22.5" customHeight="1">
      <c r="A703" s="61" t="s">
        <v>1620</v>
      </c>
      <c r="B703" s="62" t="s">
        <v>12</v>
      </c>
      <c r="C703" s="62" t="s">
        <v>16</v>
      </c>
      <c r="D703" s="61">
        <v>3.0</v>
      </c>
      <c r="E703" s="63">
        <v>46168.0</v>
      </c>
      <c r="F703" s="47"/>
    </row>
    <row r="704" ht="22.5" customHeight="1">
      <c r="A704" s="61" t="s">
        <v>1637</v>
      </c>
      <c r="B704" s="62" t="s">
        <v>46</v>
      </c>
      <c r="C704" s="62" t="s">
        <v>13</v>
      </c>
      <c r="D704" s="61">
        <v>3.0</v>
      </c>
      <c r="E704" s="63">
        <v>46168.0</v>
      </c>
      <c r="F704" s="47"/>
    </row>
    <row r="705" ht="22.5" customHeight="1">
      <c r="A705" s="61" t="s">
        <v>1620</v>
      </c>
      <c r="B705" s="62" t="s">
        <v>12</v>
      </c>
      <c r="C705" s="62" t="s">
        <v>914</v>
      </c>
      <c r="D705" s="61">
        <v>2.0</v>
      </c>
      <c r="E705" s="63">
        <v>46168.0</v>
      </c>
      <c r="F705" s="47"/>
    </row>
    <row r="706" ht="22.5" customHeight="1">
      <c r="A706" s="61" t="s">
        <v>1185</v>
      </c>
      <c r="B706" s="62" t="s">
        <v>22</v>
      </c>
      <c r="C706" s="62" t="s">
        <v>23</v>
      </c>
      <c r="D706" s="61">
        <v>2.0</v>
      </c>
      <c r="E706" s="63">
        <v>46168.0</v>
      </c>
      <c r="F706" s="47"/>
    </row>
    <row r="707" ht="22.5" customHeight="1">
      <c r="A707" s="61" t="s">
        <v>517</v>
      </c>
      <c r="B707" s="62" t="s">
        <v>46</v>
      </c>
      <c r="C707" s="62" t="s">
        <v>338</v>
      </c>
      <c r="D707" s="61">
        <v>4.0</v>
      </c>
      <c r="E707" s="63">
        <v>46168.0</v>
      </c>
      <c r="F707" s="47"/>
    </row>
    <row r="708" ht="22.5" customHeight="1">
      <c r="A708" s="61" t="s">
        <v>1620</v>
      </c>
      <c r="B708" s="62" t="s">
        <v>12</v>
      </c>
      <c r="C708" s="62" t="s">
        <v>18</v>
      </c>
      <c r="D708" s="61">
        <v>2.0</v>
      </c>
      <c r="E708" s="63">
        <v>46168.0</v>
      </c>
      <c r="F708" s="47"/>
    </row>
    <row r="709" ht="22.5" customHeight="1">
      <c r="A709" s="61">
        <v>8684.0</v>
      </c>
      <c r="B709" s="62" t="s">
        <v>12</v>
      </c>
      <c r="C709" s="62" t="s">
        <v>13</v>
      </c>
      <c r="D709" s="61">
        <v>1.0</v>
      </c>
      <c r="E709" s="63">
        <v>46168.0</v>
      </c>
      <c r="F709" s="47"/>
    </row>
    <row r="710" ht="22.5" customHeight="1">
      <c r="A710" s="61">
        <v>8684.0</v>
      </c>
      <c r="B710" s="62" t="s">
        <v>22</v>
      </c>
      <c r="C710" s="62" t="s">
        <v>13</v>
      </c>
      <c r="D710" s="61">
        <v>1.0</v>
      </c>
      <c r="E710" s="63">
        <v>46168.0</v>
      </c>
      <c r="F710" s="47"/>
    </row>
    <row r="711" ht="22.5" customHeight="1">
      <c r="A711" s="61">
        <v>9425.0</v>
      </c>
      <c r="B711" s="62" t="s">
        <v>22</v>
      </c>
      <c r="C711" s="62" t="s">
        <v>58</v>
      </c>
      <c r="D711" s="61">
        <v>1.0</v>
      </c>
      <c r="E711" s="63">
        <v>46168.0</v>
      </c>
      <c r="F711" s="47"/>
    </row>
    <row r="712" ht="22.5" customHeight="1">
      <c r="A712" s="61" t="s">
        <v>1620</v>
      </c>
      <c r="B712" s="62" t="s">
        <v>1037</v>
      </c>
      <c r="C712" s="62" t="s">
        <v>23</v>
      </c>
      <c r="D712" s="61">
        <v>1.0</v>
      </c>
      <c r="E712" s="63">
        <v>46168.0</v>
      </c>
      <c r="F712" s="47"/>
    </row>
    <row r="713" ht="22.5" customHeight="1">
      <c r="A713" s="61">
        <v>92212.0</v>
      </c>
      <c r="B713" s="62" t="s">
        <v>22</v>
      </c>
      <c r="C713" s="62" t="s">
        <v>18</v>
      </c>
      <c r="D713" s="61">
        <v>1.0</v>
      </c>
      <c r="E713" s="63">
        <v>46168.0</v>
      </c>
      <c r="F713" s="47"/>
    </row>
    <row r="714" ht="22.5" customHeight="1">
      <c r="A714" s="61" t="s">
        <v>1620</v>
      </c>
      <c r="B714" s="62" t="s">
        <v>75</v>
      </c>
      <c r="C714" s="62" t="s">
        <v>198</v>
      </c>
      <c r="D714" s="61">
        <v>1.0</v>
      </c>
      <c r="E714" s="63">
        <v>46168.0</v>
      </c>
      <c r="F714" s="47"/>
    </row>
    <row r="715" ht="22.5" customHeight="1">
      <c r="A715" s="61" t="s">
        <v>1185</v>
      </c>
      <c r="B715" s="62" t="s">
        <v>1688</v>
      </c>
      <c r="C715" s="62" t="s">
        <v>23</v>
      </c>
      <c r="D715" s="61">
        <v>1.0</v>
      </c>
      <c r="E715" s="63">
        <v>46168.0</v>
      </c>
      <c r="F715" s="47"/>
    </row>
    <row r="716" ht="22.5" customHeight="1">
      <c r="A716" s="61" t="s">
        <v>1185</v>
      </c>
      <c r="B716" s="62" t="s">
        <v>1688</v>
      </c>
      <c r="C716" s="62" t="s">
        <v>18</v>
      </c>
      <c r="D716" s="61">
        <v>1.0</v>
      </c>
      <c r="E716" s="63">
        <v>46168.0</v>
      </c>
      <c r="F716" s="47"/>
    </row>
    <row r="717" ht="22.5" customHeight="1">
      <c r="A717" s="61" t="s">
        <v>1620</v>
      </c>
      <c r="B717" s="62" t="s">
        <v>22</v>
      </c>
      <c r="C717" s="62" t="s">
        <v>23</v>
      </c>
      <c r="D717" s="61">
        <v>1.0</v>
      </c>
      <c r="E717" s="63">
        <v>46168.0</v>
      </c>
      <c r="F717" s="47"/>
    </row>
    <row r="718" ht="22.5" customHeight="1">
      <c r="A718" s="61" t="s">
        <v>1620</v>
      </c>
      <c r="B718" s="62" t="s">
        <v>75</v>
      </c>
      <c r="C718" s="62" t="s">
        <v>23</v>
      </c>
      <c r="D718" s="61">
        <v>1.0</v>
      </c>
      <c r="E718" s="63">
        <v>46168.0</v>
      </c>
      <c r="F718" s="47"/>
    </row>
    <row r="719" ht="22.5" customHeight="1">
      <c r="A719" s="61" t="s">
        <v>1637</v>
      </c>
      <c r="B719" s="62" t="s">
        <v>46</v>
      </c>
      <c r="C719" s="62" t="s">
        <v>18</v>
      </c>
      <c r="D719" s="61">
        <v>1.0</v>
      </c>
      <c r="E719" s="63">
        <v>46168.0</v>
      </c>
      <c r="F719" s="47"/>
    </row>
    <row r="720" ht="22.5" customHeight="1">
      <c r="A720" s="61" t="s">
        <v>1185</v>
      </c>
      <c r="B720" s="62" t="s">
        <v>22</v>
      </c>
      <c r="C720" s="62" t="s">
        <v>58</v>
      </c>
      <c r="D720" s="61">
        <v>1.0</v>
      </c>
      <c r="E720" s="63">
        <v>46168.0</v>
      </c>
      <c r="F720" s="47"/>
    </row>
    <row r="721" ht="22.5" customHeight="1">
      <c r="A721" s="61" t="s">
        <v>763</v>
      </c>
      <c r="B721" s="62" t="s">
        <v>46</v>
      </c>
      <c r="C721" s="62" t="s">
        <v>1705</v>
      </c>
      <c r="D721" s="61">
        <v>1.0</v>
      </c>
      <c r="E721" s="63">
        <v>46168.0</v>
      </c>
      <c r="F721" s="47"/>
    </row>
    <row r="722" ht="22.5" customHeight="1">
      <c r="A722" s="61" t="s">
        <v>1620</v>
      </c>
      <c r="B722" s="62" t="s">
        <v>75</v>
      </c>
      <c r="C722" s="62" t="s">
        <v>914</v>
      </c>
      <c r="D722" s="61">
        <v>1.0</v>
      </c>
      <c r="E722" s="63">
        <v>46168.0</v>
      </c>
      <c r="F722" s="47"/>
    </row>
    <row r="723" ht="22.5" customHeight="1">
      <c r="A723" s="61" t="s">
        <v>1620</v>
      </c>
      <c r="B723" s="62" t="s">
        <v>989</v>
      </c>
      <c r="C723" s="62" t="s">
        <v>23</v>
      </c>
      <c r="D723" s="61">
        <v>1.0</v>
      </c>
      <c r="E723" s="63">
        <v>46168.0</v>
      </c>
      <c r="F723" s="47"/>
    </row>
    <row r="724" ht="22.5" customHeight="1">
      <c r="A724" s="61" t="s">
        <v>1620</v>
      </c>
      <c r="B724" s="62" t="s">
        <v>75</v>
      </c>
      <c r="C724" s="62" t="s">
        <v>47</v>
      </c>
      <c r="D724" s="61">
        <v>1.0</v>
      </c>
      <c r="E724" s="63">
        <v>46168.0</v>
      </c>
      <c r="F724" s="47"/>
    </row>
    <row r="725" ht="22.5" customHeight="1">
      <c r="A725" s="61" t="s">
        <v>1637</v>
      </c>
      <c r="B725" s="62" t="s">
        <v>46</v>
      </c>
      <c r="C725" s="62" t="s">
        <v>914</v>
      </c>
      <c r="D725" s="61">
        <v>1.0</v>
      </c>
      <c r="E725" s="63">
        <v>46168.0</v>
      </c>
      <c r="F725" s="47"/>
    </row>
    <row r="726" ht="22.5" customHeight="1">
      <c r="A726" s="61" t="s">
        <v>1185</v>
      </c>
      <c r="B726" s="62" t="s">
        <v>22</v>
      </c>
      <c r="C726" s="62" t="s">
        <v>18</v>
      </c>
      <c r="D726" s="61">
        <v>1.0</v>
      </c>
      <c r="E726" s="63">
        <v>46168.0</v>
      </c>
      <c r="F726" s="47"/>
    </row>
    <row r="727" ht="22.5" customHeight="1">
      <c r="A727" s="61" t="s">
        <v>763</v>
      </c>
      <c r="B727" s="62" t="s">
        <v>46</v>
      </c>
      <c r="C727" s="62" t="s">
        <v>1152</v>
      </c>
      <c r="D727" s="61">
        <v>1.0</v>
      </c>
      <c r="E727" s="63">
        <v>46168.0</v>
      </c>
      <c r="F727" s="47"/>
    </row>
    <row r="728" ht="22.5" customHeight="1">
      <c r="A728" s="61">
        <v>1653.0</v>
      </c>
      <c r="B728" s="62" t="s">
        <v>12</v>
      </c>
      <c r="C728" s="62" t="s">
        <v>13</v>
      </c>
      <c r="D728" s="61">
        <v>7.0</v>
      </c>
      <c r="E728" s="63">
        <v>46168.0</v>
      </c>
      <c r="F728" s="47"/>
    </row>
    <row r="729" ht="22.5" customHeight="1">
      <c r="A729" s="61">
        <v>1653.0</v>
      </c>
      <c r="B729" s="62" t="s">
        <v>22</v>
      </c>
      <c r="C729" s="62" t="s">
        <v>13</v>
      </c>
      <c r="D729" s="61">
        <v>7.0</v>
      </c>
      <c r="E729" s="63">
        <v>46168.0</v>
      </c>
      <c r="F729" s="47"/>
    </row>
    <row r="730" ht="22.5" customHeight="1">
      <c r="A730" s="61">
        <v>6612.0</v>
      </c>
      <c r="B730" s="62" t="s">
        <v>46</v>
      </c>
      <c r="C730" s="62">
        <v>2.0</v>
      </c>
      <c r="D730" s="61">
        <v>1.0</v>
      </c>
      <c r="E730" s="63">
        <v>46170.0</v>
      </c>
      <c r="F730" s="47"/>
    </row>
    <row r="731" ht="22.5" customHeight="1">
      <c r="A731" s="61">
        <v>6612.0</v>
      </c>
      <c r="B731" s="62" t="s">
        <v>46</v>
      </c>
      <c r="C731" s="62">
        <v>9.0</v>
      </c>
      <c r="D731" s="61">
        <v>1.0</v>
      </c>
      <c r="E731" s="63">
        <v>46170.0</v>
      </c>
      <c r="F731" s="47"/>
    </row>
    <row r="732" ht="22.5" customHeight="1">
      <c r="A732" s="61" t="s">
        <v>1471</v>
      </c>
      <c r="B732" s="62" t="s">
        <v>46</v>
      </c>
      <c r="C732" s="62" t="s">
        <v>338</v>
      </c>
      <c r="D732" s="61">
        <v>1.0</v>
      </c>
      <c r="E732" s="63">
        <v>46173.0</v>
      </c>
      <c r="F732" s="47"/>
    </row>
    <row r="733" ht="22.5" customHeight="1">
      <c r="A733" s="61" t="s">
        <v>1524</v>
      </c>
      <c r="B733" s="62" t="s">
        <v>46</v>
      </c>
      <c r="C733" s="62" t="s">
        <v>198</v>
      </c>
      <c r="D733" s="61">
        <v>1.0</v>
      </c>
      <c r="E733" s="63">
        <v>46174.0</v>
      </c>
      <c r="F733" s="47"/>
    </row>
    <row r="734" ht="22.5" customHeight="1">
      <c r="A734" s="61" t="s">
        <v>2357</v>
      </c>
      <c r="B734" s="62">
        <v>36.0</v>
      </c>
      <c r="C734" s="62" t="s">
        <v>26</v>
      </c>
      <c r="D734" s="61">
        <v>1.0</v>
      </c>
      <c r="E734" s="63">
        <v>46175.0</v>
      </c>
      <c r="F734" s="47"/>
    </row>
    <row r="735" ht="22.5" customHeight="1">
      <c r="A735" s="61" t="s">
        <v>959</v>
      </c>
      <c r="B735" s="62" t="s">
        <v>12</v>
      </c>
      <c r="C735" s="62" t="s">
        <v>18</v>
      </c>
      <c r="D735" s="61">
        <v>1.0</v>
      </c>
      <c r="E735" s="63">
        <v>46175.0</v>
      </c>
      <c r="F735" s="47"/>
    </row>
    <row r="736" ht="22.5" customHeight="1">
      <c r="A736" s="61">
        <v>5670.0</v>
      </c>
      <c r="B736" s="62" t="s">
        <v>12</v>
      </c>
      <c r="C736" s="62" t="s">
        <v>13</v>
      </c>
      <c r="D736" s="61">
        <v>7.0</v>
      </c>
      <c r="E736" s="63">
        <v>46176.0</v>
      </c>
      <c r="F736" s="47"/>
    </row>
    <row r="737" ht="22.5" customHeight="1">
      <c r="A737" s="61">
        <v>5670.0</v>
      </c>
      <c r="B737" s="62" t="s">
        <v>22</v>
      </c>
      <c r="C737" s="62" t="s">
        <v>13</v>
      </c>
      <c r="D737" s="61">
        <v>7.0</v>
      </c>
      <c r="E737" s="63">
        <v>46176.0</v>
      </c>
      <c r="F737" s="47"/>
    </row>
    <row r="738" ht="22.5" customHeight="1">
      <c r="A738" s="61" t="s">
        <v>1204</v>
      </c>
      <c r="B738" s="62" t="s">
        <v>75</v>
      </c>
      <c r="C738" s="62" t="s">
        <v>47</v>
      </c>
      <c r="D738" s="61">
        <v>2.0</v>
      </c>
      <c r="E738" s="63">
        <v>46176.0</v>
      </c>
      <c r="F738" s="47"/>
    </row>
    <row r="739" ht="22.5" customHeight="1">
      <c r="A739" s="61" t="s">
        <v>1204</v>
      </c>
      <c r="B739" s="62" t="s">
        <v>75</v>
      </c>
      <c r="C739" s="62" t="s">
        <v>18</v>
      </c>
      <c r="D739" s="61">
        <v>2.0</v>
      </c>
      <c r="E739" s="63">
        <v>46176.0</v>
      </c>
      <c r="F739" s="47"/>
    </row>
    <row r="740" ht="22.5" customHeight="1">
      <c r="A740" s="61">
        <v>9064.0</v>
      </c>
      <c r="B740" s="62" t="s">
        <v>12</v>
      </c>
      <c r="C740" s="62" t="s">
        <v>18</v>
      </c>
      <c r="D740" s="61">
        <v>4.0</v>
      </c>
      <c r="E740" s="63">
        <v>46176.0</v>
      </c>
      <c r="F740" s="47"/>
    </row>
    <row r="741" ht="22.5" customHeight="1">
      <c r="A741" s="61" t="s">
        <v>1672</v>
      </c>
      <c r="B741" s="62" t="s">
        <v>46</v>
      </c>
      <c r="C741" s="62" t="s">
        <v>47</v>
      </c>
      <c r="D741" s="61">
        <v>1.0</v>
      </c>
      <c r="E741" s="63">
        <v>46176.0</v>
      </c>
      <c r="F741" s="47"/>
    </row>
    <row r="742" ht="22.5" customHeight="1">
      <c r="A742" s="61">
        <v>6612.0</v>
      </c>
      <c r="B742" s="62" t="s">
        <v>46</v>
      </c>
      <c r="C742" s="62">
        <v>4.0</v>
      </c>
      <c r="D742" s="61">
        <v>4.0</v>
      </c>
      <c r="E742" s="63">
        <v>46176.0</v>
      </c>
      <c r="F742" s="47"/>
    </row>
    <row r="743" ht="22.5" customHeight="1">
      <c r="A743" s="61">
        <v>6612.0</v>
      </c>
      <c r="B743" s="62" t="s">
        <v>46</v>
      </c>
      <c r="C743" s="62">
        <v>5.0</v>
      </c>
      <c r="D743" s="61">
        <v>12.0</v>
      </c>
      <c r="E743" s="63">
        <v>46176.0</v>
      </c>
      <c r="F743" s="47"/>
    </row>
    <row r="744" ht="22.5" customHeight="1">
      <c r="A744" s="61">
        <v>9408.0</v>
      </c>
      <c r="B744" s="62" t="s">
        <v>22</v>
      </c>
      <c r="C744" s="62" t="s">
        <v>23</v>
      </c>
      <c r="D744" s="61">
        <v>3.0</v>
      </c>
      <c r="E744" s="63">
        <v>46176.0</v>
      </c>
      <c r="F744" s="47"/>
    </row>
    <row r="745" ht="22.5" customHeight="1">
      <c r="A745" s="61">
        <v>9408.0</v>
      </c>
      <c r="B745" s="62" t="s">
        <v>12</v>
      </c>
      <c r="C745" s="62" t="s">
        <v>23</v>
      </c>
      <c r="D745" s="61">
        <v>3.0</v>
      </c>
      <c r="E745" s="63">
        <v>46176.0</v>
      </c>
      <c r="F745" s="47"/>
    </row>
    <row r="746" ht="22.5" customHeight="1">
      <c r="A746" s="61">
        <v>6612.0</v>
      </c>
      <c r="B746" s="62" t="s">
        <v>46</v>
      </c>
      <c r="C746" s="62">
        <v>3.0</v>
      </c>
      <c r="D746" s="61">
        <v>2.0</v>
      </c>
      <c r="E746" s="63">
        <v>46176.0</v>
      </c>
      <c r="F746" s="47"/>
    </row>
    <row r="747" ht="22.5" customHeight="1">
      <c r="A747" s="61" t="s">
        <v>1200</v>
      </c>
      <c r="B747" s="62" t="s">
        <v>75</v>
      </c>
      <c r="C747" s="62" t="s">
        <v>47</v>
      </c>
      <c r="D747" s="61">
        <v>3.0</v>
      </c>
      <c r="E747" s="63">
        <v>46176.0</v>
      </c>
      <c r="F747" s="47"/>
    </row>
    <row r="748" ht="22.5" customHeight="1">
      <c r="A748" s="61">
        <v>6612.0</v>
      </c>
      <c r="B748" s="62" t="s">
        <v>46</v>
      </c>
      <c r="C748" s="62">
        <v>2.0</v>
      </c>
      <c r="D748" s="61">
        <v>4.0</v>
      </c>
      <c r="E748" s="63">
        <v>46176.0</v>
      </c>
      <c r="F748" s="47"/>
    </row>
    <row r="749" ht="22.5" customHeight="1">
      <c r="A749" s="61" t="s">
        <v>959</v>
      </c>
      <c r="B749" s="62" t="s">
        <v>22</v>
      </c>
      <c r="C749" s="62" t="s">
        <v>18</v>
      </c>
      <c r="D749" s="61">
        <v>2.0</v>
      </c>
      <c r="E749" s="63">
        <v>46176.0</v>
      </c>
      <c r="F749" s="47"/>
    </row>
    <row r="750" ht="22.5" customHeight="1">
      <c r="A750" s="61">
        <v>9064.0</v>
      </c>
      <c r="B750" s="62" t="s">
        <v>22</v>
      </c>
      <c r="C750" s="62" t="s">
        <v>18</v>
      </c>
      <c r="D750" s="61">
        <v>2.0</v>
      </c>
      <c r="E750" s="63">
        <v>46176.0</v>
      </c>
      <c r="F750" s="47"/>
    </row>
    <row r="751" ht="22.5" customHeight="1">
      <c r="A751" s="61" t="s">
        <v>1202</v>
      </c>
      <c r="B751" s="62" t="s">
        <v>22</v>
      </c>
      <c r="C751" s="62" t="s">
        <v>13</v>
      </c>
      <c r="D751" s="61">
        <v>2.0</v>
      </c>
      <c r="E751" s="63">
        <v>46176.0</v>
      </c>
      <c r="F751" s="47"/>
    </row>
    <row r="752" ht="22.5" customHeight="1">
      <c r="A752" s="61" t="s">
        <v>763</v>
      </c>
      <c r="B752" s="62" t="s">
        <v>46</v>
      </c>
      <c r="C752" s="62" t="s">
        <v>2358</v>
      </c>
      <c r="D752" s="61">
        <v>1.0</v>
      </c>
      <c r="E752" s="63">
        <v>46176.0</v>
      </c>
      <c r="F752" s="47"/>
    </row>
    <row r="753" ht="22.5" customHeight="1">
      <c r="A753" s="61">
        <v>1653.0</v>
      </c>
      <c r="B753" s="62" t="s">
        <v>22</v>
      </c>
      <c r="C753" s="62" t="s">
        <v>13</v>
      </c>
      <c r="D753" s="61">
        <v>3.0</v>
      </c>
      <c r="E753" s="63">
        <v>46176.0</v>
      </c>
      <c r="F753" s="47"/>
    </row>
    <row r="754" ht="22.5" customHeight="1">
      <c r="A754" s="61">
        <v>1639.0</v>
      </c>
      <c r="B754" s="62" t="s">
        <v>12</v>
      </c>
      <c r="C754" s="62" t="s">
        <v>770</v>
      </c>
      <c r="D754" s="61">
        <v>3.0</v>
      </c>
      <c r="E754" s="63">
        <v>46176.0</v>
      </c>
      <c r="F754" s="47"/>
    </row>
    <row r="755" ht="22.5" customHeight="1">
      <c r="A755" s="61">
        <v>9094.0</v>
      </c>
      <c r="B755" s="62" t="s">
        <v>22</v>
      </c>
      <c r="C755" s="62" t="s">
        <v>58</v>
      </c>
      <c r="D755" s="61">
        <v>1.0</v>
      </c>
      <c r="E755" s="63">
        <v>46176.0</v>
      </c>
      <c r="F755" s="47"/>
    </row>
    <row r="756" ht="22.5" customHeight="1">
      <c r="A756" s="61">
        <v>9094.0</v>
      </c>
      <c r="B756" s="62" t="s">
        <v>22</v>
      </c>
      <c r="C756" s="62" t="s">
        <v>16</v>
      </c>
      <c r="D756" s="61">
        <v>1.0</v>
      </c>
      <c r="E756" s="63">
        <v>46176.0</v>
      </c>
      <c r="F756" s="47"/>
    </row>
    <row r="757" ht="22.5" customHeight="1">
      <c r="A757" s="61">
        <v>6612.0</v>
      </c>
      <c r="B757" s="62" t="s">
        <v>46</v>
      </c>
      <c r="C757" s="62">
        <v>1.0</v>
      </c>
      <c r="D757" s="61">
        <v>1.0</v>
      </c>
      <c r="E757" s="63">
        <v>46176.0</v>
      </c>
      <c r="F757" s="47"/>
    </row>
    <row r="758" ht="22.5" customHeight="1">
      <c r="A758" s="61">
        <v>6612.0</v>
      </c>
      <c r="B758" s="62" t="s">
        <v>46</v>
      </c>
      <c r="C758" s="62">
        <v>8.0</v>
      </c>
      <c r="D758" s="61">
        <v>1.0</v>
      </c>
      <c r="E758" s="63">
        <v>46176.0</v>
      </c>
      <c r="F758" s="47"/>
    </row>
    <row r="759" ht="22.5" customHeight="1">
      <c r="A759" s="61" t="s">
        <v>1202</v>
      </c>
      <c r="B759" s="62" t="s">
        <v>22</v>
      </c>
      <c r="C759" s="62" t="s">
        <v>47</v>
      </c>
      <c r="D759" s="61">
        <v>1.0</v>
      </c>
      <c r="E759" s="63">
        <v>46176.0</v>
      </c>
      <c r="F759" s="47"/>
    </row>
    <row r="760" ht="22.5" customHeight="1">
      <c r="A760" s="61" t="s">
        <v>1202</v>
      </c>
      <c r="B760" s="62" t="s">
        <v>75</v>
      </c>
      <c r="C760" s="62" t="s">
        <v>47</v>
      </c>
      <c r="D760" s="61">
        <v>2.0</v>
      </c>
      <c r="E760" s="63">
        <v>46176.0</v>
      </c>
      <c r="F760" s="47"/>
    </row>
    <row r="761" ht="22.5" customHeight="1">
      <c r="A761" s="61" t="s">
        <v>1200</v>
      </c>
      <c r="B761" s="62" t="s">
        <v>22</v>
      </c>
      <c r="C761" s="62" t="s">
        <v>18</v>
      </c>
      <c r="D761" s="61">
        <v>1.0</v>
      </c>
      <c r="E761" s="63">
        <v>46176.0</v>
      </c>
      <c r="F761" s="47"/>
    </row>
    <row r="762" ht="22.5" customHeight="1">
      <c r="A762" s="61" t="s">
        <v>1200</v>
      </c>
      <c r="B762" s="62" t="s">
        <v>22</v>
      </c>
      <c r="C762" s="62" t="s">
        <v>47</v>
      </c>
      <c r="D762" s="61">
        <v>2.0</v>
      </c>
      <c r="E762" s="63">
        <v>46176.0</v>
      </c>
      <c r="F762" s="47"/>
    </row>
    <row r="763" ht="22.5" customHeight="1">
      <c r="A763" s="61" t="s">
        <v>1204</v>
      </c>
      <c r="B763" s="62" t="s">
        <v>22</v>
      </c>
      <c r="C763" s="62" t="s">
        <v>23</v>
      </c>
      <c r="D763" s="61">
        <v>1.0</v>
      </c>
      <c r="E763" s="63">
        <v>46176.0</v>
      </c>
      <c r="F763" s="47"/>
    </row>
    <row r="764" ht="22.5" customHeight="1">
      <c r="A764" s="61" t="s">
        <v>1204</v>
      </c>
      <c r="B764" s="62" t="s">
        <v>22</v>
      </c>
      <c r="C764" s="62" t="s">
        <v>13</v>
      </c>
      <c r="D764" s="61">
        <v>1.0</v>
      </c>
      <c r="E764" s="63">
        <v>46176.0</v>
      </c>
      <c r="F764" s="47"/>
    </row>
    <row r="765" ht="22.5" customHeight="1">
      <c r="A765" s="61" t="s">
        <v>1204</v>
      </c>
      <c r="B765" s="62" t="s">
        <v>75</v>
      </c>
      <c r="C765" s="62" t="s">
        <v>23</v>
      </c>
      <c r="D765" s="61">
        <v>1.0</v>
      </c>
      <c r="E765" s="63">
        <v>46176.0</v>
      </c>
      <c r="F765" s="47"/>
    </row>
    <row r="766" ht="22.5" customHeight="1">
      <c r="A766" s="61">
        <v>1653.0</v>
      </c>
      <c r="B766" s="62" t="s">
        <v>12</v>
      </c>
      <c r="C766" s="62" t="s">
        <v>13</v>
      </c>
      <c r="D766" s="61">
        <v>2.0</v>
      </c>
      <c r="E766" s="63">
        <v>46176.0</v>
      </c>
      <c r="F766" s="47"/>
    </row>
    <row r="767" ht="22.5" customHeight="1">
      <c r="A767" s="61">
        <v>1639.0</v>
      </c>
      <c r="B767" s="62" t="s">
        <v>22</v>
      </c>
      <c r="C767" s="62" t="s">
        <v>770</v>
      </c>
      <c r="D767" s="61">
        <v>2.0</v>
      </c>
      <c r="E767" s="63">
        <v>46176.0</v>
      </c>
      <c r="F767" s="47"/>
    </row>
    <row r="768" ht="22.5" customHeight="1">
      <c r="A768" s="61" t="s">
        <v>763</v>
      </c>
      <c r="B768" s="62" t="s">
        <v>46</v>
      </c>
      <c r="C768" s="62" t="s">
        <v>1842</v>
      </c>
      <c r="D768" s="61">
        <v>1.0</v>
      </c>
      <c r="E768" s="63">
        <v>46176.0</v>
      </c>
      <c r="F768" s="47"/>
    </row>
    <row r="769" ht="22.5" customHeight="1">
      <c r="A769" s="61" t="s">
        <v>763</v>
      </c>
      <c r="B769" s="62" t="s">
        <v>46</v>
      </c>
      <c r="C769" s="62" t="s">
        <v>2359</v>
      </c>
      <c r="D769" s="61">
        <v>1.0</v>
      </c>
      <c r="E769" s="63">
        <v>46176.0</v>
      </c>
      <c r="F769" s="47"/>
    </row>
    <row r="770" ht="22.5" customHeight="1">
      <c r="A770" s="61" t="s">
        <v>763</v>
      </c>
      <c r="B770" s="62" t="s">
        <v>46</v>
      </c>
      <c r="C770" s="62" t="s">
        <v>1847</v>
      </c>
      <c r="D770" s="61">
        <v>2.0</v>
      </c>
      <c r="E770" s="63">
        <v>46176.0</v>
      </c>
      <c r="F770" s="47"/>
    </row>
    <row r="771" ht="22.5" customHeight="1">
      <c r="A771" s="61" t="s">
        <v>763</v>
      </c>
      <c r="B771" s="62" t="s">
        <v>46</v>
      </c>
      <c r="C771" s="62" t="s">
        <v>2129</v>
      </c>
      <c r="D771" s="61">
        <v>1.0</v>
      </c>
      <c r="E771" s="63">
        <v>46176.0</v>
      </c>
      <c r="F771" s="47"/>
    </row>
    <row r="772" ht="22.5" customHeight="1">
      <c r="A772" s="61" t="s">
        <v>763</v>
      </c>
      <c r="B772" s="62" t="s">
        <v>46</v>
      </c>
      <c r="C772" s="62" t="s">
        <v>2355</v>
      </c>
      <c r="D772" s="61">
        <v>1.0</v>
      </c>
      <c r="E772" s="63">
        <v>46176.0</v>
      </c>
      <c r="F772" s="47"/>
    </row>
    <row r="773" ht="22.5" customHeight="1">
      <c r="A773" s="61">
        <v>6612.0</v>
      </c>
      <c r="B773" s="62" t="s">
        <v>46</v>
      </c>
      <c r="C773" s="62">
        <v>6.0</v>
      </c>
      <c r="D773" s="61">
        <v>1.0</v>
      </c>
      <c r="E773" s="63">
        <v>46176.0</v>
      </c>
      <c r="F773" s="47"/>
    </row>
    <row r="774" ht="22.5" customHeight="1">
      <c r="A774" s="61">
        <v>6612.0</v>
      </c>
      <c r="B774" s="62" t="s">
        <v>46</v>
      </c>
      <c r="C774" s="62">
        <v>9.0</v>
      </c>
      <c r="D774" s="61">
        <v>4.0</v>
      </c>
      <c r="E774" s="63">
        <v>46176.0</v>
      </c>
      <c r="F774" s="47"/>
    </row>
    <row r="775" ht="22.5" customHeight="1">
      <c r="A775" s="61">
        <v>9094.0</v>
      </c>
      <c r="B775" s="62" t="s">
        <v>22</v>
      </c>
      <c r="C775" s="62" t="s">
        <v>58</v>
      </c>
      <c r="D775" s="61">
        <v>1.0</v>
      </c>
      <c r="E775" s="63">
        <v>46176.0</v>
      </c>
      <c r="F775" s="47"/>
    </row>
    <row r="776" ht="22.5" customHeight="1">
      <c r="A776" s="61">
        <v>9094.0</v>
      </c>
      <c r="B776" s="62" t="s">
        <v>22</v>
      </c>
      <c r="C776" s="62" t="s">
        <v>16</v>
      </c>
      <c r="D776" s="61">
        <v>1.0</v>
      </c>
      <c r="E776" s="63">
        <v>46176.0</v>
      </c>
      <c r="F776" s="47"/>
    </row>
    <row r="777" ht="22.5" customHeight="1">
      <c r="A777" s="61">
        <v>6612.0</v>
      </c>
      <c r="B777" s="62" t="s">
        <v>46</v>
      </c>
      <c r="C777" s="62">
        <v>2.0</v>
      </c>
      <c r="D777" s="61">
        <v>1.0</v>
      </c>
      <c r="E777" s="63">
        <v>46176.0</v>
      </c>
      <c r="F777" s="47"/>
    </row>
    <row r="778" ht="22.5" customHeight="1">
      <c r="A778" s="61" t="s">
        <v>763</v>
      </c>
      <c r="B778" s="62" t="s">
        <v>46</v>
      </c>
      <c r="C778" s="62" t="s">
        <v>1163</v>
      </c>
      <c r="D778" s="61">
        <v>1.0</v>
      </c>
      <c r="E778" s="63">
        <v>46176.0</v>
      </c>
      <c r="F778" s="47"/>
    </row>
    <row r="779" ht="22.5" customHeight="1">
      <c r="A779" s="61" t="s">
        <v>1255</v>
      </c>
      <c r="B779" s="62" t="s">
        <v>989</v>
      </c>
      <c r="C779" s="62" t="s">
        <v>1260</v>
      </c>
      <c r="D779" s="61">
        <v>1.0</v>
      </c>
      <c r="E779" s="63">
        <v>46176.0</v>
      </c>
      <c r="F779" s="47"/>
    </row>
    <row r="780" ht="22.5" customHeight="1">
      <c r="A780" s="61" t="s">
        <v>1294</v>
      </c>
      <c r="B780" s="62">
        <v>36.0</v>
      </c>
      <c r="C780" s="62" t="s">
        <v>26</v>
      </c>
      <c r="D780" s="61">
        <v>1.0</v>
      </c>
      <c r="E780" s="63">
        <v>46178.0</v>
      </c>
      <c r="F780" s="47"/>
    </row>
    <row r="781" ht="22.5" customHeight="1">
      <c r="A781" s="61" t="s">
        <v>1233</v>
      </c>
      <c r="B781" s="62" t="s">
        <v>46</v>
      </c>
      <c r="C781" s="62" t="s">
        <v>13</v>
      </c>
      <c r="D781" s="61">
        <v>10.0</v>
      </c>
      <c r="E781" s="63">
        <v>46182.0</v>
      </c>
      <c r="F781" s="47"/>
    </row>
    <row r="782" ht="22.5" customHeight="1">
      <c r="A782" s="61" t="s">
        <v>441</v>
      </c>
      <c r="B782" s="62" t="s">
        <v>46</v>
      </c>
      <c r="C782" s="62" t="s">
        <v>47</v>
      </c>
      <c r="D782" s="61">
        <v>7.0</v>
      </c>
      <c r="E782" s="63">
        <v>46182.0</v>
      </c>
      <c r="F782" s="47"/>
    </row>
    <row r="783" ht="22.5" customHeight="1">
      <c r="A783" s="61" t="s">
        <v>441</v>
      </c>
      <c r="B783" s="62" t="s">
        <v>46</v>
      </c>
      <c r="C783" s="62" t="s">
        <v>447</v>
      </c>
      <c r="D783" s="61">
        <v>4.0</v>
      </c>
      <c r="E783" s="63">
        <v>46182.0</v>
      </c>
      <c r="F783" s="47"/>
    </row>
    <row r="784" ht="22.5" customHeight="1">
      <c r="A784" s="61" t="s">
        <v>441</v>
      </c>
      <c r="B784" s="62" t="s">
        <v>46</v>
      </c>
      <c r="C784" s="62" t="s">
        <v>16</v>
      </c>
      <c r="D784" s="61">
        <v>4.0</v>
      </c>
      <c r="E784" s="63">
        <v>46182.0</v>
      </c>
      <c r="F784" s="47"/>
    </row>
    <row r="785" ht="22.5" customHeight="1">
      <c r="A785" s="61" t="s">
        <v>441</v>
      </c>
      <c r="B785" s="62" t="s">
        <v>46</v>
      </c>
      <c r="C785" s="62" t="s">
        <v>58</v>
      </c>
      <c r="D785" s="61">
        <v>5.0</v>
      </c>
      <c r="E785" s="63">
        <v>46182.0</v>
      </c>
      <c r="F785" s="47"/>
    </row>
    <row r="786" ht="22.5" customHeight="1">
      <c r="A786" s="61" t="s">
        <v>441</v>
      </c>
      <c r="B786" s="62" t="s">
        <v>46</v>
      </c>
      <c r="C786" s="62" t="s">
        <v>26</v>
      </c>
      <c r="D786" s="61">
        <v>4.0</v>
      </c>
      <c r="E786" s="63">
        <v>46182.0</v>
      </c>
      <c r="F786" s="47"/>
    </row>
    <row r="787" ht="22.5" customHeight="1">
      <c r="A787" s="61" t="s">
        <v>1772</v>
      </c>
      <c r="B787" s="62">
        <v>37.0</v>
      </c>
      <c r="C787" s="62" t="s">
        <v>18</v>
      </c>
      <c r="D787" s="61">
        <v>4.0</v>
      </c>
      <c r="E787" s="63">
        <v>46182.0</v>
      </c>
      <c r="F787" s="47"/>
    </row>
    <row r="788" ht="22.5" customHeight="1">
      <c r="A788" s="61">
        <v>92212.0</v>
      </c>
      <c r="B788" s="62" t="s">
        <v>46</v>
      </c>
      <c r="C788" s="62" t="s">
        <v>16</v>
      </c>
      <c r="D788" s="61">
        <v>3.0</v>
      </c>
      <c r="E788" s="63">
        <v>46182.0</v>
      </c>
      <c r="F788" s="47"/>
    </row>
    <row r="789" ht="22.5" customHeight="1">
      <c r="A789" s="61" t="s">
        <v>1772</v>
      </c>
      <c r="B789" s="62">
        <v>38.0</v>
      </c>
      <c r="C789" s="62" t="s">
        <v>26</v>
      </c>
      <c r="D789" s="61">
        <v>3.0</v>
      </c>
      <c r="E789" s="63">
        <v>46182.0</v>
      </c>
      <c r="F789" s="47"/>
    </row>
    <row r="790" ht="22.5" customHeight="1">
      <c r="A790" s="61" t="s">
        <v>1772</v>
      </c>
      <c r="B790" s="62">
        <v>38.0</v>
      </c>
      <c r="C790" s="62" t="s">
        <v>18</v>
      </c>
      <c r="D790" s="61">
        <v>3.0</v>
      </c>
      <c r="E790" s="63">
        <v>46182.0</v>
      </c>
      <c r="F790" s="47"/>
    </row>
    <row r="791" ht="22.5" customHeight="1">
      <c r="A791" s="61" t="s">
        <v>441</v>
      </c>
      <c r="B791" s="62" t="s">
        <v>46</v>
      </c>
      <c r="C791" s="62" t="s">
        <v>18</v>
      </c>
      <c r="D791" s="61">
        <v>2.0</v>
      </c>
      <c r="E791" s="63">
        <v>46182.0</v>
      </c>
      <c r="F791" s="47"/>
    </row>
    <row r="792" ht="22.5" customHeight="1">
      <c r="A792" s="61" t="s">
        <v>1602</v>
      </c>
      <c r="B792" s="62">
        <v>37.0</v>
      </c>
      <c r="C792" s="62" t="s">
        <v>13</v>
      </c>
      <c r="D792" s="61">
        <v>1.0</v>
      </c>
      <c r="E792" s="63">
        <v>46182.0</v>
      </c>
      <c r="F792" s="47"/>
    </row>
    <row r="793" ht="22.5" customHeight="1">
      <c r="A793" s="61" t="s">
        <v>1620</v>
      </c>
      <c r="B793" s="62" t="s">
        <v>22</v>
      </c>
      <c r="C793" s="62" t="s">
        <v>914</v>
      </c>
      <c r="D793" s="61">
        <v>1.0</v>
      </c>
      <c r="E793" s="63">
        <v>46182.0</v>
      </c>
      <c r="F793" s="47"/>
    </row>
    <row r="794" ht="22.5" customHeight="1">
      <c r="A794" s="61" t="s">
        <v>1202</v>
      </c>
      <c r="B794" s="62" t="s">
        <v>75</v>
      </c>
      <c r="C794" s="62" t="s">
        <v>18</v>
      </c>
      <c r="D794" s="61">
        <v>2.0</v>
      </c>
      <c r="E794" s="63">
        <v>46182.0</v>
      </c>
      <c r="F794" s="47"/>
    </row>
    <row r="795" ht="22.5" customHeight="1">
      <c r="A795" s="61" t="s">
        <v>1602</v>
      </c>
      <c r="B795" s="62">
        <v>36.0</v>
      </c>
      <c r="C795" s="62" t="s">
        <v>18</v>
      </c>
      <c r="D795" s="61">
        <v>1.0</v>
      </c>
      <c r="E795" s="63">
        <v>46182.0</v>
      </c>
      <c r="F795" s="47"/>
    </row>
    <row r="796" ht="22.5" customHeight="1">
      <c r="A796" s="61">
        <v>92212.0</v>
      </c>
      <c r="B796" s="62" t="s">
        <v>46</v>
      </c>
      <c r="C796" s="62" t="s">
        <v>18</v>
      </c>
      <c r="D796" s="61">
        <v>1.0</v>
      </c>
      <c r="E796" s="63">
        <v>46182.0</v>
      </c>
      <c r="F796" s="47"/>
    </row>
    <row r="797" ht="22.5" customHeight="1">
      <c r="A797" s="61" t="s">
        <v>1620</v>
      </c>
      <c r="B797" s="62" t="s">
        <v>22</v>
      </c>
      <c r="C797" s="62" t="s">
        <v>18</v>
      </c>
      <c r="D797" s="61">
        <v>1.0</v>
      </c>
      <c r="E797" s="63">
        <v>46182.0</v>
      </c>
      <c r="F797" s="47"/>
    </row>
    <row r="798" ht="22.5" customHeight="1">
      <c r="A798" s="61" t="s">
        <v>1620</v>
      </c>
      <c r="B798" s="62" t="s">
        <v>22</v>
      </c>
      <c r="C798" s="62" t="s">
        <v>198</v>
      </c>
      <c r="D798" s="61">
        <v>1.0</v>
      </c>
      <c r="E798" s="63">
        <v>46182.0</v>
      </c>
      <c r="F798" s="47"/>
    </row>
    <row r="799" ht="22.5" customHeight="1">
      <c r="A799" s="61" t="s">
        <v>1620</v>
      </c>
      <c r="B799" s="62" t="s">
        <v>75</v>
      </c>
      <c r="C799" s="62" t="s">
        <v>23</v>
      </c>
      <c r="D799" s="61">
        <v>1.0</v>
      </c>
      <c r="E799" s="63">
        <v>46182.0</v>
      </c>
      <c r="F799" s="47"/>
    </row>
    <row r="800" ht="22.5" customHeight="1">
      <c r="A800" s="61" t="s">
        <v>1620</v>
      </c>
      <c r="B800" s="62" t="s">
        <v>75</v>
      </c>
      <c r="C800" s="62" t="s">
        <v>18</v>
      </c>
      <c r="D800" s="61">
        <v>1.0</v>
      </c>
      <c r="E800" s="63">
        <v>46182.0</v>
      </c>
      <c r="F800" s="47"/>
    </row>
    <row r="801" ht="22.5" customHeight="1">
      <c r="A801" s="61" t="s">
        <v>1772</v>
      </c>
      <c r="B801" s="62">
        <v>37.0</v>
      </c>
      <c r="C801" s="62" t="s">
        <v>26</v>
      </c>
      <c r="D801" s="61">
        <v>1.0</v>
      </c>
      <c r="E801" s="63">
        <v>46182.0</v>
      </c>
      <c r="F801" s="47"/>
    </row>
    <row r="802" ht="22.5" customHeight="1">
      <c r="A802" s="61" t="s">
        <v>1772</v>
      </c>
      <c r="B802" s="62">
        <v>39.0</v>
      </c>
      <c r="C802" s="62" t="s">
        <v>18</v>
      </c>
      <c r="D802" s="61">
        <v>1.0</v>
      </c>
      <c r="E802" s="63">
        <v>46182.0</v>
      </c>
      <c r="F802" s="47"/>
    </row>
    <row r="803" ht="22.5" customHeight="1">
      <c r="A803" s="61" t="s">
        <v>1772</v>
      </c>
      <c r="B803" s="62">
        <v>36.0</v>
      </c>
      <c r="C803" s="62" t="s">
        <v>26</v>
      </c>
      <c r="D803" s="61">
        <v>1.0</v>
      </c>
      <c r="E803" s="63">
        <v>46182.0</v>
      </c>
      <c r="F803" s="47"/>
    </row>
    <row r="804" ht="22.5" customHeight="1">
      <c r="A804" s="61">
        <v>92212.0</v>
      </c>
      <c r="B804" s="62" t="s">
        <v>46</v>
      </c>
      <c r="C804" s="62" t="s">
        <v>13</v>
      </c>
      <c r="D804" s="61">
        <v>1.0</v>
      </c>
      <c r="E804" s="63">
        <v>46182.0</v>
      </c>
      <c r="F804" s="47"/>
    </row>
    <row r="805" ht="22.5" customHeight="1">
      <c r="A805" s="61" t="s">
        <v>1772</v>
      </c>
      <c r="B805" s="62">
        <v>39.0</v>
      </c>
      <c r="C805" s="62" t="s">
        <v>27</v>
      </c>
      <c r="D805" s="61">
        <v>1.0</v>
      </c>
      <c r="E805" s="63">
        <v>46182.0</v>
      </c>
      <c r="F805" s="47"/>
    </row>
    <row r="806" ht="22.5" customHeight="1">
      <c r="A806" s="61" t="s">
        <v>1772</v>
      </c>
      <c r="B806" s="62">
        <v>38.0</v>
      </c>
      <c r="C806" s="62" t="s">
        <v>27</v>
      </c>
      <c r="D806" s="61">
        <v>1.0</v>
      </c>
      <c r="E806" s="63">
        <v>46182.0</v>
      </c>
      <c r="F806" s="47"/>
    </row>
    <row r="807" ht="22.5" customHeight="1">
      <c r="A807" s="61" t="s">
        <v>959</v>
      </c>
      <c r="B807" s="62" t="s">
        <v>12</v>
      </c>
      <c r="C807" s="62" t="s">
        <v>18</v>
      </c>
      <c r="D807" s="61">
        <v>2.0</v>
      </c>
      <c r="E807" s="63">
        <v>46182.0</v>
      </c>
      <c r="F807" s="47"/>
    </row>
    <row r="808" ht="22.5" customHeight="1">
      <c r="A808" s="61" t="s">
        <v>893</v>
      </c>
      <c r="B808" s="62">
        <v>36.0</v>
      </c>
      <c r="C808" s="62" t="s">
        <v>47</v>
      </c>
      <c r="D808" s="61">
        <v>1.0</v>
      </c>
      <c r="E808" s="63">
        <v>46182.0</v>
      </c>
      <c r="F808" s="47"/>
    </row>
    <row r="809" ht="22.5" customHeight="1">
      <c r="A809" s="61" t="s">
        <v>1602</v>
      </c>
      <c r="B809" s="62">
        <v>36.0</v>
      </c>
      <c r="C809" s="62" t="s">
        <v>13</v>
      </c>
      <c r="D809" s="61">
        <v>1.0</v>
      </c>
      <c r="E809" s="63">
        <v>46182.0</v>
      </c>
      <c r="F809" s="47"/>
    </row>
    <row r="810" ht="22.5" customHeight="1">
      <c r="A810" s="61" t="s">
        <v>1620</v>
      </c>
      <c r="B810" s="62" t="s">
        <v>12</v>
      </c>
      <c r="C810" s="62" t="s">
        <v>18</v>
      </c>
      <c r="D810" s="61">
        <v>1.0</v>
      </c>
      <c r="E810" s="63">
        <v>46182.0</v>
      </c>
      <c r="F810" s="47"/>
    </row>
    <row r="811" ht="22.5" customHeight="1">
      <c r="A811" s="61" t="s">
        <v>893</v>
      </c>
      <c r="B811" s="62">
        <v>39.0</v>
      </c>
      <c r="C811" s="62" t="s">
        <v>18</v>
      </c>
      <c r="D811" s="61">
        <v>1.0</v>
      </c>
      <c r="E811" s="63">
        <v>46182.0</v>
      </c>
      <c r="F811" s="47"/>
    </row>
    <row r="812" ht="22.5" customHeight="1">
      <c r="A812" s="61" t="s">
        <v>1620</v>
      </c>
      <c r="B812" s="62" t="s">
        <v>1186</v>
      </c>
      <c r="C812" s="62" t="s">
        <v>18</v>
      </c>
      <c r="D812" s="61">
        <v>1.0</v>
      </c>
      <c r="E812" s="63">
        <v>46182.0</v>
      </c>
      <c r="F812" s="47"/>
    </row>
    <row r="813" ht="22.5" customHeight="1">
      <c r="A813" s="61" t="s">
        <v>1202</v>
      </c>
      <c r="B813" s="62" t="s">
        <v>75</v>
      </c>
      <c r="C813" s="62" t="s">
        <v>13</v>
      </c>
      <c r="D813" s="61">
        <v>1.0</v>
      </c>
      <c r="E813" s="63">
        <v>46182.0</v>
      </c>
      <c r="F813" s="47"/>
    </row>
    <row r="814" ht="22.5" customHeight="1">
      <c r="A814" s="61" t="s">
        <v>1202</v>
      </c>
      <c r="B814" s="62" t="s">
        <v>22</v>
      </c>
      <c r="C814" s="62" t="s">
        <v>13</v>
      </c>
      <c r="D814" s="61">
        <v>1.0</v>
      </c>
      <c r="E814" s="63">
        <v>46182.0</v>
      </c>
      <c r="F814" s="47"/>
    </row>
    <row r="815" ht="22.5" customHeight="1">
      <c r="A815" s="61" t="s">
        <v>1185</v>
      </c>
      <c r="B815" s="62" t="s">
        <v>989</v>
      </c>
      <c r="C815" s="62" t="s">
        <v>18</v>
      </c>
      <c r="D815" s="61">
        <v>1.0</v>
      </c>
      <c r="E815" s="63">
        <v>46182.0</v>
      </c>
      <c r="F815" s="47"/>
    </row>
    <row r="816" ht="22.5" customHeight="1">
      <c r="A816" s="61" t="s">
        <v>1185</v>
      </c>
      <c r="B816" s="62" t="s">
        <v>989</v>
      </c>
      <c r="C816" s="62" t="s">
        <v>23</v>
      </c>
      <c r="D816" s="61">
        <v>1.0</v>
      </c>
      <c r="E816" s="63">
        <v>46182.0</v>
      </c>
      <c r="F816" s="47"/>
    </row>
    <row r="817" ht="22.5" customHeight="1">
      <c r="A817" s="61" t="s">
        <v>1524</v>
      </c>
      <c r="B817" s="62" t="s">
        <v>46</v>
      </c>
      <c r="C817" s="62" t="s">
        <v>198</v>
      </c>
      <c r="D817" s="61">
        <v>1.0</v>
      </c>
      <c r="E817" s="63">
        <v>46182.0</v>
      </c>
      <c r="F817" s="47"/>
    </row>
    <row r="818" ht="22.5" customHeight="1">
      <c r="A818" s="61" t="s">
        <v>1471</v>
      </c>
      <c r="B818" s="62" t="s">
        <v>46</v>
      </c>
      <c r="C818" s="62" t="s">
        <v>198</v>
      </c>
      <c r="D818" s="61">
        <v>1.0</v>
      </c>
      <c r="E818" s="63">
        <v>46182.0</v>
      </c>
      <c r="F818" s="47"/>
    </row>
    <row r="819" ht="22.5" customHeight="1">
      <c r="A819" s="61" t="s">
        <v>1471</v>
      </c>
      <c r="B819" s="62" t="s">
        <v>46</v>
      </c>
      <c r="C819" s="62" t="s">
        <v>338</v>
      </c>
      <c r="D819" s="61">
        <v>1.0</v>
      </c>
      <c r="E819" s="63">
        <v>46182.0</v>
      </c>
      <c r="F819" s="47"/>
    </row>
    <row r="820" ht="22.5" customHeight="1">
      <c r="A820" s="61">
        <v>9408.0</v>
      </c>
      <c r="B820" s="62" t="s">
        <v>12</v>
      </c>
      <c r="C820" s="62" t="s">
        <v>18</v>
      </c>
      <c r="D820" s="61">
        <v>1.0</v>
      </c>
      <c r="E820" s="63">
        <v>46182.0</v>
      </c>
      <c r="F820" s="47"/>
    </row>
    <row r="821" ht="22.5" customHeight="1">
      <c r="A821" s="61">
        <v>9408.0</v>
      </c>
      <c r="B821" s="62" t="s">
        <v>22</v>
      </c>
      <c r="C821" s="62" t="s">
        <v>18</v>
      </c>
      <c r="D821" s="61">
        <v>2.0</v>
      </c>
      <c r="E821" s="63">
        <v>46182.0</v>
      </c>
      <c r="F821" s="47"/>
    </row>
    <row r="822" ht="22.5" customHeight="1">
      <c r="A822" s="61">
        <v>8610.0</v>
      </c>
      <c r="B822" s="62" t="s">
        <v>22</v>
      </c>
      <c r="C822" s="62" t="s">
        <v>26</v>
      </c>
      <c r="D822" s="61">
        <v>1.0</v>
      </c>
      <c r="E822" s="63">
        <v>46182.0</v>
      </c>
      <c r="F822" s="47"/>
    </row>
    <row r="823" ht="22.5" customHeight="1">
      <c r="A823" s="61" t="s">
        <v>1620</v>
      </c>
      <c r="B823" s="62" t="s">
        <v>12</v>
      </c>
      <c r="C823" s="62" t="s">
        <v>18</v>
      </c>
      <c r="D823" s="61">
        <v>1.0</v>
      </c>
      <c r="E823" s="63">
        <v>46182.0</v>
      </c>
      <c r="F823" s="47"/>
    </row>
    <row r="824" ht="22.5" customHeight="1">
      <c r="A824" s="61">
        <v>9425.0</v>
      </c>
      <c r="B824" s="62" t="s">
        <v>22</v>
      </c>
      <c r="C824" s="62" t="s">
        <v>58</v>
      </c>
      <c r="D824" s="61">
        <v>1.0</v>
      </c>
      <c r="E824" s="63">
        <v>46182.0</v>
      </c>
      <c r="F824" s="47"/>
    </row>
    <row r="825" ht="22.5" customHeight="1">
      <c r="A825" s="61" t="s">
        <v>959</v>
      </c>
      <c r="B825" s="62" t="s">
        <v>12</v>
      </c>
      <c r="C825" s="62" t="s">
        <v>18</v>
      </c>
      <c r="D825" s="61">
        <v>1.0</v>
      </c>
      <c r="E825" s="63">
        <v>46183.0</v>
      </c>
      <c r="F825" s="47"/>
    </row>
    <row r="826" ht="22.5" customHeight="1">
      <c r="A826" s="61">
        <v>5709.0</v>
      </c>
      <c r="B826" s="62" t="s">
        <v>12</v>
      </c>
      <c r="C826" s="62" t="s">
        <v>340</v>
      </c>
      <c r="D826" s="61">
        <v>1.0</v>
      </c>
      <c r="E826" s="63">
        <v>46183.0</v>
      </c>
      <c r="F826" s="47"/>
    </row>
    <row r="827" ht="22.5" customHeight="1">
      <c r="A827" s="61" t="s">
        <v>1895</v>
      </c>
      <c r="B827" s="62" t="s">
        <v>46</v>
      </c>
      <c r="C827" s="62" t="s">
        <v>914</v>
      </c>
      <c r="D827" s="61">
        <v>14.0</v>
      </c>
      <c r="E827" s="63">
        <v>46184.0</v>
      </c>
      <c r="F827" s="47"/>
    </row>
    <row r="828" ht="22.5" customHeight="1">
      <c r="A828" s="61" t="s">
        <v>763</v>
      </c>
      <c r="B828" s="62" t="s">
        <v>46</v>
      </c>
      <c r="C828" s="62" t="s">
        <v>1898</v>
      </c>
      <c r="D828" s="61">
        <v>1.0</v>
      </c>
      <c r="E828" s="63">
        <v>46184.0</v>
      </c>
      <c r="F828" s="47"/>
    </row>
    <row r="829" ht="22.5" customHeight="1">
      <c r="A829" s="61" t="s">
        <v>763</v>
      </c>
      <c r="B829" s="62" t="s">
        <v>46</v>
      </c>
      <c r="C829" s="62" t="s">
        <v>1929</v>
      </c>
      <c r="D829" s="61">
        <v>1.0</v>
      </c>
      <c r="E829" s="63">
        <v>46184.0</v>
      </c>
      <c r="F829" s="47"/>
    </row>
    <row r="830" ht="22.5" customHeight="1">
      <c r="A830" s="61" t="s">
        <v>763</v>
      </c>
      <c r="B830" s="62" t="s">
        <v>46</v>
      </c>
      <c r="C830" s="62" t="s">
        <v>1932</v>
      </c>
      <c r="D830" s="61">
        <v>1.0</v>
      </c>
      <c r="E830" s="63">
        <v>46184.0</v>
      </c>
      <c r="F830" s="47"/>
    </row>
    <row r="831" ht="22.5" customHeight="1">
      <c r="A831" s="61" t="s">
        <v>1377</v>
      </c>
      <c r="B831" s="62">
        <v>37.0</v>
      </c>
      <c r="C831" s="62" t="s">
        <v>47</v>
      </c>
      <c r="D831" s="61">
        <v>1.0</v>
      </c>
      <c r="E831" s="63">
        <v>46184.0</v>
      </c>
      <c r="F831" s="47"/>
    </row>
    <row r="832" ht="22.5" customHeight="1">
      <c r="A832" s="61" t="s">
        <v>1377</v>
      </c>
      <c r="B832" s="62">
        <v>38.0</v>
      </c>
      <c r="C832" s="62" t="s">
        <v>47</v>
      </c>
      <c r="D832" s="61">
        <v>1.0</v>
      </c>
      <c r="E832" s="63">
        <v>46184.0</v>
      </c>
      <c r="F832" s="47"/>
    </row>
    <row r="833" ht="22.5" customHeight="1">
      <c r="A833" s="61" t="s">
        <v>1377</v>
      </c>
      <c r="B833" s="62">
        <v>39.0</v>
      </c>
      <c r="C833" s="62" t="s">
        <v>47</v>
      </c>
      <c r="D833" s="61">
        <v>1.0</v>
      </c>
      <c r="E833" s="63">
        <v>46184.0</v>
      </c>
      <c r="F833" s="47"/>
    </row>
    <row r="834" ht="22.5" customHeight="1">
      <c r="A834" s="61" t="s">
        <v>1435</v>
      </c>
      <c r="B834" s="62">
        <v>40.0</v>
      </c>
      <c r="C834" s="62" t="s">
        <v>47</v>
      </c>
      <c r="D834" s="61">
        <v>1.0</v>
      </c>
      <c r="E834" s="63">
        <v>46184.0</v>
      </c>
      <c r="F834" s="47"/>
    </row>
    <row r="835" ht="22.5" customHeight="1">
      <c r="A835" s="61" t="s">
        <v>1435</v>
      </c>
      <c r="B835" s="62">
        <v>35.0</v>
      </c>
      <c r="C835" s="62" t="s">
        <v>47</v>
      </c>
      <c r="D835" s="61">
        <v>1.0</v>
      </c>
      <c r="E835" s="63">
        <v>46184.0</v>
      </c>
      <c r="F835" s="47"/>
    </row>
    <row r="836" ht="22.5" customHeight="1">
      <c r="A836" s="61" t="s">
        <v>1435</v>
      </c>
      <c r="B836" s="62">
        <v>38.0</v>
      </c>
      <c r="C836" s="62" t="s">
        <v>47</v>
      </c>
      <c r="D836" s="61">
        <v>1.0</v>
      </c>
      <c r="E836" s="63">
        <v>46184.0</v>
      </c>
      <c r="F836" s="47"/>
    </row>
    <row r="837" ht="22.5" customHeight="1">
      <c r="A837" s="61" t="s">
        <v>1435</v>
      </c>
      <c r="B837" s="62">
        <v>36.0</v>
      </c>
      <c r="C837" s="62" t="s">
        <v>47</v>
      </c>
      <c r="D837" s="61">
        <v>1.0</v>
      </c>
      <c r="E837" s="63">
        <v>46184.0</v>
      </c>
      <c r="F837" s="47"/>
    </row>
    <row r="838" ht="22.5" customHeight="1">
      <c r="A838" s="61" t="s">
        <v>2342</v>
      </c>
      <c r="B838" s="62">
        <v>37.0</v>
      </c>
      <c r="C838" s="62" t="s">
        <v>26</v>
      </c>
      <c r="D838" s="61">
        <v>1.0</v>
      </c>
      <c r="E838" s="63">
        <v>46184.0</v>
      </c>
      <c r="F838" s="47"/>
    </row>
    <row r="839" ht="22.5" customHeight="1">
      <c r="A839" s="61" t="s">
        <v>1435</v>
      </c>
      <c r="B839" s="62">
        <v>39.0</v>
      </c>
      <c r="C839" s="62" t="s">
        <v>47</v>
      </c>
      <c r="D839" s="61">
        <v>1.0</v>
      </c>
      <c r="E839" s="63">
        <v>46184.0</v>
      </c>
      <c r="F839" s="47"/>
    </row>
    <row r="840" ht="22.5" customHeight="1">
      <c r="A840" s="61" t="s">
        <v>1435</v>
      </c>
      <c r="B840" s="62">
        <v>37.0</v>
      </c>
      <c r="C840" s="62" t="s">
        <v>914</v>
      </c>
      <c r="D840" s="61">
        <v>1.0</v>
      </c>
      <c r="E840" s="63">
        <v>46184.0</v>
      </c>
      <c r="F840" s="47"/>
    </row>
    <row r="841" ht="22.5" customHeight="1">
      <c r="A841" s="61" t="s">
        <v>1378</v>
      </c>
      <c r="B841" s="62">
        <v>39.0</v>
      </c>
      <c r="C841" s="62" t="s">
        <v>26</v>
      </c>
      <c r="D841" s="61">
        <v>1.0</v>
      </c>
      <c r="E841" s="63">
        <v>46184.0</v>
      </c>
      <c r="F841" s="47"/>
    </row>
    <row r="842" ht="22.5" customHeight="1">
      <c r="A842" s="61" t="s">
        <v>1889</v>
      </c>
      <c r="B842" s="62">
        <v>37.0</v>
      </c>
      <c r="C842" s="62" t="s">
        <v>47</v>
      </c>
      <c r="D842" s="61">
        <v>1.0</v>
      </c>
      <c r="E842" s="63">
        <v>46184.0</v>
      </c>
      <c r="F842" s="47"/>
    </row>
    <row r="843" ht="22.5" customHeight="1">
      <c r="A843" s="61">
        <v>5670.0</v>
      </c>
      <c r="B843" s="62" t="s">
        <v>12</v>
      </c>
      <c r="C843" s="62" t="s">
        <v>13</v>
      </c>
      <c r="D843" s="61">
        <v>1.0</v>
      </c>
      <c r="E843" s="63">
        <v>46184.0</v>
      </c>
      <c r="F843" s="47"/>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20.88"/>
    <col customWidth="1" min="3" max="3" width="18.75"/>
  </cols>
  <sheetData>
    <row r="1" ht="22.5" customHeight="1">
      <c r="A1" s="41" t="s">
        <v>0</v>
      </c>
      <c r="B1" s="3" t="s">
        <v>2360</v>
      </c>
      <c r="C1" s="64" t="s">
        <v>2361</v>
      </c>
      <c r="D1" s="41" t="s">
        <v>14</v>
      </c>
      <c r="E1" s="3" t="s">
        <v>2362</v>
      </c>
    </row>
    <row r="2" ht="22.5" customHeight="1">
      <c r="A2" s="65" t="str">
        <f>IFERROR(__xludf.DUMMYFUNCTION("UNIQUE(FILTER('NHẬP ĐƠN'!A2:A1501, 'NHẬP ĐƠN'!A2:A1501&lt;&gt;""""))"),"Ngọc Thuý Trần")</f>
        <v>Ngọc Thuý Trần</v>
      </c>
      <c r="B2" s="66">
        <f t="array" ref="B2:B1501">MAP(A2:A1501, LAMBDA(khach, IF(khach="",, COUNTIF('NHẬP ĐƠN'!A2:A1501, khach))))</f>
        <v>14</v>
      </c>
      <c r="C2" s="65" t="str">
        <f>IFERROR(__xludf.DUMMYFUNCTION("MAP(A2:A1501, LAMBDA(khach,
  IF(khach="""", """", 
    LET(
      ma_sp, IFERROR(FILTER('NHẬP ĐƠN'!C2:C1501, IFERROR('NHẬP ĐƠN'!A2:A1501 = khach, FALSE)), """"),
      IF(INDEX(ma_sp, 1) = """", ""❌ KHÔNG CÓ TRONG NHẬP ĐƠN"",
        LET(
        "&amp;"  size_sp, FILTER('NHẬP ĐƠN'!D2:D1501, IFERROR('NHẬP ĐƠN'!A2:A1501 = khach, FALSE)),
          color_sp, FILTER('NHẬP ĐƠN'!E2:E1501, IFERROR('NHẬP ĐƠN'!A2:A1501 = khach, FALSE)),
          luy_ke, FILTER('NHẬP ĐƠN'!K2:K1501, IFERROR('NHẬP ĐƠN'!A2:A1501 = "&amp;"khach, FALSE)),
          so_mon_dat, ROWS(ma_sp),
          kiem_tra, MAP(ma_sp, size_sp, color_sp, luy_ke, LAMBDA(m, s, c, lk,
            LET(
              ton_kho, SUMIFS('KHO HÀNG'!D:D, 'KHO HÀNG'!A:A, m, 'KHO HÀNG'!B:B, s, 'KHO HÀNG'!C:C"&amp;", c),
              IF(ton_kho &gt;= lk, 1, 0)
            )
          )),
          so_mon_du, SUM(kiem_tra),
          IF(so_mon_du = so_mon_dat, ""✅ ĐỦ HÀNG"", ""❌ THIẾU "" &amp; (so_mon_dat - so_mon_du) &amp; "" MÓN"")
        )
      )
    )
  )
))"),"✅ ĐỦ HÀNG")</f>
        <v>✅ ĐỦ HÀNG</v>
      </c>
      <c r="D2" s="47"/>
    </row>
    <row r="3" ht="22.5" customHeight="1">
      <c r="A3" s="65" t="str">
        <f>IFERROR(__xludf.DUMMYFUNCTION("""COMPUTED_VALUE"""),"Uyên Lê")</f>
        <v>Uyên Lê</v>
      </c>
      <c r="B3" s="66">
        <v>6.0</v>
      </c>
      <c r="C3" s="65" t="str">
        <f>IFERROR(__xludf.DUMMYFUNCTION("""COMPUTED_VALUE"""),"✅ ĐỦ HÀNG")</f>
        <v>✅ ĐỦ HÀNG</v>
      </c>
      <c r="D3" s="47"/>
    </row>
    <row r="4" ht="22.5" customHeight="1">
      <c r="A4" s="65" t="str">
        <f>IFERROR(__xludf.DUMMYFUNCTION("""COMPUTED_VALUE"""),"Hà Giang")</f>
        <v>Hà Giang</v>
      </c>
      <c r="B4" s="66">
        <v>5.0</v>
      </c>
      <c r="C4" s="65" t="str">
        <f>IFERROR(__xludf.DUMMYFUNCTION("""COMPUTED_VALUE"""),"✅ ĐỦ HÀNG")</f>
        <v>✅ ĐỦ HÀNG</v>
      </c>
      <c r="D4" s="47"/>
    </row>
    <row r="5" ht="22.5" customHeight="1">
      <c r="A5" s="65" t="str">
        <f>IFERROR(__xludf.DUMMYFUNCTION("""COMPUTED_VALUE"""),"Bùi Thị Ngọc Hân")</f>
        <v>Bùi Thị Ngọc Hân</v>
      </c>
      <c r="B5" s="66">
        <v>1.0</v>
      </c>
      <c r="C5" s="65" t="str">
        <f>IFERROR(__xludf.DUMMYFUNCTION("""COMPUTED_VALUE"""),"✅ ĐỦ HÀNG")</f>
        <v>✅ ĐỦ HÀNG</v>
      </c>
      <c r="D5" s="47"/>
    </row>
    <row r="6" ht="22.5" customHeight="1">
      <c r="A6" s="65" t="str">
        <f>IFERROR(__xludf.DUMMYFUNCTION("""COMPUTED_VALUE"""),"Trang Mẩu")</f>
        <v>Trang Mẩu</v>
      </c>
      <c r="B6" s="66">
        <v>11.0</v>
      </c>
      <c r="C6" s="65" t="str">
        <f>IFERROR(__xludf.DUMMYFUNCTION("""COMPUTED_VALUE"""),"✅ ĐỦ HÀNG")</f>
        <v>✅ ĐỦ HÀNG</v>
      </c>
      <c r="D6" s="47"/>
    </row>
    <row r="7" ht="22.5" customHeight="1">
      <c r="A7" s="65" t="str">
        <f>IFERROR(__xludf.DUMMYFUNCTION("""COMPUTED_VALUE"""),"Nguyễn Phương Vy")</f>
        <v>Nguyễn Phương Vy</v>
      </c>
      <c r="B7" s="66">
        <v>3.0</v>
      </c>
      <c r="C7" s="65" t="str">
        <f>IFERROR(__xludf.DUMMYFUNCTION("""COMPUTED_VALUE"""),"✅ ĐỦ HÀNG")</f>
        <v>✅ ĐỦ HÀNG</v>
      </c>
      <c r="D7" s="47"/>
    </row>
    <row r="8" ht="22.5" customHeight="1">
      <c r="A8" s="65" t="str">
        <f>IFERROR(__xludf.DUMMYFUNCTION("""COMPUTED_VALUE"""),"Lily")</f>
        <v>Lily</v>
      </c>
      <c r="B8" s="66">
        <v>2.0</v>
      </c>
      <c r="C8" s="65" t="str">
        <f>IFERROR(__xludf.DUMMYFUNCTION("""COMPUTED_VALUE"""),"✅ ĐỦ HÀNG")</f>
        <v>✅ ĐỦ HÀNG</v>
      </c>
      <c r="D8" s="47"/>
    </row>
    <row r="9" ht="22.5" customHeight="1">
      <c r="A9" s="65" t="str">
        <f>IFERROR(__xludf.DUMMYFUNCTION("""COMPUTED_VALUE"""),"Thanh Hang Huang")</f>
        <v>Thanh Hang Huang</v>
      </c>
      <c r="B9" s="66">
        <v>2.0</v>
      </c>
      <c r="C9" s="65" t="str">
        <f>IFERROR(__xludf.DUMMYFUNCTION("""COMPUTED_VALUE"""),"✅ ĐỦ HÀNG")</f>
        <v>✅ ĐỦ HÀNG</v>
      </c>
      <c r="D9" s="47"/>
    </row>
    <row r="10" ht="22.5" customHeight="1">
      <c r="A10" s="65" t="str">
        <f>IFERROR(__xludf.DUMMYFUNCTION("""COMPUTED_VALUE"""),"Kim Cúc")</f>
        <v>Kim Cúc</v>
      </c>
      <c r="B10" s="66">
        <v>2.0</v>
      </c>
      <c r="C10" s="65" t="str">
        <f>IFERROR(__xludf.DUMMYFUNCTION("""COMPUTED_VALUE"""),"✅ ĐỦ HÀNG")</f>
        <v>✅ ĐỦ HÀNG</v>
      </c>
      <c r="D10" s="47"/>
    </row>
    <row r="11" ht="22.5" customHeight="1">
      <c r="A11" s="65" t="str">
        <f>IFERROR(__xludf.DUMMYFUNCTION("""COMPUTED_VALUE"""),"Lê Thuỳ Dương")</f>
        <v>Lê Thuỳ Dương</v>
      </c>
      <c r="B11" s="66">
        <v>19.0</v>
      </c>
      <c r="C11" s="65" t="str">
        <f>IFERROR(__xludf.DUMMYFUNCTION("""COMPUTED_VALUE"""),"✅ ĐỦ HÀNG")</f>
        <v>✅ ĐỦ HÀNG</v>
      </c>
      <c r="D11" s="47"/>
    </row>
    <row r="12" ht="22.5" customHeight="1">
      <c r="A12" s="65" t="str">
        <f>IFERROR(__xludf.DUMMYFUNCTION("""COMPUTED_VALUE"""),"Trần Kiều Giang")</f>
        <v>Trần Kiều Giang</v>
      </c>
      <c r="B12" s="66">
        <v>2.0</v>
      </c>
      <c r="C12" s="65" t="str">
        <f>IFERROR(__xludf.DUMMYFUNCTION("""COMPUTED_VALUE"""),"✅ ĐỦ HÀNG")</f>
        <v>✅ ĐỦ HÀNG</v>
      </c>
      <c r="D12" s="47"/>
    </row>
    <row r="13" ht="22.5" customHeight="1">
      <c r="A13" s="65" t="str">
        <f>IFERROR(__xludf.DUMMYFUNCTION("""COMPUTED_VALUE"""),"Phạm Thị Như Ý")</f>
        <v>Phạm Thị Như Ý</v>
      </c>
      <c r="B13" s="66">
        <v>5.0</v>
      </c>
      <c r="C13" s="65" t="str">
        <f>IFERROR(__xludf.DUMMYFUNCTION("""COMPUTED_VALUE"""),"✅ ĐỦ HÀNG")</f>
        <v>✅ ĐỦ HÀNG</v>
      </c>
      <c r="D13" s="47"/>
    </row>
    <row r="14" ht="22.5" customHeight="1">
      <c r="A14" s="65" t="str">
        <f>IFERROR(__xludf.DUMMYFUNCTION("""COMPUTED_VALUE"""),"Nguyễn Thu")</f>
        <v>Nguyễn Thu</v>
      </c>
      <c r="B14" s="66">
        <v>7.0</v>
      </c>
      <c r="C14" s="65" t="str">
        <f>IFERROR(__xludf.DUMMYFUNCTION("""COMPUTED_VALUE"""),"✅ ĐỦ HÀNG")</f>
        <v>✅ ĐỦ HÀNG</v>
      </c>
      <c r="D14" s="47"/>
    </row>
    <row r="15" ht="22.5" customHeight="1">
      <c r="A15" s="65" t="str">
        <f>IFERROR(__xludf.DUMMYFUNCTION("""COMPUTED_VALUE"""),"Ngọc Huyền")</f>
        <v>Ngọc Huyền</v>
      </c>
      <c r="B15" s="66">
        <v>10.0</v>
      </c>
      <c r="C15" s="65" t="str">
        <f>IFERROR(__xludf.DUMMYFUNCTION("""COMPUTED_VALUE"""),"✅ ĐỦ HÀNG")</f>
        <v>✅ ĐỦ HÀNG</v>
      </c>
      <c r="D15" s="47"/>
    </row>
    <row r="16" ht="22.5" customHeight="1">
      <c r="A16" s="65" t="str">
        <f>IFERROR(__xludf.DUMMYFUNCTION("""COMPUTED_VALUE"""),"Dang Minh")</f>
        <v>Dang Minh</v>
      </c>
      <c r="B16" s="66">
        <v>13.0</v>
      </c>
      <c r="C16" s="65" t="str">
        <f>IFERROR(__xludf.DUMMYFUNCTION("""COMPUTED_VALUE"""),"✅ ĐỦ HÀNG")</f>
        <v>✅ ĐỦ HÀNG</v>
      </c>
      <c r="D16" s="47"/>
    </row>
    <row r="17" ht="22.5" customHeight="1">
      <c r="A17" s="65" t="str">
        <f>IFERROR(__xludf.DUMMYFUNCTION("""COMPUTED_VALUE"""),"Trần Thị Thu")</f>
        <v>Trần Thị Thu</v>
      </c>
      <c r="B17" s="66">
        <v>4.0</v>
      </c>
      <c r="C17" s="65" t="str">
        <f>IFERROR(__xludf.DUMMYFUNCTION("""COMPUTED_VALUE"""),"✅ ĐỦ HÀNG")</f>
        <v>✅ ĐỦ HÀNG</v>
      </c>
      <c r="D17" s="47"/>
    </row>
    <row r="18" ht="22.5" customHeight="1">
      <c r="A18" s="65" t="str">
        <f>IFERROR(__xludf.DUMMYFUNCTION("""COMPUTED_VALUE"""),"Bích Thuỷ")</f>
        <v>Bích Thuỷ</v>
      </c>
      <c r="B18" s="66">
        <v>2.0</v>
      </c>
      <c r="C18" s="65" t="str">
        <f>IFERROR(__xludf.DUMMYFUNCTION("""COMPUTED_VALUE"""),"✅ ĐỦ HÀNG")</f>
        <v>✅ ĐỦ HÀNG</v>
      </c>
      <c r="D18" s="47"/>
    </row>
    <row r="19" ht="22.5" customHeight="1">
      <c r="A19" s="65" t="str">
        <f>IFERROR(__xludf.DUMMYFUNCTION("""COMPUTED_VALUE"""),"Vũ Hà Thu")</f>
        <v>Vũ Hà Thu</v>
      </c>
      <c r="B19" s="66">
        <v>3.0</v>
      </c>
      <c r="C19" s="65" t="str">
        <f>IFERROR(__xludf.DUMMYFUNCTION("""COMPUTED_VALUE"""),"✅ ĐỦ HÀNG")</f>
        <v>✅ ĐỦ HÀNG</v>
      </c>
      <c r="D19" s="47"/>
    </row>
    <row r="20" ht="22.5" customHeight="1">
      <c r="A20" s="65" t="str">
        <f>IFERROR(__xludf.DUMMYFUNCTION("""COMPUTED_VALUE"""),"Ng Hà Phương")</f>
        <v>Ng Hà Phương</v>
      </c>
      <c r="B20" s="66">
        <v>4.0</v>
      </c>
      <c r="C20" s="65" t="str">
        <f>IFERROR(__xludf.DUMMYFUNCTION("""COMPUTED_VALUE"""),"✅ ĐỦ HÀNG")</f>
        <v>✅ ĐỦ HÀNG</v>
      </c>
      <c r="D20" s="47"/>
    </row>
    <row r="21" ht="22.5" customHeight="1">
      <c r="A21" s="65" t="str">
        <f>IFERROR(__xludf.DUMMYFUNCTION("""COMPUTED_VALUE"""),"Nguyễn Hương")</f>
        <v>Nguyễn Hương</v>
      </c>
      <c r="B21" s="66">
        <v>7.0</v>
      </c>
      <c r="C21" s="65" t="str">
        <f>IFERROR(__xludf.DUMMYFUNCTION("""COMPUTED_VALUE"""),"✅ ĐỦ HÀNG")</f>
        <v>✅ ĐỦ HÀNG</v>
      </c>
      <c r="D21" s="47"/>
    </row>
    <row r="22" ht="22.5" customHeight="1">
      <c r="A22" s="65" t="str">
        <f>IFERROR(__xludf.DUMMYFUNCTION("""COMPUTED_VALUE"""),"Hương Cherry")</f>
        <v>Hương Cherry</v>
      </c>
      <c r="B22" s="66">
        <v>1.0</v>
      </c>
      <c r="C22" s="65" t="str">
        <f>IFERROR(__xludf.DUMMYFUNCTION("""COMPUTED_VALUE"""),"✅ ĐỦ HÀNG")</f>
        <v>✅ ĐỦ HÀNG</v>
      </c>
      <c r="D22" s="48"/>
      <c r="E22" s="44"/>
    </row>
    <row r="23" ht="22.5" customHeight="1">
      <c r="A23" s="47" t="str">
        <f>IFERROR(__xludf.DUMMYFUNCTION("""COMPUTED_VALUE"""),"Hoàng Yếnn")</f>
        <v>Hoàng Yếnn</v>
      </c>
      <c r="B23" s="67">
        <v>8.0</v>
      </c>
      <c r="C23" s="65" t="str">
        <f>IFERROR(__xludf.DUMMYFUNCTION("""COMPUTED_VALUE"""),"✅ ĐỦ HÀNG")</f>
        <v>✅ ĐỦ HÀNG</v>
      </c>
      <c r="D23" s="47"/>
    </row>
    <row r="24" ht="22.5" customHeight="1">
      <c r="A24" s="47" t="str">
        <f>IFERROR(__xludf.DUMMYFUNCTION("""COMPUTED_VALUE"""),"Lộc Tâm")</f>
        <v>Lộc Tâm</v>
      </c>
      <c r="B24" s="67">
        <v>6.0</v>
      </c>
      <c r="C24" s="65" t="str">
        <f>IFERROR(__xludf.DUMMYFUNCTION("""COMPUTED_VALUE"""),"✅ ĐỦ HÀNG")</f>
        <v>✅ ĐỦ HÀNG</v>
      </c>
      <c r="D24" s="47"/>
    </row>
    <row r="25" ht="22.5" customHeight="1">
      <c r="A25" s="47" t="str">
        <f>IFERROR(__xludf.DUMMYFUNCTION("""COMPUTED_VALUE"""),"Ngọc Hà")</f>
        <v>Ngọc Hà</v>
      </c>
      <c r="B25" s="67">
        <v>16.0</v>
      </c>
      <c r="C25" s="65" t="str">
        <f>IFERROR(__xludf.DUMMYFUNCTION("""COMPUTED_VALUE"""),"✅ ĐỦ HÀNG")</f>
        <v>✅ ĐỦ HÀNG</v>
      </c>
      <c r="D25" s="47"/>
    </row>
    <row r="26" ht="22.5" customHeight="1">
      <c r="A26" s="47" t="str">
        <f>IFERROR(__xludf.DUMMYFUNCTION("""COMPUTED_VALUE"""),"Phương Nga")</f>
        <v>Phương Nga</v>
      </c>
      <c r="B26" s="67">
        <v>5.0</v>
      </c>
      <c r="C26" s="65" t="str">
        <f>IFERROR(__xludf.DUMMYFUNCTION("""COMPUTED_VALUE"""),"✅ ĐỦ HÀNG")</f>
        <v>✅ ĐỦ HÀNG</v>
      </c>
      <c r="D26" s="47"/>
    </row>
    <row r="27" ht="22.5" hidden="1" customHeight="1">
      <c r="A27" s="47" t="str">
        <f>IFERROR(__xludf.DUMMYFUNCTION("""COMPUTED_VALUE"""),"Lụa Mỹ")</f>
        <v>Lụa Mỹ</v>
      </c>
      <c r="B27" s="67">
        <v>2.0</v>
      </c>
      <c r="C27" s="65" t="str">
        <f>IFERROR(__xludf.DUMMYFUNCTION("""COMPUTED_VALUE"""),"✅ ĐỦ HÀNG")</f>
        <v>✅ ĐỦ HÀNG</v>
      </c>
      <c r="D27" s="48" t="s">
        <v>2363</v>
      </c>
      <c r="E27" s="44" t="s">
        <v>2364</v>
      </c>
    </row>
    <row r="28" ht="22.5" hidden="1" customHeight="1">
      <c r="A28" s="47" t="str">
        <f>IFERROR(__xludf.DUMMYFUNCTION("""COMPUTED_VALUE"""),"Phạm Hoàn")</f>
        <v>Phạm Hoàn</v>
      </c>
      <c r="B28" s="67">
        <v>5.0</v>
      </c>
      <c r="C28" s="65" t="str">
        <f>IFERROR(__xludf.DUMMYFUNCTION("""COMPUTED_VALUE"""),"✅ ĐỦ HÀNG")</f>
        <v>✅ ĐỦ HÀNG</v>
      </c>
      <c r="D28" s="48" t="s">
        <v>2363</v>
      </c>
      <c r="E28" s="44" t="s">
        <v>2365</v>
      </c>
    </row>
    <row r="29" ht="22.5" hidden="1" customHeight="1">
      <c r="A29" s="47" t="str">
        <f>IFERROR(__xludf.DUMMYFUNCTION("""COMPUTED_VALUE"""),"Hà Oanh")</f>
        <v>Hà Oanh</v>
      </c>
      <c r="B29" s="67">
        <v>3.0</v>
      </c>
      <c r="C29" s="65" t="str">
        <f>IFERROR(__xludf.DUMMYFUNCTION("""COMPUTED_VALUE"""),"✅ ĐỦ HÀNG")</f>
        <v>✅ ĐỦ HÀNG</v>
      </c>
      <c r="D29" s="48" t="s">
        <v>2363</v>
      </c>
      <c r="E29" s="44" t="s">
        <v>2366</v>
      </c>
    </row>
    <row r="30" ht="22.5" customHeight="1">
      <c r="A30" s="47" t="str">
        <f>IFERROR(__xludf.DUMMYFUNCTION("""COMPUTED_VALUE"""),"Thuỳ Trang")</f>
        <v>Thuỳ Trang</v>
      </c>
      <c r="B30" s="67">
        <v>8.0</v>
      </c>
      <c r="C30" s="65" t="str">
        <f>IFERROR(__xludf.DUMMYFUNCTION("""COMPUTED_VALUE"""),"✅ ĐỦ HÀNG")</f>
        <v>✅ ĐỦ HÀNG</v>
      </c>
      <c r="D30" s="47"/>
    </row>
    <row r="31" ht="22.5" customHeight="1">
      <c r="A31" s="47" t="str">
        <f>IFERROR(__xludf.DUMMYFUNCTION("""COMPUTED_VALUE"""),"Tâm Tâm")</f>
        <v>Tâm Tâm</v>
      </c>
      <c r="B31" s="67">
        <v>3.0</v>
      </c>
      <c r="C31" s="65" t="str">
        <f>IFERROR(__xludf.DUMMYFUNCTION("""COMPUTED_VALUE"""),"✅ ĐỦ HÀNG")</f>
        <v>✅ ĐỦ HÀNG</v>
      </c>
      <c r="D31" s="47"/>
    </row>
    <row r="32" ht="22.5" customHeight="1">
      <c r="A32" s="47" t="str">
        <f>IFERROR(__xludf.DUMMYFUNCTION("""COMPUTED_VALUE"""),"Trang Minn")</f>
        <v>Trang Minn</v>
      </c>
      <c r="B32" s="67">
        <v>2.0</v>
      </c>
      <c r="C32" s="65" t="str">
        <f>IFERROR(__xludf.DUMMYFUNCTION("""COMPUTED_VALUE"""),"✅ ĐỦ HÀNG")</f>
        <v>✅ ĐỦ HÀNG</v>
      </c>
      <c r="D32" s="47"/>
    </row>
    <row r="33" ht="22.5" customHeight="1">
      <c r="A33" s="47" t="str">
        <f>IFERROR(__xludf.DUMMYFUNCTION("""COMPUTED_VALUE"""),"Phan Nhung ")</f>
        <v>Phan Nhung </v>
      </c>
      <c r="B33" s="67">
        <v>2.0</v>
      </c>
      <c r="C33" s="65" t="str">
        <f>IFERROR(__xludf.DUMMYFUNCTION("""COMPUTED_VALUE"""),"✅ ĐỦ HÀNG")</f>
        <v>✅ ĐỦ HÀNG</v>
      </c>
      <c r="D33" s="47"/>
    </row>
    <row r="34" ht="22.5" customHeight="1">
      <c r="A34" s="47" t="str">
        <f>IFERROR(__xludf.DUMMYFUNCTION("""COMPUTED_VALUE"""),"GiangHoang Vu")</f>
        <v>GiangHoang Vu</v>
      </c>
      <c r="B34" s="67">
        <v>1.0</v>
      </c>
      <c r="C34" s="65" t="str">
        <f>IFERROR(__xludf.DUMMYFUNCTION("""COMPUTED_VALUE"""),"✅ ĐỦ HÀNG")</f>
        <v>✅ ĐỦ HÀNG</v>
      </c>
      <c r="D34" s="47"/>
    </row>
    <row r="35" ht="22.5" customHeight="1">
      <c r="A35" s="47" t="str">
        <f>IFERROR(__xludf.DUMMYFUNCTION("""COMPUTED_VALUE"""),"Trang Đoàn")</f>
        <v>Trang Đoàn</v>
      </c>
      <c r="B35" s="67">
        <v>11.0</v>
      </c>
      <c r="C35" s="65" t="str">
        <f>IFERROR(__xludf.DUMMYFUNCTION("""COMPUTED_VALUE"""),"✅ ĐỦ HÀNG")</f>
        <v>✅ ĐỦ HÀNG</v>
      </c>
      <c r="D35" s="47"/>
    </row>
    <row r="36" ht="22.5" customHeight="1">
      <c r="A36" s="47" t="str">
        <f>IFERROR(__xludf.DUMMYFUNCTION("""COMPUTED_VALUE"""),"Hoàng Nhật Mai")</f>
        <v>Hoàng Nhật Mai</v>
      </c>
      <c r="B36" s="67">
        <v>3.0</v>
      </c>
      <c r="C36" s="65" t="str">
        <f>IFERROR(__xludf.DUMMYFUNCTION("""COMPUTED_VALUE"""),"✅ ĐỦ HÀNG")</f>
        <v>✅ ĐỦ HÀNG</v>
      </c>
      <c r="D36" s="47"/>
    </row>
    <row r="37" ht="22.5" customHeight="1">
      <c r="A37" s="47" t="str">
        <f>IFERROR(__xludf.DUMMYFUNCTION("""COMPUTED_VALUE"""),"Hong Doan")</f>
        <v>Hong Doan</v>
      </c>
      <c r="B37" s="67">
        <v>8.0</v>
      </c>
      <c r="C37" s="65" t="str">
        <f>IFERROR(__xludf.DUMMYFUNCTION("""COMPUTED_VALUE"""),"✅ ĐỦ HÀNG")</f>
        <v>✅ ĐỦ HÀNG</v>
      </c>
      <c r="D37" s="47"/>
    </row>
    <row r="38" ht="22.5" customHeight="1">
      <c r="A38" s="47" t="str">
        <f>IFERROR(__xludf.DUMMYFUNCTION("""COMPUTED_VALUE"""),"Cao The")</f>
        <v>Cao The</v>
      </c>
      <c r="B38" s="67">
        <v>1.0</v>
      </c>
      <c r="C38" s="65" t="str">
        <f>IFERROR(__xludf.DUMMYFUNCTION("""COMPUTED_VALUE"""),"✅ ĐỦ HÀNG")</f>
        <v>✅ ĐỦ HÀNG</v>
      </c>
      <c r="D38" s="47"/>
    </row>
    <row r="39" ht="22.5" customHeight="1">
      <c r="A39" s="47" t="str">
        <f>IFERROR(__xludf.DUMMYFUNCTION("""COMPUTED_VALUE"""),"Ngọc Hiền")</f>
        <v>Ngọc Hiền</v>
      </c>
      <c r="B39" s="67">
        <v>8.0</v>
      </c>
      <c r="C39" s="65" t="str">
        <f>IFERROR(__xludf.DUMMYFUNCTION("""COMPUTED_VALUE"""),"✅ ĐỦ HÀNG")</f>
        <v>✅ ĐỦ HÀNG</v>
      </c>
      <c r="D39" s="47"/>
    </row>
    <row r="40" ht="22.5" customHeight="1">
      <c r="A40" s="47" t="str">
        <f>IFERROR(__xludf.DUMMYFUNCTION("""COMPUTED_VALUE"""),"Huyền Trang")</f>
        <v>Huyền Trang</v>
      </c>
      <c r="B40" s="67">
        <v>11.0</v>
      </c>
      <c r="C40" s="65" t="str">
        <f>IFERROR(__xludf.DUMMYFUNCTION("""COMPUTED_VALUE"""),"✅ ĐỦ HÀNG")</f>
        <v>✅ ĐỦ HÀNG</v>
      </c>
      <c r="D40" s="47"/>
    </row>
    <row r="41" ht="22.5" customHeight="1">
      <c r="A41" s="47" t="str">
        <f>IFERROR(__xludf.DUMMYFUNCTION("""COMPUTED_VALUE"""),"Li Ly")</f>
        <v>Li Ly</v>
      </c>
      <c r="B41" s="67">
        <v>30.0</v>
      </c>
      <c r="C41" s="65" t="str">
        <f>IFERROR(__xludf.DUMMYFUNCTION("""COMPUTED_VALUE"""),"✅ ĐỦ HÀNG")</f>
        <v>✅ ĐỦ HÀNG</v>
      </c>
      <c r="D41" s="47"/>
    </row>
    <row r="42" ht="22.5" customHeight="1">
      <c r="A42" s="47" t="str">
        <f>IFERROR(__xludf.DUMMYFUNCTION("""COMPUTED_VALUE"""),"Thảo Huyền ")</f>
        <v>Thảo Huyền </v>
      </c>
      <c r="B42" s="67">
        <v>1.0</v>
      </c>
      <c r="C42" s="65" t="str">
        <f>IFERROR(__xludf.DUMMYFUNCTION("""COMPUTED_VALUE"""),"✅ ĐỦ HÀNG")</f>
        <v>✅ ĐỦ HÀNG</v>
      </c>
      <c r="D42" s="47"/>
    </row>
    <row r="43" ht="22.5" customHeight="1">
      <c r="A43" s="47" t="str">
        <f>IFERROR(__xludf.DUMMYFUNCTION("""COMPUTED_VALUE"""),"Huyền Thỏ")</f>
        <v>Huyền Thỏ</v>
      </c>
      <c r="B43" s="67">
        <v>8.0</v>
      </c>
      <c r="C43" s="65" t="str">
        <f>IFERROR(__xludf.DUMMYFUNCTION("""COMPUTED_VALUE"""),"✅ ĐỦ HÀNG")</f>
        <v>✅ ĐỦ HÀNG</v>
      </c>
      <c r="D43" s="47"/>
    </row>
    <row r="44" ht="22.5" customHeight="1">
      <c r="A44" s="47" t="str">
        <f>IFERROR(__xludf.DUMMYFUNCTION("""COMPUTED_VALUE"""),"Trà Mei")</f>
        <v>Trà Mei</v>
      </c>
      <c r="B44" s="67">
        <v>1.0</v>
      </c>
      <c r="C44" s="65" t="str">
        <f>IFERROR(__xludf.DUMMYFUNCTION("""COMPUTED_VALUE"""),"✅ ĐỦ HÀNG")</f>
        <v>✅ ĐỦ HÀNG</v>
      </c>
      <c r="D44" s="47"/>
    </row>
    <row r="45" ht="22.5" customHeight="1">
      <c r="A45" s="47" t="str">
        <f>IFERROR(__xludf.DUMMYFUNCTION("""COMPUTED_VALUE"""),"Vân Trang ")</f>
        <v>Vân Trang </v>
      </c>
      <c r="B45" s="67">
        <v>1.0</v>
      </c>
      <c r="C45" s="65" t="str">
        <f>IFERROR(__xludf.DUMMYFUNCTION("""COMPUTED_VALUE"""),"✅ ĐỦ HÀNG")</f>
        <v>✅ ĐỦ HÀNG</v>
      </c>
      <c r="D45" s="47"/>
    </row>
    <row r="46" ht="22.5" customHeight="1">
      <c r="A46" s="47" t="str">
        <f>IFERROR(__xludf.DUMMYFUNCTION("""COMPUTED_VALUE"""),"Nguyễn Hoàng")</f>
        <v>Nguyễn Hoàng</v>
      </c>
      <c r="B46" s="67">
        <v>2.0</v>
      </c>
      <c r="C46" s="65" t="str">
        <f>IFERROR(__xludf.DUMMYFUNCTION("""COMPUTED_VALUE"""),"✅ ĐỦ HÀNG")</f>
        <v>✅ ĐỦ HÀNG</v>
      </c>
      <c r="D46" s="47"/>
    </row>
    <row r="47" ht="22.5" customHeight="1">
      <c r="A47" s="47" t="str">
        <f>IFERROR(__xludf.DUMMYFUNCTION("""COMPUTED_VALUE"""),"Sami Sami")</f>
        <v>Sami Sami</v>
      </c>
      <c r="B47" s="67">
        <v>4.0</v>
      </c>
      <c r="C47" s="65" t="str">
        <f>IFERROR(__xludf.DUMMYFUNCTION("""COMPUTED_VALUE"""),"✅ ĐỦ HÀNG")</f>
        <v>✅ ĐỦ HÀNG</v>
      </c>
      <c r="D47" s="47"/>
    </row>
    <row r="48" ht="22.5" customHeight="1">
      <c r="A48" s="47" t="str">
        <f>IFERROR(__xludf.DUMMYFUNCTION("""COMPUTED_VALUE"""),"Yến Nhi")</f>
        <v>Yến Nhi</v>
      </c>
      <c r="B48" s="67">
        <v>15.0</v>
      </c>
      <c r="C48" s="65" t="str">
        <f>IFERROR(__xludf.DUMMYFUNCTION("""COMPUTED_VALUE"""),"✅ ĐỦ HÀNG")</f>
        <v>✅ ĐỦ HÀNG</v>
      </c>
      <c r="D48" s="47"/>
    </row>
    <row r="49" ht="22.5" customHeight="1">
      <c r="A49" s="47" t="str">
        <f>IFERROR(__xludf.DUMMYFUNCTION("""COMPUTED_VALUE"""),"Nhung Đỗ")</f>
        <v>Nhung Đỗ</v>
      </c>
      <c r="B49" s="67">
        <v>23.0</v>
      </c>
      <c r="C49" s="65" t="str">
        <f>IFERROR(__xludf.DUMMYFUNCTION("""COMPUTED_VALUE"""),"✅ ĐỦ HÀNG")</f>
        <v>✅ ĐỦ HÀNG</v>
      </c>
      <c r="D49" s="47"/>
    </row>
    <row r="50" ht="22.5" customHeight="1">
      <c r="A50" s="47" t="str">
        <f>IFERROR(__xludf.DUMMYFUNCTION("""COMPUTED_VALUE"""),"Hà Nhi")</f>
        <v>Hà Nhi</v>
      </c>
      <c r="B50" s="67">
        <v>2.0</v>
      </c>
      <c r="C50" s="65" t="str">
        <f>IFERROR(__xludf.DUMMYFUNCTION("""COMPUTED_VALUE"""),"✅ ĐỦ HÀNG")</f>
        <v>✅ ĐỦ HÀNG</v>
      </c>
      <c r="D50" s="47"/>
    </row>
    <row r="51" ht="22.5" customHeight="1">
      <c r="A51" s="47" t="str">
        <f>IFERROR(__xludf.DUMMYFUNCTION("""COMPUTED_VALUE"""),"Hương Nhật")</f>
        <v>Hương Nhật</v>
      </c>
      <c r="B51" s="67">
        <v>7.0</v>
      </c>
      <c r="C51" s="65" t="str">
        <f>IFERROR(__xludf.DUMMYFUNCTION("""COMPUTED_VALUE"""),"✅ ĐỦ HÀNG")</f>
        <v>✅ ĐỦ HÀNG</v>
      </c>
      <c r="D51" s="47"/>
    </row>
    <row r="52" ht="22.5" customHeight="1">
      <c r="A52" s="47" t="str">
        <f>IFERROR(__xludf.DUMMYFUNCTION("""COMPUTED_VALUE"""),"Anh Kieu Bao")</f>
        <v>Anh Kieu Bao</v>
      </c>
      <c r="B52" s="67">
        <v>1.0</v>
      </c>
      <c r="C52" s="65" t="str">
        <f>IFERROR(__xludf.DUMMYFUNCTION("""COMPUTED_VALUE"""),"✅ ĐỦ HÀNG")</f>
        <v>✅ ĐỦ HÀNG</v>
      </c>
      <c r="D52" s="47"/>
    </row>
    <row r="53" ht="22.5" customHeight="1">
      <c r="A53" s="47" t="str">
        <f>IFERROR(__xludf.DUMMYFUNCTION("""COMPUTED_VALUE"""),"Trangg Tũnn")</f>
        <v>Trangg Tũnn</v>
      </c>
      <c r="B53" s="67">
        <v>3.0</v>
      </c>
      <c r="C53" s="65" t="str">
        <f>IFERROR(__xludf.DUMMYFUNCTION("""COMPUTED_VALUE"""),"✅ ĐỦ HÀNG")</f>
        <v>✅ ĐỦ HÀNG</v>
      </c>
      <c r="D53" s="47"/>
    </row>
    <row r="54" ht="22.5" hidden="1" customHeight="1">
      <c r="A54" s="47" t="str">
        <f>IFERROR(__xludf.DUMMYFUNCTION("""COMPUTED_VALUE"""),"Ngọc Dung")</f>
        <v>Ngọc Dung</v>
      </c>
      <c r="B54" s="67">
        <v>4.0</v>
      </c>
      <c r="C54" s="65" t="str">
        <f>IFERROR(__xludf.DUMMYFUNCTION("""COMPUTED_VALUE"""),"✅ ĐỦ HÀNG")</f>
        <v>✅ ĐỦ HÀNG</v>
      </c>
      <c r="D54" s="48" t="s">
        <v>2363</v>
      </c>
      <c r="E54" s="44" t="s">
        <v>2367</v>
      </c>
    </row>
    <row r="55" ht="22.5" customHeight="1">
      <c r="A55" s="47" t="str">
        <f>IFERROR(__xludf.DUMMYFUNCTION("""COMPUTED_VALUE"""),"Nguyen Yen Nhi")</f>
        <v>Nguyen Yen Nhi</v>
      </c>
      <c r="B55" s="67">
        <v>7.0</v>
      </c>
      <c r="C55" s="65" t="str">
        <f>IFERROR(__xludf.DUMMYFUNCTION("""COMPUTED_VALUE"""),"✅ ĐỦ HÀNG")</f>
        <v>✅ ĐỦ HÀNG</v>
      </c>
      <c r="D55" s="47"/>
    </row>
    <row r="56" ht="22.5" customHeight="1">
      <c r="A56" s="47" t="str">
        <f>IFERROR(__xludf.DUMMYFUNCTION("""COMPUTED_VALUE"""),"Khánh Hoà ")</f>
        <v>Khánh Hoà </v>
      </c>
      <c r="B56" s="67">
        <v>1.0</v>
      </c>
      <c r="C56" s="65" t="str">
        <f>IFERROR(__xludf.DUMMYFUNCTION("""COMPUTED_VALUE"""),"✅ ĐỦ HÀNG")</f>
        <v>✅ ĐỦ HÀNG</v>
      </c>
      <c r="D56" s="47"/>
    </row>
    <row r="57" ht="22.5" customHeight="1">
      <c r="A57" s="47" t="str">
        <f>IFERROR(__xludf.DUMMYFUNCTION("""COMPUTED_VALUE"""),"Hồng Nhi")</f>
        <v>Hồng Nhi</v>
      </c>
      <c r="B57" s="67">
        <v>2.0</v>
      </c>
      <c r="C57" s="65" t="str">
        <f>IFERROR(__xludf.DUMMYFUNCTION("""COMPUTED_VALUE"""),"✅ ĐỦ HÀNG")</f>
        <v>✅ ĐỦ HÀNG</v>
      </c>
      <c r="D57" s="47"/>
    </row>
    <row r="58" ht="22.5" customHeight="1">
      <c r="A58" s="47" t="str">
        <f>IFERROR(__xludf.DUMMYFUNCTION("""COMPUTED_VALUE"""),"Huyền Trang ")</f>
        <v>Huyền Trang </v>
      </c>
      <c r="B58" s="67">
        <v>1.0</v>
      </c>
      <c r="C58" s="65" t="str">
        <f>IFERROR(__xludf.DUMMYFUNCTION("""COMPUTED_VALUE"""),"✅ ĐỦ HÀNG")</f>
        <v>✅ ĐỦ HÀNG</v>
      </c>
      <c r="D58" s="47"/>
    </row>
    <row r="59" ht="22.5" customHeight="1">
      <c r="A59" s="47" t="str">
        <f>IFERROR(__xludf.DUMMYFUNCTION("""COMPUTED_VALUE"""),"Hoàng Huyền")</f>
        <v>Hoàng Huyền</v>
      </c>
      <c r="B59" s="67">
        <v>2.0</v>
      </c>
      <c r="C59" s="65" t="str">
        <f>IFERROR(__xludf.DUMMYFUNCTION("""COMPUTED_VALUE"""),"✅ ĐỦ HÀNG")</f>
        <v>✅ ĐỦ HÀNG</v>
      </c>
      <c r="D59" s="47"/>
    </row>
    <row r="60" ht="22.5" customHeight="1">
      <c r="A60" s="47" t="str">
        <f>IFERROR(__xludf.DUMMYFUNCTION("""COMPUTED_VALUE"""),"Trần T Thuỳ")</f>
        <v>Trần T Thuỳ</v>
      </c>
      <c r="B60" s="67">
        <v>1.0</v>
      </c>
      <c r="C60" s="65" t="str">
        <f>IFERROR(__xludf.DUMMYFUNCTION("""COMPUTED_VALUE"""),"✅ ĐỦ HÀNG")</f>
        <v>✅ ĐỦ HÀNG</v>
      </c>
      <c r="D60" s="47"/>
    </row>
    <row r="61" ht="22.5" customHeight="1">
      <c r="A61" s="47" t="str">
        <f>IFERROR(__xludf.DUMMYFUNCTION("""COMPUTED_VALUE"""),"Ty Ty")</f>
        <v>Ty Ty</v>
      </c>
      <c r="B61" s="67">
        <v>2.0</v>
      </c>
      <c r="C61" s="65" t="str">
        <f>IFERROR(__xludf.DUMMYFUNCTION("""COMPUTED_VALUE"""),"✅ ĐỦ HÀNG")</f>
        <v>✅ ĐỦ HÀNG</v>
      </c>
      <c r="D61" s="47"/>
    </row>
    <row r="62" ht="22.5" customHeight="1">
      <c r="A62" s="47" t="str">
        <f>IFERROR(__xludf.DUMMYFUNCTION("""COMPUTED_VALUE"""),"Phạm Thuý")</f>
        <v>Phạm Thuý</v>
      </c>
      <c r="B62" s="67">
        <v>5.0</v>
      </c>
      <c r="C62" s="65" t="str">
        <f>IFERROR(__xludf.DUMMYFUNCTION("""COMPUTED_VALUE"""),"✅ ĐỦ HÀNG")</f>
        <v>✅ ĐỦ HÀNG</v>
      </c>
      <c r="D62" s="47"/>
    </row>
    <row r="63" ht="22.5" customHeight="1">
      <c r="A63" s="47" t="str">
        <f>IFERROR(__xludf.DUMMYFUNCTION("""COMPUTED_VALUE"""),"Chanh Lê")</f>
        <v>Chanh Lê</v>
      </c>
      <c r="B63" s="67">
        <v>8.0</v>
      </c>
      <c r="C63" s="65" t="str">
        <f>IFERROR(__xludf.DUMMYFUNCTION("""COMPUTED_VALUE"""),"✅ ĐỦ HÀNG")</f>
        <v>✅ ĐỦ HÀNG</v>
      </c>
      <c r="D63" s="47"/>
    </row>
    <row r="64" ht="22.5" customHeight="1">
      <c r="A64" s="47" t="str">
        <f>IFERROR(__xludf.DUMMYFUNCTION("""COMPUTED_VALUE"""),"Thanh Tiền")</f>
        <v>Thanh Tiền</v>
      </c>
      <c r="B64" s="67">
        <v>1.0</v>
      </c>
      <c r="C64" s="65" t="str">
        <f>IFERROR(__xludf.DUMMYFUNCTION("""COMPUTED_VALUE"""),"✅ ĐỦ HÀNG")</f>
        <v>✅ ĐỦ HÀNG</v>
      </c>
      <c r="D64" s="47"/>
    </row>
    <row r="65" ht="22.5" customHeight="1">
      <c r="A65" s="47" t="str">
        <f>IFERROR(__xludf.DUMMYFUNCTION("""COMPUTED_VALUE"""),"Bùi Thu Hiền")</f>
        <v>Bùi Thu Hiền</v>
      </c>
      <c r="B65" s="67">
        <v>4.0</v>
      </c>
      <c r="C65" s="65" t="str">
        <f>IFERROR(__xludf.DUMMYFUNCTION("""COMPUTED_VALUE"""),"✅ ĐỦ HÀNG")</f>
        <v>✅ ĐỦ HÀNG</v>
      </c>
      <c r="D65" s="47"/>
    </row>
    <row r="66" ht="22.5" customHeight="1">
      <c r="A66" s="47" t="str">
        <f>IFERROR(__xludf.DUMMYFUNCTION("""COMPUTED_VALUE"""),"Thuận Lê")</f>
        <v>Thuận Lê</v>
      </c>
      <c r="B66" s="67">
        <v>1.0</v>
      </c>
      <c r="C66" s="65" t="str">
        <f>IFERROR(__xludf.DUMMYFUNCTION("""COMPUTED_VALUE"""),"✅ ĐỦ HÀNG")</f>
        <v>✅ ĐỦ HÀNG</v>
      </c>
      <c r="D66" s="47"/>
    </row>
    <row r="67" ht="22.5" customHeight="1">
      <c r="A67" s="47" t="str">
        <f>IFERROR(__xludf.DUMMYFUNCTION("""COMPUTED_VALUE"""),"Hạ Trang")</f>
        <v>Hạ Trang</v>
      </c>
      <c r="B67" s="67">
        <v>3.0</v>
      </c>
      <c r="C67" s="65" t="str">
        <f>IFERROR(__xludf.DUMMYFUNCTION("""COMPUTED_VALUE"""),"✅ ĐỦ HÀNG")</f>
        <v>✅ ĐỦ HÀNG</v>
      </c>
      <c r="D67" s="47"/>
    </row>
    <row r="68" ht="22.5" customHeight="1">
      <c r="A68" s="47" t="str">
        <f>IFERROR(__xludf.DUMMYFUNCTION("""COMPUTED_VALUE"""),"Huyền Nga")</f>
        <v>Huyền Nga</v>
      </c>
      <c r="B68" s="67">
        <v>3.0</v>
      </c>
      <c r="C68" s="65" t="str">
        <f>IFERROR(__xludf.DUMMYFUNCTION("""COMPUTED_VALUE"""),"✅ ĐỦ HÀNG")</f>
        <v>✅ ĐỦ HÀNG</v>
      </c>
      <c r="D68" s="47"/>
    </row>
    <row r="69" ht="22.5" customHeight="1">
      <c r="A69" s="47" t="str">
        <f>IFERROR(__xludf.DUMMYFUNCTION("""COMPUTED_VALUE"""),"Thư Thư")</f>
        <v>Thư Thư</v>
      </c>
      <c r="B69" s="67">
        <v>2.0</v>
      </c>
      <c r="C69" s="65" t="str">
        <f>IFERROR(__xludf.DUMMYFUNCTION("""COMPUTED_VALUE"""),"✅ ĐỦ HÀNG")</f>
        <v>✅ ĐỦ HÀNG</v>
      </c>
      <c r="D69" s="47"/>
    </row>
    <row r="70" ht="22.5" customHeight="1">
      <c r="A70" s="47" t="str">
        <f>IFERROR(__xludf.DUMMYFUNCTION("""COMPUTED_VALUE"""),"Vũ Tuyền")</f>
        <v>Vũ Tuyền</v>
      </c>
      <c r="B70" s="67">
        <v>7.0</v>
      </c>
      <c r="C70" s="65" t="str">
        <f>IFERROR(__xludf.DUMMYFUNCTION("""COMPUTED_VALUE"""),"✅ ĐỦ HÀNG")</f>
        <v>✅ ĐỦ HÀNG</v>
      </c>
      <c r="D70" s="47"/>
    </row>
    <row r="71" ht="22.5" customHeight="1">
      <c r="A71" s="47" t="str">
        <f>IFERROR(__xludf.DUMMYFUNCTION("""COMPUTED_VALUE"""),"Hồ Thị Hải")</f>
        <v>Hồ Thị Hải</v>
      </c>
      <c r="B71" s="67">
        <v>2.0</v>
      </c>
      <c r="C71" s="65" t="str">
        <f>IFERROR(__xludf.DUMMYFUNCTION("""COMPUTED_VALUE"""),"✅ ĐỦ HÀNG")</f>
        <v>✅ ĐỦ HÀNG</v>
      </c>
      <c r="D71" s="47"/>
    </row>
    <row r="72" ht="22.5" customHeight="1">
      <c r="A72" s="47" t="str">
        <f>IFERROR(__xludf.DUMMYFUNCTION("""COMPUTED_VALUE"""),"Linh Đa Trần")</f>
        <v>Linh Đa Trần</v>
      </c>
      <c r="B72" s="67">
        <v>2.0</v>
      </c>
      <c r="C72" s="65" t="str">
        <f>IFERROR(__xludf.DUMMYFUNCTION("""COMPUTED_VALUE"""),"✅ ĐỦ HÀNG")</f>
        <v>✅ ĐỦ HÀNG</v>
      </c>
      <c r="D72" s="47"/>
    </row>
    <row r="73" ht="22.5" customHeight="1">
      <c r="A73" s="47" t="str">
        <f>IFERROR(__xludf.DUMMYFUNCTION("""COMPUTED_VALUE"""),"Tâm Hồ")</f>
        <v>Tâm Hồ</v>
      </c>
      <c r="B73" s="67">
        <v>3.0</v>
      </c>
      <c r="C73" s="65" t="str">
        <f>IFERROR(__xludf.DUMMYFUNCTION("""COMPUTED_VALUE"""),"✅ ĐỦ HÀNG")</f>
        <v>✅ ĐỦ HÀNG</v>
      </c>
      <c r="D73" s="47"/>
    </row>
    <row r="74" ht="22.5" customHeight="1">
      <c r="A74" s="47" t="str">
        <f>IFERROR(__xludf.DUMMYFUNCTION("""COMPUTED_VALUE"""),"Ng T. Kim Dungg")</f>
        <v>Ng T. Kim Dungg</v>
      </c>
      <c r="B74" s="67">
        <v>1.0</v>
      </c>
      <c r="C74" s="65" t="str">
        <f>IFERROR(__xludf.DUMMYFUNCTION("""COMPUTED_VALUE"""),"✅ ĐỦ HÀNG")</f>
        <v>✅ ĐỦ HÀNG</v>
      </c>
      <c r="D74" s="47"/>
    </row>
    <row r="75" ht="22.5" customHeight="1">
      <c r="A75" s="47" t="str">
        <f>IFERROR(__xludf.DUMMYFUNCTION("""COMPUTED_VALUE"""),"Minh Nguyệt")</f>
        <v>Minh Nguyệt</v>
      </c>
      <c r="B75" s="67">
        <v>7.0</v>
      </c>
      <c r="C75" s="65" t="str">
        <f>IFERROR(__xludf.DUMMYFUNCTION("""COMPUTED_VALUE"""),"✅ ĐỦ HÀNG")</f>
        <v>✅ ĐỦ HÀNG</v>
      </c>
      <c r="D75" s="47"/>
    </row>
    <row r="76" ht="22.5" customHeight="1">
      <c r="A76" s="47" t="str">
        <f>IFERROR(__xludf.DUMMYFUNCTION("""COMPUTED_VALUE"""),"Kim Chi")</f>
        <v>Kim Chi</v>
      </c>
      <c r="B76" s="67">
        <v>7.0</v>
      </c>
      <c r="C76" s="65" t="str">
        <f>IFERROR(__xludf.DUMMYFUNCTION("""COMPUTED_VALUE"""),"✅ ĐỦ HÀNG")</f>
        <v>✅ ĐỦ HÀNG</v>
      </c>
      <c r="D76" s="47"/>
    </row>
    <row r="77" ht="22.5" customHeight="1">
      <c r="A77" s="47" t="str">
        <f>IFERROR(__xludf.DUMMYFUNCTION("""COMPUTED_VALUE"""),"Huyền Trang 2")</f>
        <v>Huyền Trang 2</v>
      </c>
      <c r="B77" s="67">
        <v>2.0</v>
      </c>
      <c r="C77" s="65" t="str">
        <f>IFERROR(__xludf.DUMMYFUNCTION("""COMPUTED_VALUE"""),"✅ ĐỦ HÀNG")</f>
        <v>✅ ĐỦ HÀNG</v>
      </c>
      <c r="D77" s="47"/>
    </row>
    <row r="78" ht="22.5" customHeight="1">
      <c r="A78" s="47" t="str">
        <f>IFERROR(__xludf.DUMMYFUNCTION("""COMPUTED_VALUE"""),"Phạm Thị Diệu Linh")</f>
        <v>Phạm Thị Diệu Linh</v>
      </c>
      <c r="B78" s="67">
        <v>1.0</v>
      </c>
      <c r="C78" s="65" t="str">
        <f>IFERROR(__xludf.DUMMYFUNCTION("""COMPUTED_VALUE"""),"✅ ĐỦ HÀNG")</f>
        <v>✅ ĐỦ HÀNG</v>
      </c>
      <c r="D78" s="47"/>
    </row>
    <row r="79" ht="22.5" customHeight="1">
      <c r="A79" s="47" t="str">
        <f>IFERROR(__xludf.DUMMYFUNCTION("""COMPUTED_VALUE"""),"Đàm Mai Lan")</f>
        <v>Đàm Mai Lan</v>
      </c>
      <c r="B79" s="67">
        <v>1.0</v>
      </c>
      <c r="C79" s="65" t="str">
        <f>IFERROR(__xludf.DUMMYFUNCTION("""COMPUTED_VALUE"""),"✅ ĐỦ HÀNG")</f>
        <v>✅ ĐỦ HÀNG</v>
      </c>
      <c r="D79" s="47"/>
    </row>
    <row r="80" ht="22.5" customHeight="1">
      <c r="A80" s="47" t="str">
        <f>IFERROR(__xludf.DUMMYFUNCTION("""COMPUTED_VALUE"""),"Nguyễn Thị Hiền")</f>
        <v>Nguyễn Thị Hiền</v>
      </c>
      <c r="B80" s="67">
        <v>5.0</v>
      </c>
      <c r="C80" s="65" t="str">
        <f>IFERROR(__xludf.DUMMYFUNCTION("""COMPUTED_VALUE"""),"✅ ĐỦ HÀNG")</f>
        <v>✅ ĐỦ HÀNG</v>
      </c>
      <c r="D80" s="47"/>
    </row>
    <row r="81" ht="22.5" customHeight="1">
      <c r="A81" s="47" t="str">
        <f>IFERROR(__xludf.DUMMYFUNCTION("""COMPUTED_VALUE"""),"Thiên An")</f>
        <v>Thiên An</v>
      </c>
      <c r="B81" s="67">
        <v>3.0</v>
      </c>
      <c r="C81" s="65" t="str">
        <f>IFERROR(__xludf.DUMMYFUNCTION("""COMPUTED_VALUE"""),"✅ ĐỦ HÀNG")</f>
        <v>✅ ĐỦ HÀNG</v>
      </c>
      <c r="D81" s="47"/>
    </row>
    <row r="82" ht="22.5" customHeight="1">
      <c r="A82" s="47" t="str">
        <f>IFERROR(__xludf.DUMMYFUNCTION("""COMPUTED_VALUE"""),"Nhung Kul's")</f>
        <v>Nhung Kul's</v>
      </c>
      <c r="B82" s="67">
        <v>1.0</v>
      </c>
      <c r="C82" s="65" t="str">
        <f>IFERROR(__xludf.DUMMYFUNCTION("""COMPUTED_VALUE"""),"✅ ĐỦ HÀNG")</f>
        <v>✅ ĐỦ HÀNG</v>
      </c>
      <c r="D82" s="47"/>
    </row>
    <row r="83" ht="22.5" customHeight="1">
      <c r="A83" s="47" t="str">
        <f>IFERROR(__xludf.DUMMYFUNCTION("""COMPUTED_VALUE"""),"Thiên Lý")</f>
        <v>Thiên Lý</v>
      </c>
      <c r="B83" s="67">
        <v>1.0</v>
      </c>
      <c r="C83" s="65" t="str">
        <f>IFERROR(__xludf.DUMMYFUNCTION("""COMPUTED_VALUE"""),"✅ ĐỦ HÀNG")</f>
        <v>✅ ĐỦ HÀNG</v>
      </c>
      <c r="D83" s="47"/>
    </row>
    <row r="84" ht="22.5" customHeight="1">
      <c r="A84" s="47" t="str">
        <f>IFERROR(__xludf.DUMMYFUNCTION("""COMPUTED_VALUE"""),"Trang Trần")</f>
        <v>Trang Trần</v>
      </c>
      <c r="B84" s="67">
        <v>6.0</v>
      </c>
      <c r="C84" s="65" t="str">
        <f>IFERROR(__xludf.DUMMYFUNCTION("""COMPUTED_VALUE"""),"✅ ĐỦ HÀNG")</f>
        <v>✅ ĐỦ HÀNG</v>
      </c>
      <c r="D84" s="47"/>
    </row>
    <row r="85" ht="22.5" customHeight="1">
      <c r="A85" s="47" t="str">
        <f>IFERROR(__xludf.DUMMYFUNCTION("""COMPUTED_VALUE"""),"Thu Hường Nguyễn")</f>
        <v>Thu Hường Nguyễn</v>
      </c>
      <c r="B85" s="67">
        <v>12.0</v>
      </c>
      <c r="C85" s="65" t="str">
        <f>IFERROR(__xludf.DUMMYFUNCTION("""COMPUTED_VALUE"""),"✅ ĐỦ HÀNG")</f>
        <v>✅ ĐỦ HÀNG</v>
      </c>
      <c r="D85" s="47"/>
    </row>
    <row r="86" ht="22.5" customHeight="1">
      <c r="A86" s="47" t="str">
        <f>IFERROR(__xludf.DUMMYFUNCTION("""COMPUTED_VALUE"""),"Duong Cam Tu")</f>
        <v>Duong Cam Tu</v>
      </c>
      <c r="B86" s="67">
        <v>3.0</v>
      </c>
      <c r="C86" s="65" t="str">
        <f>IFERROR(__xludf.DUMMYFUNCTION("""COMPUTED_VALUE"""),"✅ ĐỦ HÀNG")</f>
        <v>✅ ĐỦ HÀNG</v>
      </c>
      <c r="D86" s="47"/>
    </row>
    <row r="87" ht="22.5" customHeight="1">
      <c r="A87" s="47" t="str">
        <f>IFERROR(__xludf.DUMMYFUNCTION("""COMPUTED_VALUE"""),"Đỗ Duyên")</f>
        <v>Đỗ Duyên</v>
      </c>
      <c r="B87" s="67">
        <v>4.0</v>
      </c>
      <c r="C87" s="65" t="str">
        <f>IFERROR(__xludf.DUMMYFUNCTION("""COMPUTED_VALUE"""),"✅ ĐỦ HÀNG")</f>
        <v>✅ ĐỦ HÀNG</v>
      </c>
      <c r="D87" s="47"/>
    </row>
    <row r="88" ht="22.5" customHeight="1">
      <c r="A88" s="47" t="str">
        <f>IFERROR(__xludf.DUMMYFUNCTION("""COMPUTED_VALUE"""),"Loan Trần")</f>
        <v>Loan Trần</v>
      </c>
      <c r="B88" s="67">
        <v>5.0</v>
      </c>
      <c r="C88" s="65" t="str">
        <f>IFERROR(__xludf.DUMMYFUNCTION("""COMPUTED_VALUE"""),"✅ ĐỦ HÀNG")</f>
        <v>✅ ĐỦ HÀNG</v>
      </c>
      <c r="D88" s="47"/>
    </row>
    <row r="89" ht="22.5" customHeight="1">
      <c r="A89" s="47" t="str">
        <f>IFERROR(__xludf.DUMMYFUNCTION("""COMPUTED_VALUE"""),"Lê Hải Yến")</f>
        <v>Lê Hải Yến</v>
      </c>
      <c r="B89" s="67">
        <v>4.0</v>
      </c>
      <c r="C89" s="65" t="str">
        <f>IFERROR(__xludf.DUMMYFUNCTION("""COMPUTED_VALUE"""),"✅ ĐỦ HÀNG")</f>
        <v>✅ ĐỦ HÀNG</v>
      </c>
      <c r="D89" s="47"/>
    </row>
    <row r="90" ht="22.5" customHeight="1">
      <c r="A90" s="47" t="str">
        <f>IFERROR(__xludf.DUMMYFUNCTION("""COMPUTED_VALUE"""),"Linh Nguyen")</f>
        <v>Linh Nguyen</v>
      </c>
      <c r="B90" s="67">
        <v>11.0</v>
      </c>
      <c r="C90" s="65" t="str">
        <f>IFERROR(__xludf.DUMMYFUNCTION("""COMPUTED_VALUE"""),"✅ ĐỦ HÀNG")</f>
        <v>✅ ĐỦ HÀNG</v>
      </c>
      <c r="D90" s="47"/>
    </row>
    <row r="91" ht="22.5" customHeight="1">
      <c r="A91" s="47" t="str">
        <f>IFERROR(__xludf.DUMMYFUNCTION("""COMPUTED_VALUE"""),"Đào Thị Thu")</f>
        <v>Đào Thị Thu</v>
      </c>
      <c r="B91" s="67">
        <v>1.0</v>
      </c>
      <c r="C91" s="65" t="str">
        <f>IFERROR(__xludf.DUMMYFUNCTION("""COMPUTED_VALUE"""),"✅ ĐỦ HÀNG")</f>
        <v>✅ ĐỦ HÀNG</v>
      </c>
      <c r="D91" s="47"/>
    </row>
    <row r="92" ht="22.5" customHeight="1">
      <c r="A92" s="47" t="str">
        <f>IFERROR(__xludf.DUMMYFUNCTION("""COMPUTED_VALUE"""),"Thuỳ Trangg")</f>
        <v>Thuỳ Trangg</v>
      </c>
      <c r="B92" s="67">
        <v>5.0</v>
      </c>
      <c r="C92" s="65" t="str">
        <f>IFERROR(__xludf.DUMMYFUNCTION("""COMPUTED_VALUE"""),"✅ ĐỦ HÀNG")</f>
        <v>✅ ĐỦ HÀNG</v>
      </c>
      <c r="D92" s="47"/>
    </row>
    <row r="93" ht="22.5" customHeight="1">
      <c r="A93" s="47" t="str">
        <f>IFERROR(__xludf.DUMMYFUNCTION("""COMPUTED_VALUE"""),"Thuý Hạnh")</f>
        <v>Thuý Hạnh</v>
      </c>
      <c r="B93" s="67">
        <v>3.0</v>
      </c>
      <c r="C93" s="65" t="str">
        <f>IFERROR(__xludf.DUMMYFUNCTION("""COMPUTED_VALUE"""),"✅ ĐỦ HÀNG")</f>
        <v>✅ ĐỦ HÀNG</v>
      </c>
      <c r="D93" s="47"/>
    </row>
    <row r="94" ht="22.5" customHeight="1">
      <c r="A94" s="47" t="str">
        <f>IFERROR(__xludf.DUMMYFUNCTION("""COMPUTED_VALUE"""),"chup bi Kiều")</f>
        <v>chup bi Kiều</v>
      </c>
      <c r="B94" s="67">
        <v>1.0</v>
      </c>
      <c r="C94" s="65" t="str">
        <f>IFERROR(__xludf.DUMMYFUNCTION("""COMPUTED_VALUE"""),"✅ ĐỦ HÀNG")</f>
        <v>✅ ĐỦ HÀNG</v>
      </c>
      <c r="D94" s="47"/>
    </row>
    <row r="95" ht="22.5" customHeight="1">
      <c r="A95" s="47" t="str">
        <f>IFERROR(__xludf.DUMMYFUNCTION("""COMPUTED_VALUE"""),"Quỳnh Như")</f>
        <v>Quỳnh Như</v>
      </c>
      <c r="B95" s="67">
        <v>1.0</v>
      </c>
      <c r="C95" s="65" t="str">
        <f>IFERROR(__xludf.DUMMYFUNCTION("""COMPUTED_VALUE"""),"✅ ĐỦ HÀNG")</f>
        <v>✅ ĐỦ HÀNG</v>
      </c>
      <c r="D95" s="47"/>
    </row>
    <row r="96" ht="22.5" customHeight="1">
      <c r="A96" s="47" t="str">
        <f>IFERROR(__xludf.DUMMYFUNCTION("""COMPUTED_VALUE"""),"Khánh Nhung")</f>
        <v>Khánh Nhung</v>
      </c>
      <c r="B96" s="67">
        <v>2.0</v>
      </c>
      <c r="C96" s="65" t="str">
        <f>IFERROR(__xludf.DUMMYFUNCTION("""COMPUTED_VALUE"""),"✅ ĐỦ HÀNG")</f>
        <v>✅ ĐỦ HÀNG</v>
      </c>
      <c r="D96" s="47"/>
    </row>
    <row r="97" ht="22.5" customHeight="1">
      <c r="A97" s="47" t="str">
        <f>IFERROR(__xludf.DUMMYFUNCTION("""COMPUTED_VALUE"""),"Nguyễn Thu Thảo")</f>
        <v>Nguyễn Thu Thảo</v>
      </c>
      <c r="B97" s="67">
        <v>1.0</v>
      </c>
      <c r="C97" s="65" t="str">
        <f>IFERROR(__xludf.DUMMYFUNCTION("""COMPUTED_VALUE"""),"✅ ĐỦ HÀNG")</f>
        <v>✅ ĐỦ HÀNG</v>
      </c>
      <c r="D97" s="47"/>
    </row>
    <row r="98" ht="22.5" customHeight="1">
      <c r="A98" s="47" t="str">
        <f>IFERROR(__xludf.DUMMYFUNCTION("""COMPUTED_VALUE"""),"Hằng Min's")</f>
        <v>Hằng Min's</v>
      </c>
      <c r="B98" s="67">
        <v>1.0</v>
      </c>
      <c r="C98" s="65" t="str">
        <f>IFERROR(__xludf.DUMMYFUNCTION("""COMPUTED_VALUE"""),"✅ ĐỦ HÀNG")</f>
        <v>✅ ĐỦ HÀNG</v>
      </c>
      <c r="D98" s="47"/>
    </row>
    <row r="99" ht="22.5" customHeight="1">
      <c r="A99" s="47" t="str">
        <f>IFERROR(__xludf.DUMMYFUNCTION("""COMPUTED_VALUE"""),"Sáu Nguyễn")</f>
        <v>Sáu Nguyễn</v>
      </c>
      <c r="B99" s="67">
        <v>1.0</v>
      </c>
      <c r="C99" s="65" t="str">
        <f>IFERROR(__xludf.DUMMYFUNCTION("""COMPUTED_VALUE"""),"✅ ĐỦ HÀNG")</f>
        <v>✅ ĐỦ HÀNG</v>
      </c>
      <c r="D99" s="47"/>
    </row>
    <row r="100" ht="22.5" customHeight="1">
      <c r="A100" s="47" t="str">
        <f>IFERROR(__xludf.DUMMYFUNCTION("""COMPUTED_VALUE"""),"Hà Trần")</f>
        <v>Hà Trần</v>
      </c>
      <c r="B100" s="67">
        <v>6.0</v>
      </c>
      <c r="C100" s="65" t="str">
        <f>IFERROR(__xludf.DUMMYFUNCTION("""COMPUTED_VALUE"""),"✅ ĐỦ HÀNG")</f>
        <v>✅ ĐỦ HÀNG</v>
      </c>
      <c r="D100" s="47"/>
    </row>
    <row r="101" ht="22.5" customHeight="1">
      <c r="A101" s="47" t="str">
        <f>IFERROR(__xludf.DUMMYFUNCTION("""COMPUTED_VALUE"""),"Diễm Pưngg")</f>
        <v>Diễm Pưngg</v>
      </c>
      <c r="B101" s="67">
        <v>1.0</v>
      </c>
      <c r="C101" s="65" t="str">
        <f>IFERROR(__xludf.DUMMYFUNCTION("""COMPUTED_VALUE"""),"✅ ĐỦ HÀNG")</f>
        <v>✅ ĐỦ HÀNG</v>
      </c>
      <c r="D101" s="47"/>
    </row>
    <row r="102" ht="22.5" customHeight="1">
      <c r="A102" s="47" t="str">
        <f>IFERROR(__xludf.DUMMYFUNCTION("""COMPUTED_VALUE"""),"Nhật Giang")</f>
        <v>Nhật Giang</v>
      </c>
      <c r="B102" s="67">
        <v>11.0</v>
      </c>
      <c r="C102" s="65" t="str">
        <f>IFERROR(__xludf.DUMMYFUNCTION("""COMPUTED_VALUE"""),"✅ ĐỦ HÀNG")</f>
        <v>✅ ĐỦ HÀNG</v>
      </c>
      <c r="D102" s="47"/>
    </row>
    <row r="103" ht="22.5" hidden="1" customHeight="1">
      <c r="A103" s="47" t="str">
        <f>IFERROR(__xludf.DUMMYFUNCTION("""COMPUTED_VALUE"""),"Võ Thị Ngọc Châu")</f>
        <v>Võ Thị Ngọc Châu</v>
      </c>
      <c r="B103" s="67">
        <v>1.0</v>
      </c>
      <c r="C103" s="65" t="str">
        <f>IFERROR(__xludf.DUMMYFUNCTION("""COMPUTED_VALUE"""),"✅ ĐỦ HÀNG")</f>
        <v>✅ ĐỦ HÀNG</v>
      </c>
      <c r="D103" s="48" t="s">
        <v>2363</v>
      </c>
      <c r="E103" s="44" t="s">
        <v>2368</v>
      </c>
    </row>
    <row r="104" ht="22.5" customHeight="1">
      <c r="A104" s="47" t="str">
        <f>IFERROR(__xludf.DUMMYFUNCTION("""COMPUTED_VALUE"""),"Ngọc Ánh")</f>
        <v>Ngọc Ánh</v>
      </c>
      <c r="B104" s="67">
        <v>12.0</v>
      </c>
      <c r="C104" s="65" t="str">
        <f>IFERROR(__xludf.DUMMYFUNCTION("""COMPUTED_VALUE"""),"✅ ĐỦ HÀNG")</f>
        <v>✅ ĐỦ HÀNG</v>
      </c>
      <c r="D104" s="47"/>
    </row>
    <row r="105" ht="22.5" hidden="1" customHeight="1">
      <c r="A105" s="47" t="str">
        <f>IFERROR(__xludf.DUMMYFUNCTION("""COMPUTED_VALUE"""),"Hồng Phấn")</f>
        <v>Hồng Phấn</v>
      </c>
      <c r="B105" s="67">
        <v>5.0</v>
      </c>
      <c r="C105" s="65" t="str">
        <f>IFERROR(__xludf.DUMMYFUNCTION("""COMPUTED_VALUE"""),"✅ ĐỦ HÀNG")</f>
        <v>✅ ĐỦ HÀNG</v>
      </c>
      <c r="D105" s="48" t="s">
        <v>2363</v>
      </c>
      <c r="E105" s="44" t="s">
        <v>2369</v>
      </c>
    </row>
    <row r="106" ht="22.5" customHeight="1">
      <c r="A106" s="47" t="str">
        <f>IFERROR(__xludf.DUMMYFUNCTION("""COMPUTED_VALUE"""),"Nguyễn Minh Anh")</f>
        <v>Nguyễn Minh Anh</v>
      </c>
      <c r="B106" s="67">
        <v>9.0</v>
      </c>
      <c r="C106" s="65" t="str">
        <f>IFERROR(__xludf.DUMMYFUNCTION("""COMPUTED_VALUE"""),"✅ ĐỦ HÀNG")</f>
        <v>✅ ĐỦ HÀNG</v>
      </c>
      <c r="D106" s="47"/>
    </row>
    <row r="107" ht="22.5" hidden="1" customHeight="1">
      <c r="A107" s="47" t="str">
        <f>IFERROR(__xludf.DUMMYFUNCTION("""COMPUTED_VALUE"""),"Hoang Anh")</f>
        <v>Hoang Anh</v>
      </c>
      <c r="B107" s="67">
        <v>7.0</v>
      </c>
      <c r="C107" s="65" t="str">
        <f>IFERROR(__xludf.DUMMYFUNCTION("""COMPUTED_VALUE"""),"✅ ĐỦ HÀNG")</f>
        <v>✅ ĐỦ HÀNG</v>
      </c>
      <c r="D107" s="48" t="s">
        <v>2363</v>
      </c>
      <c r="E107" s="44" t="s">
        <v>2370</v>
      </c>
    </row>
    <row r="108" ht="22.5" hidden="1" customHeight="1">
      <c r="A108" s="47" t="str">
        <f>IFERROR(__xludf.DUMMYFUNCTION("""COMPUTED_VALUE"""),"NaNa Purple")</f>
        <v>NaNa Purple</v>
      </c>
      <c r="B108" s="67">
        <v>9.0</v>
      </c>
      <c r="C108" s="65" t="str">
        <f>IFERROR(__xludf.DUMMYFUNCTION("""COMPUTED_VALUE"""),"✅ ĐỦ HÀNG")</f>
        <v>✅ ĐỦ HÀNG</v>
      </c>
      <c r="D108" s="48" t="s">
        <v>2363</v>
      </c>
      <c r="E108" s="44" t="s">
        <v>2371</v>
      </c>
    </row>
    <row r="109" ht="22.5" hidden="1" customHeight="1">
      <c r="A109" s="47" t="str">
        <f>IFERROR(__xludf.DUMMYFUNCTION("""COMPUTED_VALUE"""),"Luyện Bùi ")</f>
        <v>Luyện Bùi </v>
      </c>
      <c r="B109" s="67">
        <v>1.0</v>
      </c>
      <c r="C109" s="65" t="str">
        <f>IFERROR(__xludf.DUMMYFUNCTION("""COMPUTED_VALUE"""),"✅ ĐỦ HÀNG")</f>
        <v>✅ ĐỦ HÀNG</v>
      </c>
      <c r="D109" s="48" t="s">
        <v>2363</v>
      </c>
      <c r="E109" s="44" t="s">
        <v>2372</v>
      </c>
    </row>
    <row r="110" ht="22.5" customHeight="1">
      <c r="A110" s="47" t="str">
        <f>IFERROR(__xludf.DUMMYFUNCTION("""COMPUTED_VALUE"""),"Đỗ Hồng Thắm")</f>
        <v>Đỗ Hồng Thắm</v>
      </c>
      <c r="B110" s="67">
        <v>1.0</v>
      </c>
      <c r="C110" s="65" t="str">
        <f>IFERROR(__xludf.DUMMYFUNCTION("""COMPUTED_VALUE"""),"✅ ĐỦ HÀNG")</f>
        <v>✅ ĐỦ HÀNG</v>
      </c>
      <c r="D110" s="47"/>
    </row>
    <row r="111" ht="22.5" customHeight="1">
      <c r="A111" s="47" t="str">
        <f>IFERROR(__xludf.DUMMYFUNCTION("""COMPUTED_VALUE"""),"Cao Thị Vinh")</f>
        <v>Cao Thị Vinh</v>
      </c>
      <c r="B111" s="67">
        <v>6.0</v>
      </c>
      <c r="C111" s="65" t="str">
        <f>IFERROR(__xludf.DUMMYFUNCTION("""COMPUTED_VALUE"""),"✅ ĐỦ HÀNG")</f>
        <v>✅ ĐỦ HÀNG</v>
      </c>
      <c r="D111" s="47"/>
    </row>
    <row r="112" ht="22.5" customHeight="1">
      <c r="A112" s="47" t="str">
        <f>IFERROR(__xludf.DUMMYFUNCTION("""COMPUTED_VALUE"""),"Nguyệt Nga")</f>
        <v>Nguyệt Nga</v>
      </c>
      <c r="B112" s="67">
        <v>5.0</v>
      </c>
      <c r="C112" s="65" t="str">
        <f>IFERROR(__xludf.DUMMYFUNCTION("""COMPUTED_VALUE"""),"✅ ĐỦ HÀNG")</f>
        <v>✅ ĐỦ HÀNG</v>
      </c>
      <c r="D112" s="47"/>
    </row>
    <row r="113" ht="22.5" customHeight="1">
      <c r="A113" s="47" t="str">
        <f>IFERROR(__xludf.DUMMYFUNCTION("""COMPUTED_VALUE"""),"Mến Trần")</f>
        <v>Mến Trần</v>
      </c>
      <c r="B113" s="67">
        <v>4.0</v>
      </c>
      <c r="C113" s="65" t="str">
        <f>IFERROR(__xludf.DUMMYFUNCTION("""COMPUTED_VALUE"""),"✅ ĐỦ HÀNG")</f>
        <v>✅ ĐỦ HÀNG</v>
      </c>
      <c r="D113" s="47"/>
    </row>
    <row r="114" ht="22.5" customHeight="1">
      <c r="A114" s="47" t="str">
        <f>IFERROR(__xludf.DUMMYFUNCTION("""COMPUTED_VALUE"""),"Nguyễn Thu Trang")</f>
        <v>Nguyễn Thu Trang</v>
      </c>
      <c r="B114" s="67">
        <v>3.0</v>
      </c>
      <c r="C114" s="65" t="str">
        <f>IFERROR(__xludf.DUMMYFUNCTION("""COMPUTED_VALUE"""),"✅ ĐỦ HÀNG")</f>
        <v>✅ ĐỦ HÀNG</v>
      </c>
      <c r="D114" s="47"/>
    </row>
    <row r="115" ht="22.5" customHeight="1">
      <c r="A115" s="47" t="str">
        <f>IFERROR(__xludf.DUMMYFUNCTION("""COMPUTED_VALUE"""),"Thiên Yết")</f>
        <v>Thiên Yết</v>
      </c>
      <c r="B115" s="67">
        <v>10.0</v>
      </c>
      <c r="C115" s="65" t="str">
        <f>IFERROR(__xludf.DUMMYFUNCTION("""COMPUTED_VALUE"""),"✅ ĐỦ HÀNG")</f>
        <v>✅ ĐỦ HÀNG</v>
      </c>
      <c r="D115" s="47"/>
    </row>
    <row r="116" ht="22.5" customHeight="1">
      <c r="A116" s="47" t="str">
        <f>IFERROR(__xludf.DUMMYFUNCTION("""COMPUTED_VALUE"""),"Hoa Shine")</f>
        <v>Hoa Shine</v>
      </c>
      <c r="B116" s="67">
        <v>4.0</v>
      </c>
      <c r="C116" s="65" t="str">
        <f>IFERROR(__xludf.DUMMYFUNCTION("""COMPUTED_VALUE"""),"✅ ĐỦ HÀNG")</f>
        <v>✅ ĐỦ HÀNG</v>
      </c>
      <c r="D116" s="47"/>
    </row>
    <row r="117" ht="22.5" customHeight="1">
      <c r="A117" s="47" t="str">
        <f>IFERROR(__xludf.DUMMYFUNCTION("""COMPUTED_VALUE"""),"Mùi Rau")</f>
        <v>Mùi Rau</v>
      </c>
      <c r="B117" s="67">
        <v>3.0</v>
      </c>
      <c r="C117" s="65" t="str">
        <f>IFERROR(__xludf.DUMMYFUNCTION("""COMPUTED_VALUE"""),"✅ ĐỦ HÀNG")</f>
        <v>✅ ĐỦ HÀNG</v>
      </c>
      <c r="D117" s="47"/>
    </row>
    <row r="118" ht="22.5" customHeight="1">
      <c r="A118" s="47" t="str">
        <f>IFERROR(__xludf.DUMMYFUNCTION("""COMPUTED_VALUE"""),"Hà Ji Yong")</f>
        <v>Hà Ji Yong</v>
      </c>
      <c r="B118" s="67">
        <v>2.0</v>
      </c>
      <c r="C118" s="65" t="str">
        <f>IFERROR(__xludf.DUMMYFUNCTION("""COMPUTED_VALUE"""),"✅ ĐỦ HÀNG")</f>
        <v>✅ ĐỦ HÀNG</v>
      </c>
      <c r="D118" s="47"/>
    </row>
    <row r="119" ht="22.5" customHeight="1">
      <c r="A119" s="47" t="str">
        <f>IFERROR(__xludf.DUMMYFUNCTION("""COMPUTED_VALUE"""),"Thanh Thảo")</f>
        <v>Thanh Thảo</v>
      </c>
      <c r="B119" s="67">
        <v>7.0</v>
      </c>
      <c r="C119" s="65" t="str">
        <f>IFERROR(__xludf.DUMMYFUNCTION("""COMPUTED_VALUE"""),"✅ ĐỦ HÀNG")</f>
        <v>✅ ĐỦ HÀNG</v>
      </c>
      <c r="D119" s="47"/>
    </row>
    <row r="120" ht="22.5" customHeight="1">
      <c r="A120" s="47" t="str">
        <f>IFERROR(__xludf.DUMMYFUNCTION("""COMPUTED_VALUE"""),"Khánh Hoà")</f>
        <v>Khánh Hoà</v>
      </c>
      <c r="B120" s="67">
        <v>2.0</v>
      </c>
      <c r="C120" s="65" t="str">
        <f>IFERROR(__xludf.DUMMYFUNCTION("""COMPUTED_VALUE"""),"✅ ĐỦ HÀNG")</f>
        <v>✅ ĐỦ HÀNG</v>
      </c>
      <c r="D120" s="47"/>
    </row>
    <row r="121" ht="22.5" customHeight="1">
      <c r="A121" s="47" t="str">
        <f>IFERROR(__xludf.DUMMYFUNCTION("""COMPUTED_VALUE"""),"Phan Trang")</f>
        <v>Phan Trang</v>
      </c>
      <c r="B121" s="67">
        <v>4.0</v>
      </c>
      <c r="C121" s="65" t="str">
        <f>IFERROR(__xludf.DUMMYFUNCTION("""COMPUTED_VALUE"""),"✅ ĐỦ HÀNG")</f>
        <v>✅ ĐỦ HÀNG</v>
      </c>
      <c r="D121" s="47"/>
    </row>
    <row r="122" ht="22.5" customHeight="1">
      <c r="A122" s="47" t="str">
        <f>IFERROR(__xludf.DUMMYFUNCTION("""COMPUTED_VALUE"""),"Camgiang Tran")</f>
        <v>Camgiang Tran</v>
      </c>
      <c r="B122" s="67">
        <v>1.0</v>
      </c>
      <c r="C122" s="65" t="str">
        <f>IFERROR(__xludf.DUMMYFUNCTION("""COMPUTED_VALUE"""),"✅ ĐỦ HÀNG")</f>
        <v>✅ ĐỦ HÀNG</v>
      </c>
      <c r="D122" s="47"/>
    </row>
    <row r="123" ht="22.5" customHeight="1">
      <c r="A123" s="47" t="str">
        <f>IFERROR(__xludf.DUMMYFUNCTION("""COMPUTED_VALUE"""),"Chu Thị Phương Anh")</f>
        <v>Chu Thị Phương Anh</v>
      </c>
      <c r="B123" s="67">
        <v>2.0</v>
      </c>
      <c r="C123" s="65" t="str">
        <f>IFERROR(__xludf.DUMMYFUNCTION("""COMPUTED_VALUE"""),"✅ ĐỦ HÀNG")</f>
        <v>✅ ĐỦ HÀNG</v>
      </c>
      <c r="D123" s="47"/>
    </row>
    <row r="124" ht="22.5" customHeight="1">
      <c r="A124" s="47" t="str">
        <f>IFERROR(__xludf.DUMMYFUNCTION("""COMPUTED_VALUE"""),"Vũ Nguyễn Hạ My")</f>
        <v>Vũ Nguyễn Hạ My</v>
      </c>
      <c r="B124" s="67">
        <v>1.0</v>
      </c>
      <c r="C124" s="65" t="str">
        <f>IFERROR(__xludf.DUMMYFUNCTION("""COMPUTED_VALUE"""),"✅ ĐỦ HÀNG")</f>
        <v>✅ ĐỦ HÀNG</v>
      </c>
      <c r="D124" s="47"/>
    </row>
    <row r="125" ht="22.5" customHeight="1">
      <c r="A125" s="47" t="str">
        <f>IFERROR(__xludf.DUMMYFUNCTION("""COMPUTED_VALUE"""),"Yến Yến")</f>
        <v>Yến Yến</v>
      </c>
      <c r="B125" s="67">
        <v>9.0</v>
      </c>
      <c r="C125" s="65" t="str">
        <f>IFERROR(__xludf.DUMMYFUNCTION("""COMPUTED_VALUE"""),"✅ ĐỦ HÀNG")</f>
        <v>✅ ĐỦ HÀNG</v>
      </c>
      <c r="D125" s="47"/>
    </row>
    <row r="126" ht="22.5" hidden="1" customHeight="1">
      <c r="A126" s="47" t="str">
        <f>IFERROR(__xludf.DUMMYFUNCTION("""COMPUTED_VALUE"""),"Luyện Bùi")</f>
        <v>Luyện Bùi</v>
      </c>
      <c r="B126" s="67">
        <v>4.0</v>
      </c>
      <c r="C126" s="65" t="str">
        <f>IFERROR(__xludf.DUMMYFUNCTION("""COMPUTED_VALUE"""),"✅ ĐỦ HÀNG")</f>
        <v>✅ ĐỦ HÀNG</v>
      </c>
      <c r="D126" s="48" t="s">
        <v>2363</v>
      </c>
      <c r="E126" s="44" t="s">
        <v>2373</v>
      </c>
    </row>
    <row r="127" ht="22.5" customHeight="1">
      <c r="A127" s="47" t="str">
        <f>IFERROR(__xludf.DUMMYFUNCTION("""COMPUTED_VALUE"""),"Đăng T Phạm")</f>
        <v>Đăng T Phạm</v>
      </c>
      <c r="B127" s="67">
        <v>1.0</v>
      </c>
      <c r="C127" s="65" t="str">
        <f>IFERROR(__xludf.DUMMYFUNCTION("""COMPUTED_VALUE"""),"✅ ĐỦ HÀNG")</f>
        <v>✅ ĐỦ HÀNG</v>
      </c>
      <c r="D127" s="47"/>
    </row>
    <row r="128" ht="22.5" hidden="1" customHeight="1">
      <c r="A128" s="47" t="str">
        <f>IFERROR(__xludf.DUMMYFUNCTION("""COMPUTED_VALUE"""),"Bích Ngọc1")</f>
        <v>Bích Ngọc1</v>
      </c>
      <c r="B128" s="67">
        <v>4.0</v>
      </c>
      <c r="C128" s="65" t="str">
        <f>IFERROR(__xludf.DUMMYFUNCTION("""COMPUTED_VALUE"""),"✅ ĐỦ HÀNG")</f>
        <v>✅ ĐỦ HÀNG</v>
      </c>
      <c r="D128" s="48" t="s">
        <v>2363</v>
      </c>
      <c r="E128" s="44" t="s">
        <v>2374</v>
      </c>
    </row>
    <row r="129" ht="22.5" customHeight="1">
      <c r="A129" s="47" t="str">
        <f>IFERROR(__xludf.DUMMYFUNCTION("""COMPUTED_VALUE"""),"Trinh dathao")</f>
        <v>Trinh dathao</v>
      </c>
      <c r="B129" s="67">
        <v>3.0</v>
      </c>
      <c r="C129" s="65" t="str">
        <f>IFERROR(__xludf.DUMMYFUNCTION("""COMPUTED_VALUE"""),"✅ ĐỦ HÀNG")</f>
        <v>✅ ĐỦ HÀNG</v>
      </c>
      <c r="D129" s="47"/>
    </row>
    <row r="130" ht="22.5" customHeight="1">
      <c r="A130" s="47" t="str">
        <f>IFERROR(__xludf.DUMMYFUNCTION("""COMPUTED_VALUE"""),"Oanh Kim")</f>
        <v>Oanh Kim</v>
      </c>
      <c r="B130" s="67">
        <v>1.0</v>
      </c>
      <c r="C130" s="65" t="str">
        <f>IFERROR(__xludf.DUMMYFUNCTION("""COMPUTED_VALUE"""),"✅ ĐỦ HÀNG")</f>
        <v>✅ ĐỦ HÀNG</v>
      </c>
      <c r="D130" s="47"/>
    </row>
    <row r="131" ht="22.5" hidden="1" customHeight="1">
      <c r="A131" s="47" t="str">
        <f>IFERROR(__xludf.DUMMYFUNCTION("""COMPUTED_VALUE"""),"Le Hong Diep")</f>
        <v>Le Hong Diep</v>
      </c>
      <c r="B131" s="67">
        <v>1.0</v>
      </c>
      <c r="C131" s="65" t="str">
        <f>IFERROR(__xludf.DUMMYFUNCTION("""COMPUTED_VALUE"""),"✅ ĐỦ HÀNG")</f>
        <v>✅ ĐỦ HÀNG</v>
      </c>
      <c r="D131" s="48" t="s">
        <v>2363</v>
      </c>
      <c r="E131" s="44" t="s">
        <v>2375</v>
      </c>
    </row>
    <row r="132" ht="22.5" hidden="1" customHeight="1">
      <c r="A132" s="47" t="str">
        <f>IFERROR(__xludf.DUMMYFUNCTION("""COMPUTED_VALUE"""),"Hà Ny")</f>
        <v>Hà Ny</v>
      </c>
      <c r="B132" s="67">
        <v>1.0</v>
      </c>
      <c r="C132" s="65" t="str">
        <f>IFERROR(__xludf.DUMMYFUNCTION("""COMPUTED_VALUE"""),"✅ ĐỦ HÀNG")</f>
        <v>✅ ĐỦ HÀNG</v>
      </c>
      <c r="D132" s="48" t="s">
        <v>2363</v>
      </c>
      <c r="E132" s="44" t="s">
        <v>2376</v>
      </c>
    </row>
    <row r="133" ht="22.5" customHeight="1">
      <c r="A133" s="47" t="str">
        <f>IFERROR(__xludf.DUMMYFUNCTION("""COMPUTED_VALUE"""),"Ngọc June")</f>
        <v>Ngọc June</v>
      </c>
      <c r="B133" s="67">
        <v>8.0</v>
      </c>
      <c r="C133" s="65" t="str">
        <f>IFERROR(__xludf.DUMMYFUNCTION("""COMPUTED_VALUE"""),"✅ ĐỦ HÀNG")</f>
        <v>✅ ĐỦ HÀNG</v>
      </c>
      <c r="D133" s="47"/>
    </row>
    <row r="134" ht="22.5" customHeight="1">
      <c r="A134" s="47" t="str">
        <f>IFERROR(__xludf.DUMMYFUNCTION("""COMPUTED_VALUE"""),"Bích Ngọc")</f>
        <v>Bích Ngọc</v>
      </c>
      <c r="B134" s="67">
        <v>5.0</v>
      </c>
      <c r="C134" s="65" t="str">
        <f>IFERROR(__xludf.DUMMYFUNCTION("""COMPUTED_VALUE"""),"✅ ĐỦ HÀNG")</f>
        <v>✅ ĐỦ HÀNG</v>
      </c>
      <c r="D134" s="47"/>
    </row>
    <row r="135" ht="22.5" customHeight="1">
      <c r="A135" s="47" t="str">
        <f>IFERROR(__xludf.DUMMYFUNCTION("""COMPUTED_VALUE"""),"Thu Hoài")</f>
        <v>Thu Hoài</v>
      </c>
      <c r="B135" s="67">
        <v>7.0</v>
      </c>
      <c r="C135" s="65" t="str">
        <f>IFERROR(__xludf.DUMMYFUNCTION("""COMPUTED_VALUE"""),"✅ ĐỦ HÀNG")</f>
        <v>✅ ĐỦ HÀNG</v>
      </c>
      <c r="D135" s="47"/>
    </row>
    <row r="136" ht="22.5" customHeight="1">
      <c r="A136" s="47" t="str">
        <f>IFERROR(__xludf.DUMMYFUNCTION("""COMPUTED_VALUE"""),"Vũ Hằng")</f>
        <v>Vũ Hằng</v>
      </c>
      <c r="B136" s="67">
        <v>1.0</v>
      </c>
      <c r="C136" s="65" t="str">
        <f>IFERROR(__xludf.DUMMYFUNCTION("""COMPUTED_VALUE"""),"✅ ĐỦ HÀNG")</f>
        <v>✅ ĐỦ HÀNG</v>
      </c>
      <c r="D136" s="47"/>
    </row>
    <row r="137" ht="22.5" customHeight="1">
      <c r="A137" s="47" t="str">
        <f>IFERROR(__xludf.DUMMYFUNCTION("""COMPUTED_VALUE"""),"Hoàng Hương Giang")</f>
        <v>Hoàng Hương Giang</v>
      </c>
      <c r="B137" s="67">
        <v>1.0</v>
      </c>
      <c r="C137" s="65" t="str">
        <f>IFERROR(__xludf.DUMMYFUNCTION("""COMPUTED_VALUE"""),"✅ ĐỦ HÀNG")</f>
        <v>✅ ĐỦ HÀNG</v>
      </c>
      <c r="D137" s="47"/>
    </row>
    <row r="138" ht="22.5" customHeight="1">
      <c r="A138" s="47" t="str">
        <f>IFERROR(__xludf.DUMMYFUNCTION("""COMPUTED_VALUE"""),"Lê Hương Trà")</f>
        <v>Lê Hương Trà</v>
      </c>
      <c r="B138" s="67">
        <v>12.0</v>
      </c>
      <c r="C138" s="65" t="str">
        <f>IFERROR(__xludf.DUMMYFUNCTION("""COMPUTED_VALUE"""),"✅ ĐỦ HÀNG")</f>
        <v>✅ ĐỦ HÀNG</v>
      </c>
      <c r="D138" s="47"/>
    </row>
    <row r="139" ht="22.5" customHeight="1">
      <c r="A139" s="47" t="str">
        <f>IFERROR(__xludf.DUMMYFUNCTION("""COMPUTED_VALUE"""),"Nhi Xinh")</f>
        <v>Nhi Xinh</v>
      </c>
      <c r="B139" s="67">
        <v>2.0</v>
      </c>
      <c r="C139" s="65" t="str">
        <f>IFERROR(__xludf.DUMMYFUNCTION("""COMPUTED_VALUE"""),"✅ ĐỦ HÀNG")</f>
        <v>✅ ĐỦ HÀNG</v>
      </c>
      <c r="D139" s="47"/>
    </row>
    <row r="140" ht="22.5" customHeight="1">
      <c r="A140" s="47" t="str">
        <f>IFERROR(__xludf.DUMMYFUNCTION("""COMPUTED_VALUE"""),"Em Bé")</f>
        <v>Em Bé</v>
      </c>
      <c r="B140" s="67">
        <v>2.0</v>
      </c>
      <c r="C140" s="65" t="str">
        <f>IFERROR(__xludf.DUMMYFUNCTION("""COMPUTED_VALUE"""),"✅ ĐỦ HÀNG")</f>
        <v>✅ ĐỦ HÀNG</v>
      </c>
      <c r="D140" s="47"/>
    </row>
    <row r="141" ht="22.5" customHeight="1">
      <c r="A141" s="47" t="str">
        <f>IFERROR(__xludf.DUMMYFUNCTION("""COMPUTED_VALUE"""),"Nguyễn Dung")</f>
        <v>Nguyễn Dung</v>
      </c>
      <c r="B141" s="67">
        <v>1.0</v>
      </c>
      <c r="C141" s="65" t="str">
        <f>IFERROR(__xludf.DUMMYFUNCTION("""COMPUTED_VALUE"""),"✅ ĐỦ HÀNG")</f>
        <v>✅ ĐỦ HÀNG</v>
      </c>
      <c r="D141" s="47"/>
    </row>
    <row r="142" ht="22.5" customHeight="1">
      <c r="A142" s="47" t="str">
        <f>IFERROR(__xludf.DUMMYFUNCTION("""COMPUTED_VALUE"""),"Lương Nguyễn")</f>
        <v>Lương Nguyễn</v>
      </c>
      <c r="B142" s="67">
        <v>6.0</v>
      </c>
      <c r="C142" s="65" t="str">
        <f>IFERROR(__xludf.DUMMYFUNCTION("""COMPUTED_VALUE"""),"✅ ĐỦ HÀNG")</f>
        <v>✅ ĐỦ HÀNG</v>
      </c>
      <c r="D142" s="47"/>
    </row>
    <row r="143" ht="22.5" customHeight="1">
      <c r="A143" s="47" t="str">
        <f>IFERROR(__xludf.DUMMYFUNCTION("""COMPUTED_VALUE"""),"Hoàng T Minh")</f>
        <v>Hoàng T Minh</v>
      </c>
      <c r="B143" s="67">
        <v>4.0</v>
      </c>
      <c r="C143" s="65" t="str">
        <f>IFERROR(__xludf.DUMMYFUNCTION("""COMPUTED_VALUE"""),"✅ ĐỦ HÀNG")</f>
        <v>✅ ĐỦ HÀNG</v>
      </c>
      <c r="D143" s="47"/>
    </row>
    <row r="144" ht="22.5" customHeight="1">
      <c r="A144" s="47" t="str">
        <f>IFERROR(__xludf.DUMMYFUNCTION("""COMPUTED_VALUE"""),"Hải Nga Phạm")</f>
        <v>Hải Nga Phạm</v>
      </c>
      <c r="B144" s="67">
        <v>21.0</v>
      </c>
      <c r="C144" s="65" t="str">
        <f>IFERROR(__xludf.DUMMYFUNCTION("""COMPUTED_VALUE"""),"✅ ĐỦ HÀNG")</f>
        <v>✅ ĐỦ HÀNG</v>
      </c>
      <c r="D144" s="47"/>
    </row>
    <row r="145" ht="22.5" customHeight="1">
      <c r="A145" s="47" t="str">
        <f>IFERROR(__xludf.DUMMYFUNCTION("""COMPUTED_VALUE"""),"Sam Sam")</f>
        <v>Sam Sam</v>
      </c>
      <c r="B145" s="67">
        <v>1.0</v>
      </c>
      <c r="C145" s="65" t="str">
        <f>IFERROR(__xludf.DUMMYFUNCTION("""COMPUTED_VALUE"""),"✅ ĐỦ HÀNG")</f>
        <v>✅ ĐỦ HÀNG</v>
      </c>
      <c r="D145" s="47"/>
    </row>
    <row r="146" ht="22.5" customHeight="1">
      <c r="A146" s="47" t="str">
        <f>IFERROR(__xludf.DUMMYFUNCTION("""COMPUTED_VALUE"""),"Hoài Ý")</f>
        <v>Hoài Ý</v>
      </c>
      <c r="B146" s="67">
        <v>4.0</v>
      </c>
      <c r="C146" s="65" t="str">
        <f>IFERROR(__xludf.DUMMYFUNCTION("""COMPUTED_VALUE"""),"✅ ĐỦ HÀNG")</f>
        <v>✅ ĐỦ HÀNG</v>
      </c>
      <c r="D146" s="47"/>
    </row>
    <row r="147" ht="22.5" customHeight="1">
      <c r="A147" s="47" t="str">
        <f>IFERROR(__xludf.DUMMYFUNCTION("""COMPUTED_VALUE"""),"Đỗ AnhThư")</f>
        <v>Đỗ AnhThư</v>
      </c>
      <c r="B147" s="67">
        <v>8.0</v>
      </c>
      <c r="C147" s="65" t="str">
        <f>IFERROR(__xludf.DUMMYFUNCTION("""COMPUTED_VALUE"""),"✅ ĐỦ HÀNG")</f>
        <v>✅ ĐỦ HÀNG</v>
      </c>
      <c r="D147" s="47"/>
    </row>
    <row r="148" ht="22.5" customHeight="1">
      <c r="A148" s="47" t="str">
        <f>IFERROR(__xludf.DUMMYFUNCTION("""COMPUTED_VALUE"""),"Nguyễn Thị Hồng Mai")</f>
        <v>Nguyễn Thị Hồng Mai</v>
      </c>
      <c r="B148" s="67">
        <v>1.0</v>
      </c>
      <c r="C148" s="65" t="str">
        <f>IFERROR(__xludf.DUMMYFUNCTION("""COMPUTED_VALUE"""),"✅ ĐỦ HÀNG")</f>
        <v>✅ ĐỦ HÀNG</v>
      </c>
      <c r="D148" s="47"/>
    </row>
    <row r="149" ht="22.5" customHeight="1">
      <c r="A149" s="47" t="str">
        <f>IFERROR(__xludf.DUMMYFUNCTION("""COMPUTED_VALUE"""),"Trần Thị Cẩm My")</f>
        <v>Trần Thị Cẩm My</v>
      </c>
      <c r="B149" s="67">
        <v>7.0</v>
      </c>
      <c r="C149" s="65" t="str">
        <f>IFERROR(__xludf.DUMMYFUNCTION("""COMPUTED_VALUE"""),"✅ ĐỦ HÀNG")</f>
        <v>✅ ĐỦ HÀNG</v>
      </c>
      <c r="D149" s="47"/>
    </row>
    <row r="150" ht="22.5" customHeight="1">
      <c r="A150" s="47" t="str">
        <f>IFERROR(__xludf.DUMMYFUNCTION("""COMPUTED_VALUE"""),"Nguyễn Hồng Đào")</f>
        <v>Nguyễn Hồng Đào</v>
      </c>
      <c r="B150" s="67">
        <v>6.0</v>
      </c>
      <c r="C150" s="65" t="str">
        <f>IFERROR(__xludf.DUMMYFUNCTION("""COMPUTED_VALUE"""),"✅ ĐỦ HÀNG")</f>
        <v>✅ ĐỦ HÀNG</v>
      </c>
      <c r="D150" s="47"/>
    </row>
    <row r="151" ht="22.5" customHeight="1">
      <c r="A151" s="47" t="str">
        <f>IFERROR(__xludf.DUMMYFUNCTION("""COMPUTED_VALUE"""),"Nguyễn Quỳnh Mai")</f>
        <v>Nguyễn Quỳnh Mai</v>
      </c>
      <c r="B151" s="67">
        <v>2.0</v>
      </c>
      <c r="C151" s="65" t="str">
        <f>IFERROR(__xludf.DUMMYFUNCTION("""COMPUTED_VALUE"""),"✅ ĐỦ HÀNG")</f>
        <v>✅ ĐỦ HÀNG</v>
      </c>
      <c r="D151" s="47"/>
    </row>
    <row r="152" ht="22.5" customHeight="1">
      <c r="A152" s="47" t="str">
        <f>IFERROR(__xludf.DUMMYFUNCTION("""COMPUTED_VALUE"""),"Trần Thị Hương Giang")</f>
        <v>Trần Thị Hương Giang</v>
      </c>
      <c r="B152" s="67">
        <v>2.0</v>
      </c>
      <c r="C152" s="65" t="str">
        <f>IFERROR(__xludf.DUMMYFUNCTION("""COMPUTED_VALUE"""),"✅ ĐỦ HÀNG")</f>
        <v>✅ ĐỦ HÀNG</v>
      </c>
      <c r="D152" s="47"/>
    </row>
    <row r="153" ht="22.5" customHeight="1">
      <c r="A153" s="47" t="str">
        <f>IFERROR(__xludf.DUMMYFUNCTION("""COMPUTED_VALUE"""),"ティ. ヴァン")</f>
        <v>ティ. ヴァン</v>
      </c>
      <c r="B153" s="67">
        <v>2.0</v>
      </c>
      <c r="C153" s="65" t="str">
        <f>IFERROR(__xludf.DUMMYFUNCTION("""COMPUTED_VALUE"""),"✅ ĐỦ HÀNG")</f>
        <v>✅ ĐỦ HÀNG</v>
      </c>
      <c r="D153" s="47"/>
    </row>
    <row r="154" ht="22.5" customHeight="1">
      <c r="A154" s="47" t="str">
        <f>IFERROR(__xludf.DUMMYFUNCTION("""COMPUTED_VALUE"""),"Phương Hà")</f>
        <v>Phương Hà</v>
      </c>
      <c r="B154" s="67">
        <v>2.0</v>
      </c>
      <c r="C154" s="65" t="str">
        <f>IFERROR(__xludf.DUMMYFUNCTION("""COMPUTED_VALUE"""),"✅ ĐỦ HÀNG")</f>
        <v>✅ ĐỦ HÀNG</v>
      </c>
      <c r="D154" s="47"/>
    </row>
    <row r="155" ht="22.5" customHeight="1">
      <c r="A155" s="47" t="str">
        <f>IFERROR(__xludf.DUMMYFUNCTION("""COMPUTED_VALUE"""),"Hà Đào")</f>
        <v>Hà Đào</v>
      </c>
      <c r="B155" s="67">
        <v>2.0</v>
      </c>
      <c r="C155" s="65" t="str">
        <f>IFERROR(__xludf.DUMMYFUNCTION("""COMPUTED_VALUE"""),"✅ ĐỦ HÀNG")</f>
        <v>✅ ĐỦ HÀNG</v>
      </c>
      <c r="D155" s="47"/>
    </row>
    <row r="156" ht="22.5" customHeight="1">
      <c r="A156" s="47" t="str">
        <f>IFERROR(__xludf.DUMMYFUNCTION("""COMPUTED_VALUE"""),"Bich Ngoc Nguyen")</f>
        <v>Bich Ngoc Nguyen</v>
      </c>
      <c r="B156" s="67">
        <v>5.0</v>
      </c>
      <c r="C156" s="65" t="str">
        <f>IFERROR(__xludf.DUMMYFUNCTION("""COMPUTED_VALUE"""),"✅ ĐỦ HÀNG")</f>
        <v>✅ ĐỦ HÀNG</v>
      </c>
      <c r="D156" s="47"/>
    </row>
    <row r="157" ht="22.5" customHeight="1">
      <c r="A157" s="47" t="str">
        <f>IFERROR(__xludf.DUMMYFUNCTION("""COMPUTED_VALUE"""),"Phạm Trúc")</f>
        <v>Phạm Trúc</v>
      </c>
      <c r="B157" s="67">
        <v>2.0</v>
      </c>
      <c r="C157" s="65" t="str">
        <f>IFERROR(__xludf.DUMMYFUNCTION("""COMPUTED_VALUE"""),"✅ ĐỦ HÀNG")</f>
        <v>✅ ĐỦ HÀNG</v>
      </c>
      <c r="D157" s="47"/>
    </row>
    <row r="158" ht="22.5" customHeight="1">
      <c r="A158" s="47" t="str">
        <f>IFERROR(__xludf.DUMMYFUNCTION("""COMPUTED_VALUE"""),"Trang Trang")</f>
        <v>Trang Trang</v>
      </c>
      <c r="B158" s="67">
        <v>2.0</v>
      </c>
      <c r="C158" s="65" t="str">
        <f>IFERROR(__xludf.DUMMYFUNCTION("""COMPUTED_VALUE"""),"✅ ĐỦ HÀNG")</f>
        <v>✅ ĐỦ HÀNG</v>
      </c>
      <c r="D158" s="47"/>
    </row>
    <row r="159" ht="22.5" customHeight="1">
      <c r="A159" s="47" t="str">
        <f>IFERROR(__xludf.DUMMYFUNCTION("""COMPUTED_VALUE"""),"Linh Thuỳ Ốc Nhồi")</f>
        <v>Linh Thuỳ Ốc Nhồi</v>
      </c>
      <c r="B159" s="67">
        <v>3.0</v>
      </c>
      <c r="C159" s="65" t="str">
        <f>IFERROR(__xludf.DUMMYFUNCTION("""COMPUTED_VALUE"""),"✅ ĐỦ HÀNG")</f>
        <v>✅ ĐỦ HÀNG</v>
      </c>
      <c r="D159" s="47"/>
    </row>
    <row r="160" ht="22.5" customHeight="1">
      <c r="A160" s="47" t="str">
        <f>IFERROR(__xludf.DUMMYFUNCTION("""COMPUTED_VALUE"""),"Trần Phương Thảo")</f>
        <v>Trần Phương Thảo</v>
      </c>
      <c r="B160" s="67">
        <v>3.0</v>
      </c>
      <c r="C160" s="65" t="str">
        <f>IFERROR(__xludf.DUMMYFUNCTION("""COMPUTED_VALUE"""),"✅ ĐỦ HÀNG")</f>
        <v>✅ ĐỦ HÀNG</v>
      </c>
      <c r="D160" s="47"/>
    </row>
    <row r="161" ht="22.5" customHeight="1">
      <c r="A161" s="47" t="str">
        <f>IFERROR(__xludf.DUMMYFUNCTION("""COMPUTED_VALUE"""),"Trần Huyền")</f>
        <v>Trần Huyền</v>
      </c>
      <c r="B161" s="67">
        <v>1.0</v>
      </c>
      <c r="C161" s="65" t="str">
        <f>IFERROR(__xludf.DUMMYFUNCTION("""COMPUTED_VALUE"""),"✅ ĐỦ HÀNG")</f>
        <v>✅ ĐỦ HÀNG</v>
      </c>
      <c r="D161" s="47"/>
    </row>
    <row r="162" ht="22.5" customHeight="1">
      <c r="A162" s="47" t="str">
        <f>IFERROR(__xludf.DUMMYFUNCTION("""COMPUTED_VALUE"""),"Trang Phạm")</f>
        <v>Trang Phạm</v>
      </c>
      <c r="B162" s="67">
        <v>3.0</v>
      </c>
      <c r="C162" s="65" t="str">
        <f>IFERROR(__xludf.DUMMYFUNCTION("""COMPUTED_VALUE"""),"✅ ĐỦ HÀNG")</f>
        <v>✅ ĐỦ HÀNG</v>
      </c>
      <c r="D162" s="47"/>
    </row>
    <row r="163" ht="22.5" customHeight="1">
      <c r="A163" s="47" t="str">
        <f>IFERROR(__xludf.DUMMYFUNCTION("""COMPUTED_VALUE"""),"Võ Quỳnh Linh")</f>
        <v>Võ Quỳnh Linh</v>
      </c>
      <c r="B163" s="67">
        <v>8.0</v>
      </c>
      <c r="C163" s="65" t="str">
        <f>IFERROR(__xludf.DUMMYFUNCTION("""COMPUTED_VALUE"""),"✅ ĐỦ HÀNG")</f>
        <v>✅ ĐỦ HÀNG</v>
      </c>
      <c r="D163" s="47"/>
    </row>
    <row r="164" ht="22.5" hidden="1" customHeight="1">
      <c r="A164" s="47" t="str">
        <f>IFERROR(__xludf.DUMMYFUNCTION("""COMPUTED_VALUE"""),"Đào Trần")</f>
        <v>Đào Trần</v>
      </c>
      <c r="B164" s="67">
        <v>10.0</v>
      </c>
      <c r="C164" s="65" t="str">
        <f>IFERROR(__xludf.DUMMYFUNCTION("""COMPUTED_VALUE"""),"✅ ĐỦ HÀNG")</f>
        <v>✅ ĐỦ HÀNG</v>
      </c>
      <c r="D164" s="48" t="s">
        <v>2363</v>
      </c>
      <c r="E164" s="44" t="s">
        <v>2377</v>
      </c>
    </row>
    <row r="165" ht="22.5" hidden="1" customHeight="1">
      <c r="A165" s="47" t="str">
        <f>IFERROR(__xludf.DUMMYFUNCTION("""COMPUTED_VALUE"""),"Nguyen Trang")</f>
        <v>Nguyen Trang</v>
      </c>
      <c r="B165" s="67">
        <v>2.0</v>
      </c>
      <c r="C165" s="65" t="str">
        <f>IFERROR(__xludf.DUMMYFUNCTION("""COMPUTED_VALUE"""),"✅ ĐỦ HÀNG")</f>
        <v>✅ ĐỦ HÀNG</v>
      </c>
      <c r="D165" s="48" t="s">
        <v>2363</v>
      </c>
      <c r="E165" s="44" t="s">
        <v>2378</v>
      </c>
    </row>
    <row r="166" ht="22.5" customHeight="1">
      <c r="A166" s="47" t="str">
        <f>IFERROR(__xludf.DUMMYFUNCTION("""COMPUTED_VALUE"""),"Su Na")</f>
        <v>Su Na</v>
      </c>
      <c r="B166" s="67">
        <v>3.0</v>
      </c>
      <c r="C166" s="65" t="str">
        <f>IFERROR(__xludf.DUMMYFUNCTION("""COMPUTED_VALUE"""),"✅ ĐỦ HÀNG")</f>
        <v>✅ ĐỦ HÀNG</v>
      </c>
      <c r="D166" s="47"/>
    </row>
    <row r="167" ht="22.5" hidden="1" customHeight="1">
      <c r="A167" s="47" t="str">
        <f>IFERROR(__xludf.DUMMYFUNCTION("""COMPUTED_VALUE"""),"キン Quỳnh")</f>
        <v>キン Quỳnh</v>
      </c>
      <c r="B167" s="67">
        <v>1.0</v>
      </c>
      <c r="C167" s="65" t="str">
        <f>IFERROR(__xludf.DUMMYFUNCTION("""COMPUTED_VALUE"""),"✅ ĐỦ HÀNG")</f>
        <v>✅ ĐỦ HÀNG</v>
      </c>
      <c r="D167" s="48" t="s">
        <v>2363</v>
      </c>
      <c r="E167" s="44" t="s">
        <v>2379</v>
      </c>
    </row>
    <row r="168" ht="22.5" customHeight="1">
      <c r="A168" s="47" t="str">
        <f>IFERROR(__xludf.DUMMYFUNCTION("""COMPUTED_VALUE"""),"Nguyet Dong Thi")</f>
        <v>Nguyet Dong Thi</v>
      </c>
      <c r="B168" s="67">
        <v>4.0</v>
      </c>
      <c r="C168" s="65" t="str">
        <f>IFERROR(__xludf.DUMMYFUNCTION("""COMPUTED_VALUE"""),"✅ ĐỦ HÀNG")</f>
        <v>✅ ĐỦ HÀNG</v>
      </c>
      <c r="D168" s="47"/>
    </row>
    <row r="169" ht="22.5" customHeight="1">
      <c r="A169" s="47" t="str">
        <f>IFERROR(__xludf.DUMMYFUNCTION("""COMPUTED_VALUE"""),"Trangg Bờmm")</f>
        <v>Trangg Bờmm</v>
      </c>
      <c r="B169" s="67">
        <v>9.0</v>
      </c>
      <c r="C169" s="65" t="str">
        <f>IFERROR(__xludf.DUMMYFUNCTION("""COMPUTED_VALUE"""),"✅ ĐỦ HÀNG")</f>
        <v>✅ ĐỦ HÀNG</v>
      </c>
      <c r="D169" s="47"/>
    </row>
    <row r="170" ht="22.5" customHeight="1">
      <c r="A170" s="47" t="str">
        <f>IFERROR(__xludf.DUMMYFUNCTION("""COMPUTED_VALUE"""),"Huỳnh Thị Phương Linh")</f>
        <v>Huỳnh Thị Phương Linh</v>
      </c>
      <c r="B170" s="67">
        <v>3.0</v>
      </c>
      <c r="C170" s="65" t="str">
        <f>IFERROR(__xludf.DUMMYFUNCTION("""COMPUTED_VALUE"""),"✅ ĐỦ HÀNG")</f>
        <v>✅ ĐỦ HÀNG</v>
      </c>
      <c r="D170" s="47"/>
    </row>
    <row r="171" ht="22.5" customHeight="1">
      <c r="A171" s="47" t="str">
        <f>IFERROR(__xludf.DUMMYFUNCTION("""COMPUTED_VALUE"""),"Uyên Thu Nguyễn")</f>
        <v>Uyên Thu Nguyễn</v>
      </c>
      <c r="B171" s="67">
        <v>1.0</v>
      </c>
      <c r="C171" s="65" t="str">
        <f>IFERROR(__xludf.DUMMYFUNCTION("""COMPUTED_VALUE"""),"✅ ĐỦ HÀNG")</f>
        <v>✅ ĐỦ HÀNG</v>
      </c>
      <c r="D171" s="47"/>
    </row>
    <row r="172" ht="22.5" customHeight="1">
      <c r="A172" s="47" t="str">
        <f>IFERROR(__xludf.DUMMYFUNCTION("""COMPUTED_VALUE"""),"Võ Duyên")</f>
        <v>Võ Duyên</v>
      </c>
      <c r="B172" s="67">
        <v>1.0</v>
      </c>
      <c r="C172" s="65" t="str">
        <f>IFERROR(__xludf.DUMMYFUNCTION("""COMPUTED_VALUE"""),"✅ ĐỦ HÀNG")</f>
        <v>✅ ĐỦ HÀNG</v>
      </c>
      <c r="D172" s="47"/>
    </row>
    <row r="173" ht="22.5" customHeight="1">
      <c r="A173" s="47" t="str">
        <f>IFERROR(__xludf.DUMMYFUNCTION("""COMPUTED_VALUE"""),"Võ Thị Huỳnh Như")</f>
        <v>Võ Thị Huỳnh Như</v>
      </c>
      <c r="B173" s="67">
        <v>1.0</v>
      </c>
      <c r="C173" s="65" t="str">
        <f>IFERROR(__xludf.DUMMYFUNCTION("""COMPUTED_VALUE"""),"✅ ĐỦ HÀNG")</f>
        <v>✅ ĐỦ HÀNG</v>
      </c>
      <c r="D173" s="47"/>
    </row>
    <row r="174" ht="22.5" customHeight="1">
      <c r="A174" s="47" t="str">
        <f>IFERROR(__xludf.DUMMYFUNCTION("""COMPUTED_VALUE"""),"Hà Lê Dung")</f>
        <v>Hà Lê Dung</v>
      </c>
      <c r="B174" s="67">
        <v>3.0</v>
      </c>
      <c r="C174" s="65" t="str">
        <f>IFERROR(__xludf.DUMMYFUNCTION("""COMPUTED_VALUE"""),"✅ ĐỦ HÀNG")</f>
        <v>✅ ĐỦ HÀNG</v>
      </c>
      <c r="D174" s="47"/>
    </row>
    <row r="175" ht="22.5" customHeight="1">
      <c r="A175" s="47" t="str">
        <f>IFERROR(__xludf.DUMMYFUNCTION("""COMPUTED_VALUE"""),"Lương Mỹ Hạnh")</f>
        <v>Lương Mỹ Hạnh</v>
      </c>
      <c r="B175" s="67">
        <v>1.0</v>
      </c>
      <c r="C175" s="65" t="str">
        <f>IFERROR(__xludf.DUMMYFUNCTION("""COMPUTED_VALUE"""),"✅ ĐỦ HÀNG")</f>
        <v>✅ ĐỦ HÀNG</v>
      </c>
      <c r="D175" s="47"/>
    </row>
    <row r="176" ht="22.5" customHeight="1">
      <c r="A176" s="47" t="str">
        <f>IFERROR(__xludf.DUMMYFUNCTION("""COMPUTED_VALUE"""),"Thuỷ")</f>
        <v>Thuỷ</v>
      </c>
      <c r="B176" s="67">
        <v>1.0</v>
      </c>
      <c r="C176" s="65" t="str">
        <f>IFERROR(__xludf.DUMMYFUNCTION("""COMPUTED_VALUE"""),"✅ ĐỦ HÀNG")</f>
        <v>✅ ĐỦ HÀNG</v>
      </c>
      <c r="D176" s="47"/>
    </row>
    <row r="177" ht="22.5" customHeight="1">
      <c r="A177" s="47" t="str">
        <f>IFERROR(__xludf.DUMMYFUNCTION("""COMPUTED_VALUE"""),"Thu Hoài Nguyễn")</f>
        <v>Thu Hoài Nguyễn</v>
      </c>
      <c r="B177" s="67">
        <v>1.0</v>
      </c>
      <c r="C177" s="65" t="str">
        <f>IFERROR(__xludf.DUMMYFUNCTION("""COMPUTED_VALUE"""),"✅ ĐỦ HÀNG")</f>
        <v>✅ ĐỦ HÀNG</v>
      </c>
      <c r="D177" s="47"/>
    </row>
    <row r="178" ht="22.5" customHeight="1">
      <c r="A178" s="47" t="str">
        <f>IFERROR(__xludf.DUMMYFUNCTION("""COMPUTED_VALUE"""),"Dung Kami")</f>
        <v>Dung Kami</v>
      </c>
      <c r="B178" s="67">
        <v>2.0</v>
      </c>
      <c r="C178" s="65" t="str">
        <f>IFERROR(__xludf.DUMMYFUNCTION("""COMPUTED_VALUE"""),"✅ ĐỦ HÀNG")</f>
        <v>✅ ĐỦ HÀNG</v>
      </c>
      <c r="D178" s="47"/>
    </row>
    <row r="179" ht="22.5" customHeight="1">
      <c r="A179" s="47" t="str">
        <f>IFERROR(__xludf.DUMMYFUNCTION("""COMPUTED_VALUE"""),"Thuý Ngà")</f>
        <v>Thuý Ngà</v>
      </c>
      <c r="B179" s="67">
        <v>1.0</v>
      </c>
      <c r="C179" s="65" t="str">
        <f>IFERROR(__xludf.DUMMYFUNCTION("""COMPUTED_VALUE"""),"✅ ĐỦ HÀNG")</f>
        <v>✅ ĐỦ HÀNG</v>
      </c>
      <c r="D179" s="47"/>
    </row>
    <row r="180" ht="22.5" customHeight="1">
      <c r="A180" s="47" t="str">
        <f>IFERROR(__xludf.DUMMYFUNCTION("""COMPUTED_VALUE"""),"Trịnh Hồng Tâm")</f>
        <v>Trịnh Hồng Tâm</v>
      </c>
      <c r="B180" s="67">
        <v>2.0</v>
      </c>
      <c r="C180" s="65" t="str">
        <f>IFERROR(__xludf.DUMMYFUNCTION("""COMPUTED_VALUE"""),"✅ ĐỦ HÀNG")</f>
        <v>✅ ĐỦ HÀNG</v>
      </c>
      <c r="D180" s="47"/>
    </row>
    <row r="181" ht="22.5" customHeight="1">
      <c r="A181" s="47" t="str">
        <f>IFERROR(__xludf.DUMMYFUNCTION("""COMPUTED_VALUE"""),"Phạm Thu Hằng")</f>
        <v>Phạm Thu Hằng</v>
      </c>
      <c r="B181" s="67">
        <v>4.0</v>
      </c>
      <c r="C181" s="65" t="str">
        <f>IFERROR(__xludf.DUMMYFUNCTION("""COMPUTED_VALUE"""),"✅ ĐỦ HÀNG")</f>
        <v>✅ ĐỦ HÀNG</v>
      </c>
      <c r="D181" s="47"/>
    </row>
    <row r="182" ht="22.5" customHeight="1">
      <c r="A182" s="47" t="str">
        <f>IFERROR(__xludf.DUMMYFUNCTION("""COMPUTED_VALUE"""),"Bống Linh")</f>
        <v>Bống Linh</v>
      </c>
      <c r="B182" s="67">
        <v>1.0</v>
      </c>
      <c r="C182" s="65" t="str">
        <f>IFERROR(__xludf.DUMMYFUNCTION("""COMPUTED_VALUE"""),"✅ ĐỦ HÀNG")</f>
        <v>✅ ĐỦ HÀNG</v>
      </c>
      <c r="D182" s="47"/>
    </row>
    <row r="183" ht="22.5" customHeight="1">
      <c r="A183" s="47" t="str">
        <f>IFERROR(__xludf.DUMMYFUNCTION("""COMPUTED_VALUE"""),"Kiều Hương")</f>
        <v>Kiều Hương</v>
      </c>
      <c r="B183" s="67">
        <v>3.0</v>
      </c>
      <c r="C183" s="65" t="str">
        <f>IFERROR(__xludf.DUMMYFUNCTION("""COMPUTED_VALUE"""),"✅ ĐỦ HÀNG")</f>
        <v>✅ ĐỦ HÀNG</v>
      </c>
      <c r="D183" s="47"/>
    </row>
    <row r="184" ht="22.5" customHeight="1">
      <c r="A184" s="47" t="str">
        <f>IFERROR(__xludf.DUMMYFUNCTION("""COMPUTED_VALUE"""),"Mai Thanh Giang")</f>
        <v>Mai Thanh Giang</v>
      </c>
      <c r="B184" s="67">
        <v>15.0</v>
      </c>
      <c r="C184" s="65" t="str">
        <f>IFERROR(__xludf.DUMMYFUNCTION("""COMPUTED_VALUE"""),"✅ ĐỦ HÀNG")</f>
        <v>✅ ĐỦ HÀNG</v>
      </c>
      <c r="D184" s="47"/>
    </row>
    <row r="185" ht="22.5" customHeight="1">
      <c r="A185" s="47" t="str">
        <f>IFERROR(__xludf.DUMMYFUNCTION("""COMPUTED_VALUE"""),"Tran Linhh")</f>
        <v>Tran Linhh</v>
      </c>
      <c r="B185" s="67">
        <v>7.0</v>
      </c>
      <c r="C185" s="65" t="str">
        <f>IFERROR(__xludf.DUMMYFUNCTION("""COMPUTED_VALUE"""),"✅ ĐỦ HÀNG")</f>
        <v>✅ ĐỦ HÀNG</v>
      </c>
      <c r="D185" s="47"/>
    </row>
    <row r="186" ht="22.5" customHeight="1">
      <c r="A186" s="47" t="str">
        <f>IFERROR(__xludf.DUMMYFUNCTION("""COMPUTED_VALUE"""),"Nguyễn Hoa")</f>
        <v>Nguyễn Hoa</v>
      </c>
      <c r="B186" s="67">
        <v>4.0</v>
      </c>
      <c r="C186" s="65" t="str">
        <f>IFERROR(__xludf.DUMMYFUNCTION("""COMPUTED_VALUE"""),"✅ ĐỦ HÀNG")</f>
        <v>✅ ĐỦ HÀNG</v>
      </c>
      <c r="D186" s="47"/>
    </row>
    <row r="187" ht="22.5" customHeight="1">
      <c r="A187" s="65" t="str">
        <f>IFERROR(__xludf.DUMMYFUNCTION("""COMPUTED_VALUE"""),"Thương Thương")</f>
        <v>Thương Thương</v>
      </c>
      <c r="B187" s="66">
        <v>5.0</v>
      </c>
      <c r="C187" s="65" t="str">
        <f>IFERROR(__xludf.DUMMYFUNCTION("""COMPUTED_VALUE"""),"✅ ĐỦ HÀNG")</f>
        <v>✅ ĐỦ HÀNG</v>
      </c>
    </row>
    <row r="188" ht="22.5" customHeight="1">
      <c r="A188" s="65" t="str">
        <f>IFERROR(__xludf.DUMMYFUNCTION("""COMPUTED_VALUE"""),"Ánh Min")</f>
        <v>Ánh Min</v>
      </c>
      <c r="B188" s="66">
        <v>3.0</v>
      </c>
      <c r="C188" s="65" t="str">
        <f>IFERROR(__xludf.DUMMYFUNCTION("""COMPUTED_VALUE"""),"✅ ĐỦ HÀNG")</f>
        <v>✅ ĐỦ HÀNG</v>
      </c>
    </row>
    <row r="189" ht="22.5" customHeight="1">
      <c r="A189" s="65" t="str">
        <f>IFERROR(__xludf.DUMMYFUNCTION("""COMPUTED_VALUE"""),"Lương Thị Thanh Hải")</f>
        <v>Lương Thị Thanh Hải</v>
      </c>
      <c r="B189" s="66">
        <v>2.0</v>
      </c>
      <c r="C189" s="65" t="str">
        <f>IFERROR(__xludf.DUMMYFUNCTION("""COMPUTED_VALUE"""),"✅ ĐỦ HÀNG")</f>
        <v>✅ ĐỦ HÀNG</v>
      </c>
    </row>
    <row r="190" ht="22.5" customHeight="1">
      <c r="A190" s="65" t="str">
        <f>IFERROR(__xludf.DUMMYFUNCTION("""COMPUTED_VALUE"""),"Hoàng Uyên")</f>
        <v>Hoàng Uyên</v>
      </c>
      <c r="B190" s="66">
        <v>3.0</v>
      </c>
      <c r="C190" s="65" t="str">
        <f>IFERROR(__xludf.DUMMYFUNCTION("""COMPUTED_VALUE"""),"✅ ĐỦ HÀNG")</f>
        <v>✅ ĐỦ HÀNG</v>
      </c>
    </row>
    <row r="191" ht="22.5" customHeight="1">
      <c r="A191" s="65" t="str">
        <f>IFERROR(__xludf.DUMMYFUNCTION("""COMPUTED_VALUE"""),"Mai suppy")</f>
        <v>Mai suppy</v>
      </c>
      <c r="B191" s="66">
        <v>2.0</v>
      </c>
      <c r="C191" s="65" t="str">
        <f>IFERROR(__xludf.DUMMYFUNCTION("""COMPUTED_VALUE"""),"✅ ĐỦ HÀNG")</f>
        <v>✅ ĐỦ HÀNG</v>
      </c>
    </row>
    <row r="192" ht="22.5" customHeight="1">
      <c r="A192" s="65" t="str">
        <f>IFERROR(__xludf.DUMMYFUNCTION("""COMPUTED_VALUE"""),"Tí Bu")</f>
        <v>Tí Bu</v>
      </c>
      <c r="B192" s="66">
        <v>4.0</v>
      </c>
      <c r="C192" s="65" t="str">
        <f>IFERROR(__xludf.DUMMYFUNCTION("""COMPUTED_VALUE"""),"✅ ĐỦ HÀNG")</f>
        <v>✅ ĐỦ HÀNG</v>
      </c>
    </row>
    <row r="193" ht="22.5" customHeight="1">
      <c r="A193" s="65" t="str">
        <f>IFERROR(__xludf.DUMMYFUNCTION("""COMPUTED_VALUE"""),"Thanh Trang ")</f>
        <v>Thanh Trang </v>
      </c>
      <c r="B193" s="66">
        <v>1.0</v>
      </c>
      <c r="C193" s="65" t="str">
        <f>IFERROR(__xludf.DUMMYFUNCTION("""COMPUTED_VALUE"""),"✅ ĐỦ HÀNG")</f>
        <v>✅ ĐỦ HÀNG</v>
      </c>
    </row>
    <row r="194" ht="22.5" customHeight="1">
      <c r="A194" s="65" t="str">
        <f>IFERROR(__xludf.DUMMYFUNCTION("""COMPUTED_VALUE"""),"Nguyễn Kiều Diễm")</f>
        <v>Nguyễn Kiều Diễm</v>
      </c>
      <c r="B194" s="66">
        <v>1.0</v>
      </c>
      <c r="C194" s="65" t="str">
        <f>IFERROR(__xludf.DUMMYFUNCTION("""COMPUTED_VALUE"""),"✅ ĐỦ HÀNG")</f>
        <v>✅ ĐỦ HÀNG</v>
      </c>
    </row>
    <row r="195" ht="22.5" customHeight="1">
      <c r="A195" s="65" t="str">
        <f>IFERROR(__xludf.DUMMYFUNCTION("""COMPUTED_VALUE"""),"Nguyễn Lưu Luyến")</f>
        <v>Nguyễn Lưu Luyến</v>
      </c>
      <c r="B195" s="66">
        <v>4.0</v>
      </c>
      <c r="C195" s="65" t="str">
        <f>IFERROR(__xludf.DUMMYFUNCTION("""COMPUTED_VALUE"""),"✅ ĐỦ HÀNG")</f>
        <v>✅ ĐỦ HÀNG</v>
      </c>
    </row>
    <row r="196" ht="22.5" customHeight="1">
      <c r="A196" s="65" t="str">
        <f>IFERROR(__xludf.DUMMYFUNCTION("""COMPUTED_VALUE"""),"Nguyễn Phượng ")</f>
        <v>Nguyễn Phượng </v>
      </c>
      <c r="B196" s="66">
        <v>1.0</v>
      </c>
      <c r="C196" s="65" t="str">
        <f>IFERROR(__xludf.DUMMYFUNCTION("""COMPUTED_VALUE"""),"✅ ĐỦ HÀNG")</f>
        <v>✅ ĐỦ HÀNG</v>
      </c>
    </row>
    <row r="197" ht="22.5" customHeight="1">
      <c r="A197" s="65" t="str">
        <f>IFERROR(__xludf.DUMMYFUNCTION("""COMPUTED_VALUE"""),"Nguyễn Thị Soan")</f>
        <v>Nguyễn Thị Soan</v>
      </c>
      <c r="B197" s="66">
        <v>5.0</v>
      </c>
      <c r="C197" s="65" t="str">
        <f>IFERROR(__xludf.DUMMYFUNCTION("""COMPUTED_VALUE"""),"✅ ĐỦ HÀNG")</f>
        <v>✅ ĐỦ HÀNG</v>
      </c>
    </row>
    <row r="198" ht="22.5" customHeight="1">
      <c r="A198" s="65" t="str">
        <f>IFERROR(__xludf.DUMMYFUNCTION("""COMPUTED_VALUE"""),"Nguyễn Quyên(page)")</f>
        <v>Nguyễn Quyên(page)</v>
      </c>
      <c r="B198" s="66">
        <v>1.0</v>
      </c>
      <c r="C198" s="65" t="str">
        <f>IFERROR(__xludf.DUMMYFUNCTION("""COMPUTED_VALUE"""),"✅ ĐỦ HÀNG")</f>
        <v>✅ ĐỦ HÀNG</v>
      </c>
    </row>
    <row r="199" ht="22.5" customHeight="1">
      <c r="A199" s="65" t="str">
        <f>IFERROR(__xludf.DUMMYFUNCTION("""COMPUTED_VALUE"""),"Minh Trang")</f>
        <v>Minh Trang</v>
      </c>
      <c r="B199" s="66">
        <v>7.0</v>
      </c>
      <c r="C199" s="65" t="str">
        <f>IFERROR(__xludf.DUMMYFUNCTION("""COMPUTED_VALUE"""),"✅ ĐỦ HÀNG")</f>
        <v>✅ ĐỦ HÀNG</v>
      </c>
    </row>
    <row r="200" ht="22.5" customHeight="1">
      <c r="A200" s="65" t="str">
        <f>IFERROR(__xludf.DUMMYFUNCTION("""COMPUTED_VALUE"""),"Hảo Nguyễn")</f>
        <v>Hảo Nguyễn</v>
      </c>
      <c r="B200" s="66">
        <v>10.0</v>
      </c>
      <c r="C200" s="65" t="str">
        <f>IFERROR(__xludf.DUMMYFUNCTION("""COMPUTED_VALUE"""),"✅ ĐỦ HÀNG")</f>
        <v>✅ ĐỦ HÀNG</v>
      </c>
    </row>
    <row r="201" ht="22.5" customHeight="1">
      <c r="A201" s="65" t="str">
        <f>IFERROR(__xludf.DUMMYFUNCTION("""COMPUTED_VALUE"""),"Hoàng Yến Thanh")</f>
        <v>Hoàng Yến Thanh</v>
      </c>
      <c r="B201" s="66">
        <v>7.0</v>
      </c>
      <c r="C201" s="65" t="str">
        <f>IFERROR(__xludf.DUMMYFUNCTION("""COMPUTED_VALUE"""),"✅ ĐỦ HÀNG")</f>
        <v>✅ ĐỦ HÀNG</v>
      </c>
    </row>
    <row r="202" ht="22.5" customHeight="1">
      <c r="A202" s="65" t="str">
        <f>IFERROR(__xludf.DUMMYFUNCTION("""COMPUTED_VALUE"""),"Min's Nguyệt")</f>
        <v>Min's Nguyệt</v>
      </c>
      <c r="B202" s="66">
        <v>2.0</v>
      </c>
      <c r="C202" s="65" t="str">
        <f>IFERROR(__xludf.DUMMYFUNCTION("""COMPUTED_VALUE"""),"✅ ĐỦ HÀNG")</f>
        <v>✅ ĐỦ HÀNG</v>
      </c>
    </row>
    <row r="203" ht="22.5" customHeight="1">
      <c r="A203" s="65" t="str">
        <f>IFERROR(__xludf.DUMMYFUNCTION("""COMPUTED_VALUE"""),"Thu")</f>
        <v>Thu</v>
      </c>
      <c r="B203" s="66">
        <v>1.0</v>
      </c>
      <c r="C203" s="65" t="str">
        <f>IFERROR(__xludf.DUMMYFUNCTION("""COMPUTED_VALUE"""),"✅ ĐỦ HÀNG")</f>
        <v>✅ ĐỦ HÀNG</v>
      </c>
    </row>
    <row r="204" ht="22.5" customHeight="1">
      <c r="A204" s="65" t="str">
        <f>IFERROR(__xludf.DUMMYFUNCTION("""COMPUTED_VALUE"""),"Quỳnh Thêu")</f>
        <v>Quỳnh Thêu</v>
      </c>
      <c r="B204" s="66">
        <v>2.0</v>
      </c>
      <c r="C204" s="65" t="str">
        <f>IFERROR(__xludf.DUMMYFUNCTION("""COMPUTED_VALUE"""),"✅ ĐỦ HÀNG")</f>
        <v>✅ ĐỦ HÀNG</v>
      </c>
    </row>
    <row r="205" ht="22.5" customHeight="1">
      <c r="A205" s="65" t="str">
        <f>IFERROR(__xludf.DUMMYFUNCTION("""COMPUTED_VALUE"""),"Hoahonggai Thon")</f>
        <v>Hoahonggai Thon</v>
      </c>
      <c r="B205" s="66">
        <v>6.0</v>
      </c>
      <c r="C205" s="65" t="str">
        <f>IFERROR(__xludf.DUMMYFUNCTION("""COMPUTED_VALUE"""),"✅ ĐỦ HÀNG")</f>
        <v>✅ ĐỦ HÀNG</v>
      </c>
    </row>
    <row r="206" ht="22.5" customHeight="1">
      <c r="A206" s="65" t="str">
        <f>IFERROR(__xludf.DUMMYFUNCTION("""COMPUTED_VALUE"""),"Châu Lâm")</f>
        <v>Châu Lâm</v>
      </c>
      <c r="B206" s="66">
        <v>5.0</v>
      </c>
      <c r="C206" s="65" t="str">
        <f>IFERROR(__xludf.DUMMYFUNCTION("""COMPUTED_VALUE"""),"✅ ĐỦ HÀNG")</f>
        <v>✅ ĐỦ HÀNG</v>
      </c>
    </row>
    <row r="207" ht="22.5" customHeight="1">
      <c r="A207" s="65" t="str">
        <f>IFERROR(__xludf.DUMMYFUNCTION("""COMPUTED_VALUE"""),"モンモン")</f>
        <v>モンモン</v>
      </c>
      <c r="B207" s="66">
        <v>2.0</v>
      </c>
      <c r="C207" s="65" t="str">
        <f>IFERROR(__xludf.DUMMYFUNCTION("""COMPUTED_VALUE"""),"✅ ĐỦ HÀNG")</f>
        <v>✅ ĐỦ HÀNG</v>
      </c>
    </row>
    <row r="208" ht="22.5" customHeight="1">
      <c r="A208" s="65" t="str">
        <f>IFERROR(__xludf.DUMMYFUNCTION("""COMPUTED_VALUE"""),"Trần Linh")</f>
        <v>Trần Linh</v>
      </c>
      <c r="B208" s="66">
        <v>1.0</v>
      </c>
      <c r="C208" s="65" t="str">
        <f>IFERROR(__xludf.DUMMYFUNCTION("""COMPUTED_VALUE"""),"✅ ĐỦ HÀNG")</f>
        <v>✅ ĐỦ HÀNG</v>
      </c>
    </row>
    <row r="209" ht="22.5" customHeight="1">
      <c r="A209" s="65" t="str">
        <f>IFERROR(__xludf.DUMMYFUNCTION("""COMPUTED_VALUE"""),"Thu Thao Le")</f>
        <v>Thu Thao Le</v>
      </c>
      <c r="B209" s="66">
        <v>5.0</v>
      </c>
      <c r="C209" s="65" t="str">
        <f>IFERROR(__xludf.DUMMYFUNCTION("""COMPUTED_VALUE"""),"✅ ĐỦ HÀNG")</f>
        <v>✅ ĐỦ HÀNG</v>
      </c>
    </row>
    <row r="210" ht="22.5" customHeight="1">
      <c r="A210" s="65" t="str">
        <f>IFERROR(__xludf.DUMMYFUNCTION("""COMPUTED_VALUE"""),"Loan Dao")</f>
        <v>Loan Dao</v>
      </c>
      <c r="B210" s="66">
        <v>1.0</v>
      </c>
      <c r="C210" s="65" t="str">
        <f>IFERROR(__xludf.DUMMYFUNCTION("""COMPUTED_VALUE"""),"✅ ĐỦ HÀNG")</f>
        <v>✅ ĐỦ HÀNG</v>
      </c>
    </row>
    <row r="211" ht="22.5" customHeight="1">
      <c r="A211" s="65" t="str">
        <f>IFERROR(__xludf.DUMMYFUNCTION("""COMPUTED_VALUE"""),"Nguyễn Hân")</f>
        <v>Nguyễn Hân</v>
      </c>
      <c r="B211" s="66">
        <v>1.0</v>
      </c>
      <c r="C211" s="65" t="str">
        <f>IFERROR(__xludf.DUMMYFUNCTION("""COMPUTED_VALUE"""),"✅ ĐỦ HÀNG")</f>
        <v>✅ ĐỦ HÀNG</v>
      </c>
    </row>
    <row r="212" ht="22.5" customHeight="1">
      <c r="A212" s="65" t="str">
        <f>IFERROR(__xludf.DUMMYFUNCTION("""COMPUTED_VALUE"""),"Hue Nguyen")</f>
        <v>Hue Nguyen</v>
      </c>
      <c r="B212" s="66">
        <v>1.0</v>
      </c>
      <c r="C212" s="65" t="str">
        <f>IFERROR(__xludf.DUMMYFUNCTION("""COMPUTED_VALUE"""),"✅ ĐỦ HÀNG")</f>
        <v>✅ ĐỦ HÀNG</v>
      </c>
    </row>
    <row r="213" ht="22.5" customHeight="1">
      <c r="A213" s="65" t="str">
        <f>IFERROR(__xludf.DUMMYFUNCTION("""COMPUTED_VALUE"""),"Oanh Tồ")</f>
        <v>Oanh Tồ</v>
      </c>
      <c r="B213" s="66">
        <v>2.0</v>
      </c>
      <c r="C213" s="65" t="str">
        <f>IFERROR(__xludf.DUMMYFUNCTION("""COMPUTED_VALUE"""),"✅ ĐỦ HÀNG")</f>
        <v>✅ ĐỦ HÀNG</v>
      </c>
    </row>
    <row r="214" ht="22.5" customHeight="1">
      <c r="A214" s="65" t="str">
        <f>IFERROR(__xludf.DUMMYFUNCTION("""COMPUTED_VALUE"""),"Nguyễn Quyên")</f>
        <v>Nguyễn Quyên</v>
      </c>
      <c r="B214" s="66">
        <v>10.0</v>
      </c>
      <c r="C214" s="65" t="str">
        <f>IFERROR(__xludf.DUMMYFUNCTION("""COMPUTED_VALUE"""),"✅ ĐỦ HÀNG")</f>
        <v>✅ ĐỦ HÀNG</v>
      </c>
    </row>
    <row r="215" ht="22.5" customHeight="1">
      <c r="A215" s="65" t="str">
        <f>IFERROR(__xludf.DUMMYFUNCTION("""COMPUTED_VALUE"""),"Hàn Lan Anh")</f>
        <v>Hàn Lan Anh</v>
      </c>
      <c r="B215" s="66">
        <v>15.0</v>
      </c>
      <c r="C215" s="65" t="str">
        <f>IFERROR(__xludf.DUMMYFUNCTION("""COMPUTED_VALUE"""),"✅ ĐỦ HÀNG")</f>
        <v>✅ ĐỦ HÀNG</v>
      </c>
    </row>
    <row r="216" ht="22.5" customHeight="1">
      <c r="A216" s="65" t="str">
        <f>IFERROR(__xludf.DUMMYFUNCTION("""COMPUTED_VALUE"""),"Chu Thị Quyên")</f>
        <v>Chu Thị Quyên</v>
      </c>
      <c r="B216" s="66">
        <v>1.0</v>
      </c>
      <c r="C216" s="65" t="str">
        <f>IFERROR(__xludf.DUMMYFUNCTION("""COMPUTED_VALUE"""),"✅ ĐỦ HÀNG")</f>
        <v>✅ ĐỦ HÀNG</v>
      </c>
    </row>
    <row r="217" ht="22.5" customHeight="1">
      <c r="A217" s="65" t="str">
        <f>IFERROR(__xludf.DUMMYFUNCTION("""COMPUTED_VALUE"""),"Trần Thảo Yến")</f>
        <v>Trần Thảo Yến</v>
      </c>
      <c r="B217" s="66">
        <v>2.0</v>
      </c>
      <c r="C217" s="65" t="str">
        <f>IFERROR(__xludf.DUMMYFUNCTION("""COMPUTED_VALUE"""),"✅ ĐỦ HÀNG")</f>
        <v>✅ ĐỦ HÀNG</v>
      </c>
    </row>
    <row r="218" ht="22.5" customHeight="1">
      <c r="A218" s="65" t="str">
        <f>IFERROR(__xludf.DUMMYFUNCTION("""COMPUTED_VALUE"""),"Bùii Phươngg")</f>
        <v>Bùii Phươngg</v>
      </c>
      <c r="B218" s="66">
        <v>1.0</v>
      </c>
      <c r="C218" s="65" t="str">
        <f>IFERROR(__xludf.DUMMYFUNCTION("""COMPUTED_VALUE"""),"✅ ĐỦ HÀNG")</f>
        <v>✅ ĐỦ HÀNG</v>
      </c>
    </row>
    <row r="219" ht="22.5" customHeight="1">
      <c r="A219" s="65" t="str">
        <f>IFERROR(__xludf.DUMMYFUNCTION("""COMPUTED_VALUE"""),"Lam Lam")</f>
        <v>Lam Lam</v>
      </c>
      <c r="B219" s="66">
        <v>13.0</v>
      </c>
      <c r="C219" s="65" t="str">
        <f>IFERROR(__xludf.DUMMYFUNCTION("""COMPUTED_VALUE"""),"✅ ĐỦ HÀNG")</f>
        <v>✅ ĐỦ HÀNG</v>
      </c>
    </row>
    <row r="220" ht="22.5" customHeight="1">
      <c r="A220" s="65" t="str">
        <f>IFERROR(__xludf.DUMMYFUNCTION("""COMPUTED_VALUE"""),"Mai Suppy")</f>
        <v>Mai Suppy</v>
      </c>
      <c r="B220" s="66">
        <v>2.0</v>
      </c>
      <c r="C220" s="65" t="str">
        <f>IFERROR(__xludf.DUMMYFUNCTION("""COMPUTED_VALUE"""),"✅ ĐỦ HÀNG")</f>
        <v>✅ ĐỦ HÀNG</v>
      </c>
    </row>
    <row r="221" ht="22.5" customHeight="1">
      <c r="A221" s="65" t="str">
        <f>IFERROR(__xludf.DUMMYFUNCTION("""COMPUTED_VALUE"""),"Thảo Thỏ")</f>
        <v>Thảo Thỏ</v>
      </c>
      <c r="B221" s="66">
        <v>6.0</v>
      </c>
      <c r="C221" s="65" t="str">
        <f>IFERROR(__xludf.DUMMYFUNCTION("""COMPUTED_VALUE"""),"✅ ĐỦ HÀNG")</f>
        <v>✅ ĐỦ HÀNG</v>
      </c>
    </row>
    <row r="222" ht="22.5" customHeight="1">
      <c r="A222" s="65" t="str">
        <f>IFERROR(__xludf.DUMMYFUNCTION("""COMPUTED_VALUE"""),"Bùi Lương")</f>
        <v>Bùi Lương</v>
      </c>
      <c r="B222" s="66">
        <v>3.0</v>
      </c>
      <c r="C222" s="65" t="str">
        <f>IFERROR(__xludf.DUMMYFUNCTION("""COMPUTED_VALUE"""),"✅ ĐỦ HÀNG")</f>
        <v>✅ ĐỦ HÀNG</v>
      </c>
    </row>
    <row r="223" ht="22.5" customHeight="1">
      <c r="A223" s="65" t="str">
        <f>IFERROR(__xludf.DUMMYFUNCTION("""COMPUTED_VALUE"""),"La Xuyen")</f>
        <v>La Xuyen</v>
      </c>
      <c r="B223" s="66">
        <v>1.0</v>
      </c>
      <c r="C223" s="65" t="str">
        <f>IFERROR(__xludf.DUMMYFUNCTION("""COMPUTED_VALUE"""),"✅ ĐỦ HÀNG")</f>
        <v>✅ ĐỦ HÀNG</v>
      </c>
    </row>
    <row r="224" ht="22.5" customHeight="1">
      <c r="A224" s="65" t="str">
        <f>IFERROR(__xludf.DUMMYFUNCTION("""COMPUTED_VALUE"""),"Huyền Osumi")</f>
        <v>Huyền Osumi</v>
      </c>
      <c r="B224" s="66">
        <v>7.0</v>
      </c>
      <c r="C224" s="65" t="str">
        <f>IFERROR(__xludf.DUMMYFUNCTION("""COMPUTED_VALUE"""),"✅ ĐỦ HÀNG")</f>
        <v>✅ ĐỦ HÀNG</v>
      </c>
    </row>
    <row r="225" ht="22.5" customHeight="1">
      <c r="A225" s="65" t="str">
        <f>IFERROR(__xludf.DUMMYFUNCTION("""COMPUTED_VALUE"""),"Nguyễn Linh Lan")</f>
        <v>Nguyễn Linh Lan</v>
      </c>
      <c r="B225" s="66">
        <v>4.0</v>
      </c>
      <c r="C225" s="65" t="str">
        <f>IFERROR(__xludf.DUMMYFUNCTION("""COMPUTED_VALUE"""),"✅ ĐỦ HÀNG")</f>
        <v>✅ ĐỦ HÀNG</v>
      </c>
    </row>
    <row r="226" ht="22.5" customHeight="1">
      <c r="A226" s="65" t="str">
        <f>IFERROR(__xludf.DUMMYFUNCTION("""COMPUTED_VALUE"""),"Nguyen Thi Thanh Tuyen")</f>
        <v>Nguyen Thi Thanh Tuyen</v>
      </c>
      <c r="B226" s="66">
        <v>1.0</v>
      </c>
      <c r="C226" s="65" t="str">
        <f>IFERROR(__xludf.DUMMYFUNCTION("""COMPUTED_VALUE"""),"✅ ĐỦ HÀNG")</f>
        <v>✅ ĐỦ HÀNG</v>
      </c>
    </row>
    <row r="227" ht="22.5" customHeight="1">
      <c r="A227" s="65" t="str">
        <f>IFERROR(__xludf.DUMMYFUNCTION("""COMPUTED_VALUE"""),"Trương Thuỷ")</f>
        <v>Trương Thuỷ</v>
      </c>
      <c r="B227" s="66">
        <v>3.0</v>
      </c>
      <c r="C227" s="65" t="str">
        <f>IFERROR(__xludf.DUMMYFUNCTION("""COMPUTED_VALUE"""),"✅ ĐỦ HÀNG")</f>
        <v>✅ ĐỦ HÀNG</v>
      </c>
    </row>
    <row r="228" ht="22.5" customHeight="1">
      <c r="A228" s="65" t="str">
        <f>IFERROR(__xludf.DUMMYFUNCTION("""COMPUTED_VALUE"""),"Việt Hà")</f>
        <v>Việt Hà</v>
      </c>
      <c r="B228" s="66">
        <v>1.0</v>
      </c>
      <c r="C228" s="65" t="str">
        <f>IFERROR(__xludf.DUMMYFUNCTION("""COMPUTED_VALUE"""),"✅ ĐỦ HÀNG")</f>
        <v>✅ ĐỦ HÀNG</v>
      </c>
    </row>
    <row r="229" ht="22.5" customHeight="1">
      <c r="A229" s="65" t="str">
        <f>IFERROR(__xludf.DUMMYFUNCTION("""COMPUTED_VALUE"""),"Hoài Linh")</f>
        <v>Hoài Linh</v>
      </c>
      <c r="B229" s="66">
        <v>2.0</v>
      </c>
      <c r="C229" s="65" t="str">
        <f>IFERROR(__xludf.DUMMYFUNCTION("""COMPUTED_VALUE"""),"✅ ĐỦ HÀNG")</f>
        <v>✅ ĐỦ HÀNG</v>
      </c>
    </row>
    <row r="230" ht="22.5" customHeight="1">
      <c r="A230" s="65" t="str">
        <f>IFERROR(__xludf.DUMMYFUNCTION("""COMPUTED_VALUE"""),"Huyền Linh")</f>
        <v>Huyền Linh</v>
      </c>
      <c r="B230" s="66">
        <v>2.0</v>
      </c>
      <c r="C230" s="65" t="str">
        <f>IFERROR(__xludf.DUMMYFUNCTION("""COMPUTED_VALUE"""),"✅ ĐỦ HÀNG")</f>
        <v>✅ ĐỦ HÀNG</v>
      </c>
    </row>
    <row r="231" ht="22.5" customHeight="1">
      <c r="A231" s="65" t="str">
        <f>IFERROR(__xludf.DUMMYFUNCTION("""COMPUTED_VALUE"""),"Hằng Vũ")</f>
        <v>Hằng Vũ</v>
      </c>
      <c r="B231" s="66">
        <v>1.0</v>
      </c>
      <c r="C231" s="65" t="str">
        <f>IFERROR(__xludf.DUMMYFUNCTION("""COMPUTED_VALUE"""),"✅ ĐỦ HÀNG")</f>
        <v>✅ ĐỦ HÀNG</v>
      </c>
    </row>
    <row r="232" ht="22.5" customHeight="1">
      <c r="A232" s="65" t="str">
        <f>IFERROR(__xludf.DUMMYFUNCTION("""COMPUTED_VALUE"""),"Thu Tô")</f>
        <v>Thu Tô</v>
      </c>
      <c r="B232" s="66">
        <v>3.0</v>
      </c>
      <c r="C232" s="65" t="str">
        <f>IFERROR(__xludf.DUMMYFUNCTION("""COMPUTED_VALUE"""),"✅ ĐỦ HÀNG")</f>
        <v>✅ ĐỦ HÀNG</v>
      </c>
    </row>
    <row r="233" ht="22.5" customHeight="1">
      <c r="A233" s="65" t="str">
        <f>IFERROR(__xludf.DUMMYFUNCTION("""COMPUTED_VALUE"""),"Nguyễn Thu Phương")</f>
        <v>Nguyễn Thu Phương</v>
      </c>
      <c r="B233" s="66">
        <v>2.0</v>
      </c>
      <c r="C233" s="65" t="str">
        <f>IFERROR(__xludf.DUMMYFUNCTION("""COMPUTED_VALUE"""),"✅ ĐỦ HÀNG")</f>
        <v>✅ ĐỦ HÀNG</v>
      </c>
    </row>
    <row r="234" ht="22.5" customHeight="1">
      <c r="A234" s="65" t="str">
        <f>IFERROR(__xludf.DUMMYFUNCTION("""COMPUTED_VALUE"""),"Nguyễn Huyền Trang")</f>
        <v>Nguyễn Huyền Trang</v>
      </c>
      <c r="B234" s="66">
        <v>2.0</v>
      </c>
      <c r="C234" s="65" t="str">
        <f>IFERROR(__xludf.DUMMYFUNCTION("""COMPUTED_VALUE"""),"✅ ĐỦ HÀNG")</f>
        <v>✅ ĐỦ HÀNG</v>
      </c>
    </row>
    <row r="235" ht="22.5" customHeight="1">
      <c r="A235" s="65" t="str">
        <f>IFERROR(__xludf.DUMMYFUNCTION("""COMPUTED_VALUE"""),"Nguyễn Thị Thu")</f>
        <v>Nguyễn Thị Thu</v>
      </c>
      <c r="B235" s="66">
        <v>20.0</v>
      </c>
      <c r="C235" s="65" t="str">
        <f>IFERROR(__xludf.DUMMYFUNCTION("""COMPUTED_VALUE"""),"✅ ĐỦ HÀNG")</f>
        <v>✅ ĐỦ HÀNG</v>
      </c>
    </row>
    <row r="236" ht="22.5" customHeight="1">
      <c r="A236" s="65" t="str">
        <f>IFERROR(__xludf.DUMMYFUNCTION("""COMPUTED_VALUE"""),"Dương Duyên")</f>
        <v>Dương Duyên</v>
      </c>
      <c r="B236" s="66">
        <v>10.0</v>
      </c>
      <c r="C236" s="65" t="str">
        <f>IFERROR(__xludf.DUMMYFUNCTION("""COMPUTED_VALUE"""),"✅ ĐỦ HÀNG")</f>
        <v>✅ ĐỦ HÀNG</v>
      </c>
    </row>
    <row r="237" ht="22.5" customHeight="1">
      <c r="A237" s="65" t="str">
        <f>IFERROR(__xludf.DUMMYFUNCTION("""COMPUTED_VALUE"""),"Mỹ Hạnh Phạmm")</f>
        <v>Mỹ Hạnh Phạmm</v>
      </c>
      <c r="B237" s="66">
        <v>1.0</v>
      </c>
      <c r="C237" s="65" t="str">
        <f>IFERROR(__xludf.DUMMYFUNCTION("""COMPUTED_VALUE"""),"✅ ĐỦ HÀNG")</f>
        <v>✅ ĐỦ HÀNG</v>
      </c>
    </row>
    <row r="238" ht="22.5" customHeight="1">
      <c r="A238" s="65" t="str">
        <f>IFERROR(__xludf.DUMMYFUNCTION("""COMPUTED_VALUE"""),"Thu Trang")</f>
        <v>Thu Trang</v>
      </c>
      <c r="B238" s="66">
        <v>1.0</v>
      </c>
      <c r="C238" s="65" t="str">
        <f>IFERROR(__xludf.DUMMYFUNCTION("""COMPUTED_VALUE"""),"✅ ĐỦ HÀNG")</f>
        <v>✅ ĐỦ HÀNG</v>
      </c>
    </row>
    <row r="239" ht="22.5" customHeight="1">
      <c r="A239" s="65" t="str">
        <f>IFERROR(__xludf.DUMMYFUNCTION("""COMPUTED_VALUE"""),"Su Kem")</f>
        <v>Su Kem</v>
      </c>
      <c r="B239" s="66">
        <v>1.0</v>
      </c>
      <c r="C239" s="65" t="str">
        <f>IFERROR(__xludf.DUMMYFUNCTION("""COMPUTED_VALUE"""),"✅ ĐỦ HÀNG")</f>
        <v>✅ ĐỦ HÀNG</v>
      </c>
    </row>
    <row r="240" ht="22.5" customHeight="1">
      <c r="A240" s="65" t="str">
        <f>IFERROR(__xludf.DUMMYFUNCTION("""COMPUTED_VALUE"""),"Đỗ Nhung")</f>
        <v>Đỗ Nhung</v>
      </c>
      <c r="B240" s="66">
        <v>13.0</v>
      </c>
      <c r="C240" s="65" t="str">
        <f>IFERROR(__xludf.DUMMYFUNCTION("""COMPUTED_VALUE"""),"✅ ĐỦ HÀNG")</f>
        <v>✅ ĐỦ HÀNG</v>
      </c>
    </row>
    <row r="241" ht="22.5" customHeight="1">
      <c r="A241" s="65" t="str">
        <f>IFERROR(__xludf.DUMMYFUNCTION("""COMPUTED_VALUE"""),"Nguyệt")</f>
        <v>Nguyệt</v>
      </c>
      <c r="B241" s="66">
        <v>1.0</v>
      </c>
      <c r="C241" s="65" t="str">
        <f>IFERROR(__xludf.DUMMYFUNCTION("""COMPUTED_VALUE"""),"✅ ĐỦ HÀNG")</f>
        <v>✅ ĐỦ HÀNG</v>
      </c>
    </row>
    <row r="242" ht="22.5" customHeight="1">
      <c r="A242" s="65" t="str">
        <f>IFERROR(__xludf.DUMMYFUNCTION("""COMPUTED_VALUE"""),"Huyền Trang 1")</f>
        <v>Huyền Trang 1</v>
      </c>
      <c r="B242" s="66">
        <v>2.0</v>
      </c>
      <c r="C242" s="65" t="str">
        <f>IFERROR(__xludf.DUMMYFUNCTION("""COMPUTED_VALUE"""),"✅ ĐỦ HÀNG")</f>
        <v>✅ ĐỦ HÀNG</v>
      </c>
    </row>
    <row r="243" ht="22.5" customHeight="1">
      <c r="A243" s="65" t="str">
        <f>IFERROR(__xludf.DUMMYFUNCTION("""COMPUTED_VALUE"""),"AnhThư Phann")</f>
        <v>AnhThư Phann</v>
      </c>
      <c r="B243" s="66">
        <v>3.0</v>
      </c>
      <c r="C243" s="65" t="str">
        <f>IFERROR(__xludf.DUMMYFUNCTION("""COMPUTED_VALUE"""),"✅ ĐỦ HÀNG")</f>
        <v>✅ ĐỦ HÀNG</v>
      </c>
    </row>
    <row r="244" ht="22.5" customHeight="1">
      <c r="A244" s="65" t="str">
        <f>IFERROR(__xludf.DUMMYFUNCTION("""COMPUTED_VALUE"""),"Angelina Tran")</f>
        <v>Angelina Tran</v>
      </c>
      <c r="B244" s="66">
        <v>3.0</v>
      </c>
      <c r="C244" s="65" t="str">
        <f>IFERROR(__xludf.DUMMYFUNCTION("""COMPUTED_VALUE"""),"✅ ĐỦ HÀNG")</f>
        <v>✅ ĐỦ HÀNG</v>
      </c>
    </row>
    <row r="245" ht="22.5" customHeight="1">
      <c r="A245" s="65" t="str">
        <f>IFERROR(__xludf.DUMMYFUNCTION("""COMPUTED_VALUE"""),"Dung Nguyễn")</f>
        <v>Dung Nguyễn</v>
      </c>
      <c r="B245" s="66">
        <v>14.0</v>
      </c>
      <c r="C245" s="65" t="str">
        <f>IFERROR(__xludf.DUMMYFUNCTION("""COMPUTED_VALUE"""),"✅ ĐỦ HÀNG")</f>
        <v>✅ ĐỦ HÀNG</v>
      </c>
    </row>
    <row r="246" ht="22.5" customHeight="1">
      <c r="A246" s="65" t="str">
        <f>IFERROR(__xludf.DUMMYFUNCTION("""COMPUTED_VALUE"""),"Hoàng Yến")</f>
        <v>Hoàng Yến</v>
      </c>
      <c r="B246" s="66">
        <v>8.0</v>
      </c>
      <c r="C246" s="65" t="str">
        <f>IFERROR(__xludf.DUMMYFUNCTION("""COMPUTED_VALUE"""),"✅ ĐỦ HÀNG")</f>
        <v>✅ ĐỦ HÀNG</v>
      </c>
    </row>
    <row r="247" ht="22.5" customHeight="1">
      <c r="A247" s="65" t="str">
        <f>IFERROR(__xludf.DUMMYFUNCTION("""COMPUTED_VALUE"""),"Thuý Huệ")</f>
        <v>Thuý Huệ</v>
      </c>
      <c r="B247" s="66">
        <v>1.0</v>
      </c>
      <c r="C247" s="65" t="str">
        <f>IFERROR(__xludf.DUMMYFUNCTION("""COMPUTED_VALUE"""),"✅ ĐỦ HÀNG")</f>
        <v>✅ ĐỦ HÀNG</v>
      </c>
    </row>
    <row r="248" ht="22.5" customHeight="1">
      <c r="A248" s="65" t="str">
        <f>IFERROR(__xludf.DUMMYFUNCTION("""COMPUTED_VALUE"""),"Đan Thảo")</f>
        <v>Đan Thảo</v>
      </c>
      <c r="B248" s="66">
        <v>3.0</v>
      </c>
      <c r="C248" s="65" t="str">
        <f>IFERROR(__xludf.DUMMYFUNCTION("""COMPUTED_VALUE"""),"✅ ĐỦ HÀNG")</f>
        <v>✅ ĐỦ HÀNG</v>
      </c>
    </row>
    <row r="249" ht="22.5" customHeight="1">
      <c r="A249" s="65" t="str">
        <f>IFERROR(__xludf.DUMMYFUNCTION("""COMPUTED_VALUE"""),"Sâu Màu Mè")</f>
        <v>Sâu Màu Mè</v>
      </c>
      <c r="B249" s="66">
        <v>5.0</v>
      </c>
      <c r="C249" s="65" t="str">
        <f>IFERROR(__xludf.DUMMYFUNCTION("""COMPUTED_VALUE"""),"✅ ĐỦ HÀNG")</f>
        <v>✅ ĐỦ HÀNG</v>
      </c>
    </row>
    <row r="250" ht="22.5" customHeight="1">
      <c r="A250" s="65" t="str">
        <f>IFERROR(__xludf.DUMMYFUNCTION("""COMPUTED_VALUE"""),"Ngoc Anh Nguyen")</f>
        <v>Ngoc Anh Nguyen</v>
      </c>
      <c r="B250" s="66">
        <v>2.0</v>
      </c>
      <c r="C250" s="65" t="str">
        <f>IFERROR(__xludf.DUMMYFUNCTION("""COMPUTED_VALUE"""),"✅ ĐỦ HÀNG")</f>
        <v>✅ ĐỦ HÀNG</v>
      </c>
    </row>
    <row r="251" ht="22.5" customHeight="1">
      <c r="A251" s="65" t="str">
        <f>IFERROR(__xludf.DUMMYFUNCTION("""COMPUTED_VALUE"""),"Mộc Dương")</f>
        <v>Mộc Dương</v>
      </c>
      <c r="B251" s="66">
        <v>8.0</v>
      </c>
      <c r="C251" s="65" t="str">
        <f>IFERROR(__xludf.DUMMYFUNCTION("""COMPUTED_VALUE"""),"✅ ĐỦ HÀNG")</f>
        <v>✅ ĐỦ HÀNG</v>
      </c>
    </row>
    <row r="252" ht="22.5" customHeight="1">
      <c r="A252" s="65" t="str">
        <f>IFERROR(__xludf.DUMMYFUNCTION("""COMPUTED_VALUE"""),"Khoảng Lặng")</f>
        <v>Khoảng Lặng</v>
      </c>
      <c r="B252" s="66">
        <v>1.0</v>
      </c>
      <c r="C252" s="65" t="str">
        <f>IFERROR(__xludf.DUMMYFUNCTION("""COMPUTED_VALUE"""),"✅ ĐỦ HÀNG")</f>
        <v>✅ ĐỦ HÀNG</v>
      </c>
    </row>
    <row r="253" ht="22.5" customHeight="1">
      <c r="A253" s="65" t="str">
        <f>IFERROR(__xludf.DUMMYFUNCTION("""COMPUTED_VALUE"""),"Mơ Mơ")</f>
        <v>Mơ Mơ</v>
      </c>
      <c r="B253" s="66">
        <v>2.0</v>
      </c>
      <c r="C253" s="65" t="str">
        <f>IFERROR(__xludf.DUMMYFUNCTION("""COMPUTED_VALUE"""),"✅ ĐỦ HÀNG")</f>
        <v>✅ ĐỦ HÀNG</v>
      </c>
    </row>
    <row r="254" ht="22.5" customHeight="1">
      <c r="A254" s="65" t="str">
        <f>IFERROR(__xludf.DUMMYFUNCTION("""COMPUTED_VALUE"""),"Châm Châm Nè")</f>
        <v>Châm Châm Nè</v>
      </c>
      <c r="B254" s="66">
        <v>3.0</v>
      </c>
      <c r="C254" s="65" t="str">
        <f>IFERROR(__xludf.DUMMYFUNCTION("""COMPUTED_VALUE"""),"✅ ĐỦ HÀNG")</f>
        <v>✅ ĐỦ HÀNG</v>
      </c>
    </row>
    <row r="255" ht="22.5" customHeight="1">
      <c r="A255" s="65" t="str">
        <f>IFERROR(__xludf.DUMMYFUNCTION("""COMPUTED_VALUE"""),"Trịnh Thị Thu Hiền")</f>
        <v>Trịnh Thị Thu Hiền</v>
      </c>
      <c r="B255" s="66">
        <v>3.0</v>
      </c>
      <c r="C255" s="65" t="str">
        <f>IFERROR(__xludf.DUMMYFUNCTION("""COMPUTED_VALUE"""),"✅ ĐỦ HÀNG")</f>
        <v>✅ ĐỦ HÀNG</v>
      </c>
    </row>
    <row r="256" ht="22.5" customHeight="1">
      <c r="A256" s="65" t="str">
        <f>IFERROR(__xludf.DUMMYFUNCTION("""COMPUTED_VALUE"""),"Ánh Lê")</f>
        <v>Ánh Lê</v>
      </c>
      <c r="B256" s="66">
        <v>3.0</v>
      </c>
      <c r="C256" s="65" t="str">
        <f>IFERROR(__xludf.DUMMYFUNCTION("""COMPUTED_VALUE"""),"✅ ĐỦ HÀNG")</f>
        <v>✅ ĐỦ HÀNG</v>
      </c>
    </row>
    <row r="257" ht="22.5" customHeight="1">
      <c r="A257" s="65" t="str">
        <f>IFERROR(__xludf.DUMMYFUNCTION("""COMPUTED_VALUE"""),"Thu Hiền(xa)")</f>
        <v>Thu Hiền(xa)</v>
      </c>
      <c r="B257" s="66">
        <v>2.0</v>
      </c>
      <c r="C257" s="65" t="str">
        <f>IFERROR(__xludf.DUMMYFUNCTION("""COMPUTED_VALUE"""),"✅ ĐỦ HÀNG")</f>
        <v>✅ ĐỦ HÀNG</v>
      </c>
    </row>
    <row r="258" ht="22.5" customHeight="1">
      <c r="A258" s="65" t="str">
        <f>IFERROR(__xludf.DUMMYFUNCTION("""COMPUTED_VALUE"""),"Ngô Trần Yến Vy")</f>
        <v>Ngô Trần Yến Vy</v>
      </c>
      <c r="B258" s="66">
        <v>5.0</v>
      </c>
      <c r="C258" s="65" t="str">
        <f>IFERROR(__xludf.DUMMYFUNCTION("""COMPUTED_VALUE"""),"✅ ĐỦ HÀNG")</f>
        <v>✅ ĐỦ HÀNG</v>
      </c>
    </row>
    <row r="259" ht="22.5" customHeight="1">
      <c r="A259" s="65" t="str">
        <f>IFERROR(__xludf.DUMMYFUNCTION("""COMPUTED_VALUE"""),"Huỳnh Ngân")</f>
        <v>Huỳnh Ngân</v>
      </c>
      <c r="B259" s="66">
        <v>4.0</v>
      </c>
      <c r="C259" s="65" t="str">
        <f>IFERROR(__xludf.DUMMYFUNCTION("""COMPUTED_VALUE"""),"✅ ĐỦ HÀNG")</f>
        <v>✅ ĐỦ HÀNG</v>
      </c>
    </row>
    <row r="260" ht="22.5" customHeight="1">
      <c r="A260" s="65" t="str">
        <f>IFERROR(__xludf.DUMMYFUNCTION("""COMPUTED_VALUE"""),"Huong Giang")</f>
        <v>Huong Giang</v>
      </c>
      <c r="B260" s="66">
        <v>7.0</v>
      </c>
      <c r="C260" s="65" t="str">
        <f>IFERROR(__xludf.DUMMYFUNCTION("""COMPUTED_VALUE"""),"✅ ĐỦ HÀNG")</f>
        <v>✅ ĐỦ HÀNG</v>
      </c>
    </row>
    <row r="261" ht="22.5" customHeight="1">
      <c r="A261" s="65" t="str">
        <f>IFERROR(__xludf.DUMMYFUNCTION("""COMPUTED_VALUE"""),"Hương Tôi Quê")</f>
        <v>Hương Tôi Quê</v>
      </c>
      <c r="B261" s="66">
        <v>1.0</v>
      </c>
      <c r="C261" s="65" t="str">
        <f>IFERROR(__xludf.DUMMYFUNCTION("""COMPUTED_VALUE"""),"✅ ĐỦ HÀNG")</f>
        <v>✅ ĐỦ HÀNG</v>
      </c>
    </row>
    <row r="262" ht="22.5" customHeight="1">
      <c r="A262" s="65" t="str">
        <f>IFERROR(__xludf.DUMMYFUNCTION("""COMPUTED_VALUE"""),"Hoài An")</f>
        <v>Hoài An</v>
      </c>
      <c r="B262" s="66">
        <v>6.0</v>
      </c>
      <c r="C262" s="65" t="str">
        <f>IFERROR(__xludf.DUMMYFUNCTION("""COMPUTED_VALUE"""),"✅ ĐỦ HÀNG")</f>
        <v>✅ ĐỦ HÀNG</v>
      </c>
    </row>
    <row r="263" ht="22.5" customHeight="1">
      <c r="A263" s="65" t="str">
        <f>IFERROR(__xludf.DUMMYFUNCTION("""COMPUTED_VALUE"""),"Nhat Ha Tran Le")</f>
        <v>Nhat Ha Tran Le</v>
      </c>
      <c r="B263" s="66">
        <v>2.0</v>
      </c>
      <c r="C263" s="65" t="str">
        <f>IFERROR(__xludf.DUMMYFUNCTION("""COMPUTED_VALUE"""),"✅ ĐỦ HÀNG")</f>
        <v>✅ ĐỦ HÀNG</v>
      </c>
    </row>
    <row r="264" ht="22.5" customHeight="1">
      <c r="A264" s="65" t="str">
        <f>IFERROR(__xludf.DUMMYFUNCTION("""COMPUTED_VALUE"""),"Linh Trần")</f>
        <v>Linh Trần</v>
      </c>
      <c r="B264" s="66">
        <v>1.0</v>
      </c>
      <c r="C264" s="65" t="str">
        <f>IFERROR(__xludf.DUMMYFUNCTION("""COMPUTED_VALUE"""),"✅ ĐỦ HÀNG")</f>
        <v>✅ ĐỦ HÀNG</v>
      </c>
    </row>
    <row r="265" ht="22.5" customHeight="1">
      <c r="A265" s="65" t="str">
        <f>IFERROR(__xludf.DUMMYFUNCTION("""COMPUTED_VALUE"""),"Bich Chung")</f>
        <v>Bich Chung</v>
      </c>
      <c r="B265" s="66">
        <v>6.0</v>
      </c>
      <c r="C265" s="65" t="str">
        <f>IFERROR(__xludf.DUMMYFUNCTION("""COMPUTED_VALUE"""),"✅ ĐỦ HÀNG")</f>
        <v>✅ ĐỦ HÀNG</v>
      </c>
    </row>
    <row r="266" ht="22.5" customHeight="1">
      <c r="A266" s="65" t="str">
        <f>IFERROR(__xludf.DUMMYFUNCTION("""COMPUTED_VALUE"""),"Thuỳ Linh")</f>
        <v>Thuỳ Linh</v>
      </c>
      <c r="B266" s="66">
        <v>2.0</v>
      </c>
      <c r="C266" s="65" t="str">
        <f>IFERROR(__xludf.DUMMYFUNCTION("""COMPUTED_VALUE"""),"✅ ĐỦ HÀNG")</f>
        <v>✅ ĐỦ HÀNG</v>
      </c>
    </row>
    <row r="267" ht="22.5" customHeight="1">
      <c r="A267" s="65" t="str">
        <f>IFERROR(__xludf.DUMMYFUNCTION("""COMPUTED_VALUE"""),"Duong Thu Anh")</f>
        <v>Duong Thu Anh</v>
      </c>
      <c r="B267" s="66">
        <v>6.0</v>
      </c>
      <c r="C267" s="65" t="str">
        <f>IFERROR(__xludf.DUMMYFUNCTION("""COMPUTED_VALUE"""),"✅ ĐỦ HÀNG")</f>
        <v>✅ ĐỦ HÀNG</v>
      </c>
    </row>
    <row r="268" ht="22.5" customHeight="1">
      <c r="A268" s="65" t="str">
        <f>IFERROR(__xludf.DUMMYFUNCTION("""COMPUTED_VALUE"""),"Anh Ain")</f>
        <v>Anh Ain</v>
      </c>
      <c r="B268" s="66">
        <v>2.0</v>
      </c>
      <c r="C268" s="65" t="str">
        <f>IFERROR(__xludf.DUMMYFUNCTION("""COMPUTED_VALUE"""),"✅ ĐỦ HÀNG")</f>
        <v>✅ ĐỦ HÀNG</v>
      </c>
    </row>
    <row r="269" ht="22.5" customHeight="1">
      <c r="A269" s="65" t="str">
        <f>IFERROR(__xludf.DUMMYFUNCTION("""COMPUTED_VALUE"""),"Minh Diệu")</f>
        <v>Minh Diệu</v>
      </c>
      <c r="B269" s="66">
        <v>1.0</v>
      </c>
      <c r="C269" s="65" t="str">
        <f>IFERROR(__xludf.DUMMYFUNCTION("""COMPUTED_VALUE"""),"✅ ĐỦ HÀNG")</f>
        <v>✅ ĐỦ HÀNG</v>
      </c>
    </row>
    <row r="270" ht="22.5" customHeight="1">
      <c r="A270" s="65" t="str">
        <f>IFERROR(__xludf.DUMMYFUNCTION("""COMPUTED_VALUE"""),"Ngọc Tẹt ")</f>
        <v>Ngọc Tẹt </v>
      </c>
      <c r="B270" s="66">
        <v>1.0</v>
      </c>
      <c r="C270" s="65" t="str">
        <f>IFERROR(__xludf.DUMMYFUNCTION("""COMPUTED_VALUE"""),"✅ ĐỦ HÀNG")</f>
        <v>✅ ĐỦ HÀNG</v>
      </c>
    </row>
    <row r="271" ht="22.5" customHeight="1">
      <c r="A271" s="65" t="str">
        <f>IFERROR(__xludf.DUMMYFUNCTION("""COMPUTED_VALUE"""),"Wabi Sabi")</f>
        <v>Wabi Sabi</v>
      </c>
      <c r="B271" s="66">
        <v>8.0</v>
      </c>
      <c r="C271" s="65" t="str">
        <f>IFERROR(__xludf.DUMMYFUNCTION("""COMPUTED_VALUE"""),"✅ ĐỦ HÀNG")</f>
        <v>✅ ĐỦ HÀNG</v>
      </c>
    </row>
    <row r="272" ht="22.5" customHeight="1">
      <c r="A272" s="65" t="str">
        <f>IFERROR(__xludf.DUMMYFUNCTION("""COMPUTED_VALUE"""),"Phạm Thị Minh Thư")</f>
        <v>Phạm Thị Minh Thư</v>
      </c>
      <c r="B272" s="66">
        <v>3.0</v>
      </c>
      <c r="C272" s="65" t="str">
        <f>IFERROR(__xludf.DUMMYFUNCTION("""COMPUTED_VALUE"""),"✅ ĐỦ HÀNG")</f>
        <v>✅ ĐỦ HÀNG</v>
      </c>
    </row>
    <row r="273" ht="22.5" customHeight="1">
      <c r="A273" s="65" t="str">
        <f>IFERROR(__xludf.DUMMYFUNCTION("""COMPUTED_VALUE"""),"Phan Nhung")</f>
        <v>Phan Nhung</v>
      </c>
      <c r="B273" s="66">
        <v>1.0</v>
      </c>
      <c r="C273" s="65" t="str">
        <f>IFERROR(__xludf.DUMMYFUNCTION("""COMPUTED_VALUE"""),"✅ ĐỦ HÀNG")</f>
        <v>✅ ĐỦ HÀNG</v>
      </c>
    </row>
    <row r="274" ht="22.5" customHeight="1">
      <c r="A274" s="65" t="str">
        <f>IFERROR(__xludf.DUMMYFUNCTION("""COMPUTED_VALUE"""),"Voi Còi")</f>
        <v>Voi Còi</v>
      </c>
      <c r="B274" s="66">
        <v>2.0</v>
      </c>
      <c r="C274" s="65" t="str">
        <f>IFERROR(__xludf.DUMMYFUNCTION("""COMPUTED_VALUE"""),"✅ ĐỦ HÀNG")</f>
        <v>✅ ĐỦ HÀNG</v>
      </c>
    </row>
    <row r="275" ht="22.5" customHeight="1">
      <c r="A275" s="65" t="str">
        <f>IFERROR(__xludf.DUMMYFUNCTION("""COMPUTED_VALUE"""),"Huỳnh Vy")</f>
        <v>Huỳnh Vy</v>
      </c>
      <c r="B275" s="66">
        <v>6.0</v>
      </c>
      <c r="C275" s="65" t="str">
        <f>IFERROR(__xludf.DUMMYFUNCTION("""COMPUTED_VALUE"""),"✅ ĐỦ HÀNG")</f>
        <v>✅ ĐỦ HÀNG</v>
      </c>
    </row>
    <row r="276" ht="22.5" customHeight="1">
      <c r="A276" s="65" t="str">
        <f>IFERROR(__xludf.DUMMYFUNCTION("""COMPUTED_VALUE"""),"グエン　フエン")</f>
        <v>グエン　フエン</v>
      </c>
      <c r="B276" s="66">
        <v>2.0</v>
      </c>
      <c r="C276" s="65" t="str">
        <f>IFERROR(__xludf.DUMMYFUNCTION("""COMPUTED_VALUE"""),"✅ ĐỦ HÀNG")</f>
        <v>✅ ĐỦ HÀNG</v>
      </c>
    </row>
    <row r="277" ht="22.5" customHeight="1">
      <c r="A277" s="65" t="str">
        <f>IFERROR(__xludf.DUMMYFUNCTION("""COMPUTED_VALUE"""),"Tram Anh")</f>
        <v>Tram Anh</v>
      </c>
      <c r="B277" s="66">
        <v>5.0</v>
      </c>
      <c r="C277" s="65" t="str">
        <f>IFERROR(__xludf.DUMMYFUNCTION("""COMPUTED_VALUE"""),"✅ ĐỦ HÀNG")</f>
        <v>✅ ĐỦ HÀNG</v>
      </c>
    </row>
    <row r="278" ht="22.5" customHeight="1">
      <c r="A278" s="65" t="str">
        <f>IFERROR(__xludf.DUMMYFUNCTION("""COMPUTED_VALUE"""),"Lê Mai Phương")</f>
        <v>Lê Mai Phương</v>
      </c>
      <c r="B278" s="66">
        <v>1.0</v>
      </c>
      <c r="C278" s="65" t="str">
        <f>IFERROR(__xludf.DUMMYFUNCTION("""COMPUTED_VALUE"""),"✅ ĐỦ HÀNG")</f>
        <v>✅ ĐỦ HÀNG</v>
      </c>
    </row>
    <row r="279" ht="22.5" customHeight="1">
      <c r="A279" s="65" t="str">
        <f>IFERROR(__xludf.DUMMYFUNCTION("""COMPUTED_VALUE"""),"Anh Phương")</f>
        <v>Anh Phương</v>
      </c>
      <c r="B279" s="66">
        <v>6.0</v>
      </c>
      <c r="C279" s="65" t="str">
        <f>IFERROR(__xludf.DUMMYFUNCTION("""COMPUTED_VALUE"""),"✅ ĐỦ HÀNG")</f>
        <v>✅ ĐỦ HÀNG</v>
      </c>
    </row>
    <row r="280" ht="22.5" customHeight="1">
      <c r="A280" s="65" t="str">
        <f>IFERROR(__xludf.DUMMYFUNCTION("""COMPUTED_VALUE"""),"Mỹ Hà")</f>
        <v>Mỹ Hà</v>
      </c>
      <c r="B280" s="66">
        <v>2.0</v>
      </c>
      <c r="C280" s="65" t="str">
        <f>IFERROR(__xludf.DUMMYFUNCTION("""COMPUTED_VALUE"""),"✅ ĐỦ HÀNG")</f>
        <v>✅ ĐỦ HÀNG</v>
      </c>
    </row>
    <row r="281" ht="22.5" customHeight="1">
      <c r="A281" s="65" t="str">
        <f>IFERROR(__xludf.DUMMYFUNCTION("""COMPUTED_VALUE"""),"Thanh Huyền")</f>
        <v>Thanh Huyền</v>
      </c>
      <c r="B281" s="66">
        <v>2.0</v>
      </c>
      <c r="C281" s="65" t="str">
        <f>IFERROR(__xludf.DUMMYFUNCTION("""COMPUTED_VALUE"""),"✅ ĐỦ HÀNG")</f>
        <v>✅ ĐỦ HÀNG</v>
      </c>
    </row>
    <row r="282" ht="22.5" customHeight="1">
      <c r="A282" s="65" t="str">
        <f>IFERROR(__xludf.DUMMYFUNCTION("""COMPUTED_VALUE"""),"Le Hoang Anh")</f>
        <v>Le Hoang Anh</v>
      </c>
      <c r="B282" s="66">
        <v>2.0</v>
      </c>
      <c r="C282" s="65" t="str">
        <f>IFERROR(__xludf.DUMMYFUNCTION("""COMPUTED_VALUE"""),"✅ ĐỦ HÀNG")</f>
        <v>✅ ĐỦ HÀNG</v>
      </c>
    </row>
    <row r="283" ht="22.5" customHeight="1">
      <c r="A283" s="65" t="str">
        <f>IFERROR(__xludf.DUMMYFUNCTION("""COMPUTED_VALUE"""),"Hoa Bỉ Ngạn")</f>
        <v>Hoa Bỉ Ngạn</v>
      </c>
      <c r="B283" s="66">
        <v>2.0</v>
      </c>
      <c r="C283" s="65" t="str">
        <f>IFERROR(__xludf.DUMMYFUNCTION("""COMPUTED_VALUE"""),"✅ ĐỦ HÀNG")</f>
        <v>✅ ĐỦ HÀNG</v>
      </c>
    </row>
    <row r="284" ht="22.5" customHeight="1">
      <c r="A284" s="65" t="str">
        <f>IFERROR(__xludf.DUMMYFUNCTION("""COMPUTED_VALUE"""),"Linh")</f>
        <v>Linh</v>
      </c>
      <c r="B284" s="66">
        <v>1.0</v>
      </c>
      <c r="C284" s="65" t="str">
        <f>IFERROR(__xludf.DUMMYFUNCTION("""COMPUTED_VALUE"""),"✅ ĐỦ HÀNG")</f>
        <v>✅ ĐỦ HÀNG</v>
      </c>
    </row>
    <row r="285" ht="22.5" customHeight="1">
      <c r="A285" s="65" t="str">
        <f>IFERROR(__xludf.DUMMYFUNCTION("""COMPUTED_VALUE"""),"Chang Nguyễn")</f>
        <v>Chang Nguyễn</v>
      </c>
      <c r="B285" s="66">
        <v>2.0</v>
      </c>
      <c r="C285" s="65" t="str">
        <f>IFERROR(__xludf.DUMMYFUNCTION("""COMPUTED_VALUE"""),"✅ ĐỦ HÀNG")</f>
        <v>✅ ĐỦ HÀNG</v>
      </c>
    </row>
    <row r="286" ht="22.5" customHeight="1">
      <c r="A286" s="65" t="str">
        <f>IFERROR(__xludf.DUMMYFUNCTION("""COMPUTED_VALUE"""),"Minh Lan")</f>
        <v>Minh Lan</v>
      </c>
      <c r="B286" s="66">
        <v>2.0</v>
      </c>
      <c r="C286" s="65" t="str">
        <f>IFERROR(__xludf.DUMMYFUNCTION("""COMPUTED_VALUE"""),"✅ ĐỦ HÀNG")</f>
        <v>✅ ĐỦ HÀNG</v>
      </c>
    </row>
    <row r="287" ht="22.5" customHeight="1">
      <c r="A287" s="65" t="str">
        <f>IFERROR(__xludf.DUMMYFUNCTION("""COMPUTED_VALUE"""),"Ngọc Linh")</f>
        <v>Ngọc Linh</v>
      </c>
      <c r="B287" s="66">
        <v>4.0</v>
      </c>
      <c r="C287" s="65" t="str">
        <f>IFERROR(__xludf.DUMMYFUNCTION("""COMPUTED_VALUE"""),"✅ ĐỦ HÀNG")</f>
        <v>✅ ĐỦ HÀNG</v>
      </c>
    </row>
    <row r="288" ht="22.5" customHeight="1">
      <c r="A288" s="65" t="str">
        <f>IFERROR(__xludf.DUMMYFUNCTION("""COMPUTED_VALUE"""),"Trần Khánh Nhi")</f>
        <v>Trần Khánh Nhi</v>
      </c>
      <c r="B288" s="66">
        <v>4.0</v>
      </c>
      <c r="C288" s="65" t="str">
        <f>IFERROR(__xludf.DUMMYFUNCTION("""COMPUTED_VALUE"""),"✅ ĐỦ HÀNG")</f>
        <v>✅ ĐỦ HÀNG</v>
      </c>
    </row>
    <row r="289" ht="22.5" customHeight="1">
      <c r="A289" s="65" t="str">
        <f>IFERROR(__xludf.DUMMYFUNCTION("""COMPUTED_VALUE"""),"Khánh Vi")</f>
        <v>Khánh Vi</v>
      </c>
      <c r="B289" s="66">
        <v>7.0</v>
      </c>
      <c r="C289" s="65" t="str">
        <f>IFERROR(__xludf.DUMMYFUNCTION("""COMPUTED_VALUE"""),"✅ ĐỦ HÀNG")</f>
        <v>✅ ĐỦ HÀNG</v>
      </c>
    </row>
    <row r="290" ht="22.5" customHeight="1">
      <c r="A290" s="65" t="str">
        <f>IFERROR(__xludf.DUMMYFUNCTION("""COMPUTED_VALUE"""),"Nguyễn Hoàng Yến Linh")</f>
        <v>Nguyễn Hoàng Yến Linh</v>
      </c>
      <c r="B290" s="66">
        <v>6.0</v>
      </c>
      <c r="C290" s="65" t="str">
        <f>IFERROR(__xludf.DUMMYFUNCTION("""COMPUTED_VALUE"""),"✅ ĐỦ HÀNG")</f>
        <v>✅ ĐỦ HÀNG</v>
      </c>
    </row>
    <row r="291" ht="22.5" customHeight="1">
      <c r="A291" s="65" t="str">
        <f>IFERROR(__xludf.DUMMYFUNCTION("""COMPUTED_VALUE"""),"Nguyễnn Thuu Thảo")</f>
        <v>Nguyễnn Thuu Thảo</v>
      </c>
      <c r="B291" s="66">
        <v>2.0</v>
      </c>
      <c r="C291" s="65" t="str">
        <f>IFERROR(__xludf.DUMMYFUNCTION("""COMPUTED_VALUE"""),"✅ ĐỦ HÀNG")</f>
        <v>✅ ĐỦ HÀNG</v>
      </c>
    </row>
    <row r="292" ht="22.5" customHeight="1">
      <c r="A292" s="65" t="str">
        <f>IFERROR(__xludf.DUMMYFUNCTION("""COMPUTED_VALUE"""),"Trần Huỳnh Hoa")</f>
        <v>Trần Huỳnh Hoa</v>
      </c>
      <c r="B292" s="66">
        <v>2.0</v>
      </c>
      <c r="C292" s="65" t="str">
        <f>IFERROR(__xludf.DUMMYFUNCTION("""COMPUTED_VALUE"""),"✅ ĐỦ HÀNG")</f>
        <v>✅ ĐỦ HÀNG</v>
      </c>
    </row>
    <row r="293" ht="22.5" customHeight="1">
      <c r="A293" s="65" t="str">
        <f>IFERROR(__xludf.DUMMYFUNCTION("""COMPUTED_VALUE"""),"Cậu Bé May Mắn")</f>
        <v>Cậu Bé May Mắn</v>
      </c>
      <c r="B293" s="66">
        <v>2.0</v>
      </c>
      <c r="C293" s="65" t="str">
        <f>IFERROR(__xludf.DUMMYFUNCTION("""COMPUTED_VALUE"""),"✅ ĐỦ HÀNG")</f>
        <v>✅ ĐỦ HÀNG</v>
      </c>
    </row>
    <row r="294" ht="22.5" customHeight="1">
      <c r="A294" s="65" t="str">
        <f>IFERROR(__xludf.DUMMYFUNCTION("""COMPUTED_VALUE"""),"Lý Tụm")</f>
        <v>Lý Tụm</v>
      </c>
      <c r="B294" s="66">
        <v>6.0</v>
      </c>
      <c r="C294" s="65" t="str">
        <f>IFERROR(__xludf.DUMMYFUNCTION("""COMPUTED_VALUE"""),"✅ ĐỦ HÀNG")</f>
        <v>✅ ĐỦ HÀNG</v>
      </c>
    </row>
    <row r="295" ht="22.5" customHeight="1">
      <c r="A295" s="65" t="str">
        <f>IFERROR(__xludf.DUMMYFUNCTION("""COMPUTED_VALUE"""),"Huỳnh Trang")</f>
        <v>Huỳnh Trang</v>
      </c>
      <c r="B295" s="66">
        <v>5.0</v>
      </c>
      <c r="C295" s="65" t="str">
        <f>IFERROR(__xludf.DUMMYFUNCTION("""COMPUTED_VALUE"""),"✅ ĐỦ HÀNG")</f>
        <v>✅ ĐỦ HÀNG</v>
      </c>
    </row>
    <row r="296" ht="22.5" customHeight="1">
      <c r="A296" s="65" t="str">
        <f>IFERROR(__xludf.DUMMYFUNCTION("""COMPUTED_VALUE"""),"Eyelash Linh Võ")</f>
        <v>Eyelash Linh Võ</v>
      </c>
      <c r="B296" s="66">
        <v>2.0</v>
      </c>
      <c r="C296" s="65" t="str">
        <f>IFERROR(__xludf.DUMMYFUNCTION("""COMPUTED_VALUE"""),"✅ ĐỦ HÀNG")</f>
        <v>✅ ĐỦ HÀNG</v>
      </c>
    </row>
    <row r="297" ht="22.5" customHeight="1">
      <c r="A297" s="65" t="str">
        <f>IFERROR(__xludf.DUMMYFUNCTION("""COMPUTED_VALUE"""),"Minh Minh")</f>
        <v>Minh Minh</v>
      </c>
      <c r="B297" s="66">
        <v>4.0</v>
      </c>
      <c r="C297" s="65" t="str">
        <f>IFERROR(__xludf.DUMMYFUNCTION("""COMPUTED_VALUE"""),"✅ ĐỦ HÀNG")</f>
        <v>✅ ĐỦ HÀNG</v>
      </c>
    </row>
    <row r="298" ht="22.5" customHeight="1">
      <c r="A298" s="65" t="str">
        <f>IFERROR(__xludf.DUMMYFUNCTION("""COMPUTED_VALUE"""),"Xim Tran")</f>
        <v>Xim Tran</v>
      </c>
      <c r="B298" s="66">
        <v>3.0</v>
      </c>
      <c r="C298" s="65" t="str">
        <f>IFERROR(__xludf.DUMMYFUNCTION("""COMPUTED_VALUE"""),"✅ ĐỦ HÀNG")</f>
        <v>✅ ĐỦ HÀNG</v>
      </c>
    </row>
    <row r="299" ht="22.5" customHeight="1">
      <c r="A299" s="65" t="str">
        <f>IFERROR(__xludf.DUMMYFUNCTION("""COMPUTED_VALUE"""),"Lê Thục Uyên")</f>
        <v>Lê Thục Uyên</v>
      </c>
      <c r="B299" s="66">
        <v>2.0</v>
      </c>
      <c r="C299" s="65" t="str">
        <f>IFERROR(__xludf.DUMMYFUNCTION("""COMPUTED_VALUE"""),"✅ ĐỦ HÀNG")</f>
        <v>✅ ĐỦ HÀNG</v>
      </c>
    </row>
    <row r="300" ht="22.5" customHeight="1">
      <c r="A300" s="65" t="str">
        <f>IFERROR(__xludf.DUMMYFUNCTION("""COMPUTED_VALUE"""),"Hiền Bạch")</f>
        <v>Hiền Bạch</v>
      </c>
      <c r="B300" s="66">
        <v>9.0</v>
      </c>
      <c r="C300" s="65" t="str">
        <f>IFERROR(__xludf.DUMMYFUNCTION("""COMPUTED_VALUE"""),"✅ ĐỦ HÀNG")</f>
        <v>✅ ĐỦ HÀNG</v>
      </c>
    </row>
    <row r="301" ht="22.5" customHeight="1">
      <c r="A301" s="65" t="str">
        <f>IFERROR(__xludf.DUMMYFUNCTION("""COMPUTED_VALUE"""),"Lê Thị Hoài An")</f>
        <v>Lê Thị Hoài An</v>
      </c>
      <c r="B301" s="66">
        <v>2.0</v>
      </c>
      <c r="C301" s="65" t="str">
        <f>IFERROR(__xludf.DUMMYFUNCTION("""COMPUTED_VALUE"""),"✅ ĐỦ HÀNG")</f>
        <v>✅ ĐỦ HÀNG</v>
      </c>
    </row>
    <row r="302" ht="22.5" customHeight="1">
      <c r="A302" s="65" t="str">
        <f>IFERROR(__xludf.DUMMYFUNCTION("""COMPUTED_VALUE"""),"Hoàng My")</f>
        <v>Hoàng My</v>
      </c>
      <c r="B302" s="66">
        <v>4.0</v>
      </c>
      <c r="C302" s="65" t="str">
        <f>IFERROR(__xludf.DUMMYFUNCTION("""COMPUTED_VALUE"""),"✅ ĐỦ HÀNG")</f>
        <v>✅ ĐỦ HÀNG</v>
      </c>
    </row>
    <row r="303" ht="22.5" customHeight="1">
      <c r="A303" s="65" t="str">
        <f>IFERROR(__xludf.DUMMYFUNCTION("""COMPUTED_VALUE"""),"Hiên Marie")</f>
        <v>Hiên Marie</v>
      </c>
      <c r="B303" s="66">
        <v>6.0</v>
      </c>
      <c r="C303" s="65" t="str">
        <f>IFERROR(__xludf.DUMMYFUNCTION("""COMPUTED_VALUE"""),"✅ ĐỦ HÀNG")</f>
        <v>✅ ĐỦ HÀNG</v>
      </c>
    </row>
    <row r="304" ht="22.5" customHeight="1">
      <c r="A304" s="65" t="str">
        <f>IFERROR(__xludf.DUMMYFUNCTION("""COMPUTED_VALUE"""),"Hường Mít")</f>
        <v>Hường Mít</v>
      </c>
      <c r="B304" s="66">
        <v>5.0</v>
      </c>
      <c r="C304" s="65" t="str">
        <f>IFERROR(__xludf.DUMMYFUNCTION("""COMPUTED_VALUE"""),"✅ ĐỦ HÀNG")</f>
        <v>✅ ĐỦ HÀNG</v>
      </c>
    </row>
    <row r="305" ht="22.5" customHeight="1">
      <c r="A305" s="65" t="str">
        <f>IFERROR(__xludf.DUMMYFUNCTION("""COMPUTED_VALUE"""),"Nguyet Dang")</f>
        <v>Nguyet Dang</v>
      </c>
      <c r="B305" s="66">
        <v>7.0</v>
      </c>
      <c r="C305" s="65" t="str">
        <f>IFERROR(__xludf.DUMMYFUNCTION("""COMPUTED_VALUE"""),"✅ ĐỦ HÀNG")</f>
        <v>✅ ĐỦ HÀNG</v>
      </c>
    </row>
    <row r="306" ht="22.5" customHeight="1">
      <c r="A306" s="65" t="str">
        <f>IFERROR(__xludf.DUMMYFUNCTION("""COMPUTED_VALUE"""),"Đỗ Bích Phương")</f>
        <v>Đỗ Bích Phương</v>
      </c>
      <c r="B306" s="66">
        <v>2.0</v>
      </c>
      <c r="C306" s="65" t="str">
        <f>IFERROR(__xludf.DUMMYFUNCTION("""COMPUTED_VALUE"""),"✅ ĐỦ HÀNG")</f>
        <v>✅ ĐỦ HÀNG</v>
      </c>
    </row>
    <row r="307" ht="22.5" customHeight="1">
      <c r="A307" s="65" t="str">
        <f>IFERROR(__xludf.DUMMYFUNCTION("""COMPUTED_VALUE"""),"Nhu Mai Vu")</f>
        <v>Nhu Mai Vu</v>
      </c>
      <c r="B307" s="66">
        <v>3.0</v>
      </c>
      <c r="C307" s="65" t="str">
        <f>IFERROR(__xludf.DUMMYFUNCTION("""COMPUTED_VALUE"""),"✅ ĐỦ HÀNG")</f>
        <v>✅ ĐỦ HÀNG</v>
      </c>
    </row>
    <row r="308" ht="22.5" customHeight="1">
      <c r="A308" s="65" t="str">
        <f>IFERROR(__xludf.DUMMYFUNCTION("""COMPUTED_VALUE"""),"Thu Huyền")</f>
        <v>Thu Huyền</v>
      </c>
      <c r="B308" s="66">
        <v>5.0</v>
      </c>
      <c r="C308" s="65" t="str">
        <f>IFERROR(__xludf.DUMMYFUNCTION("""COMPUTED_VALUE"""),"✅ ĐỦ HÀNG")</f>
        <v>✅ ĐỦ HÀNG</v>
      </c>
    </row>
    <row r="309" ht="22.5" customHeight="1">
      <c r="A309" s="65" t="str">
        <f>IFERROR(__xludf.DUMMYFUNCTION("""COMPUTED_VALUE"""),"Minh Huyền")</f>
        <v>Minh Huyền</v>
      </c>
      <c r="B309" s="66">
        <v>2.0</v>
      </c>
      <c r="C309" s="65" t="str">
        <f>IFERROR(__xludf.DUMMYFUNCTION("""COMPUTED_VALUE"""),"✅ ĐỦ HÀNG")</f>
        <v>✅ ĐỦ HÀNG</v>
      </c>
    </row>
    <row r="310" ht="22.5" customHeight="1">
      <c r="A310" s="65" t="str">
        <f>IFERROR(__xludf.DUMMYFUNCTION("""COMPUTED_VALUE"""),"Uyên Phan")</f>
        <v>Uyên Phan</v>
      </c>
      <c r="B310" s="66">
        <v>2.0</v>
      </c>
      <c r="C310" s="65" t="str">
        <f>IFERROR(__xludf.DUMMYFUNCTION("""COMPUTED_VALUE"""),"✅ ĐỦ HÀNG")</f>
        <v>✅ ĐỦ HÀNG</v>
      </c>
    </row>
    <row r="311" ht="22.5" customHeight="1">
      <c r="A311" s="65" t="str">
        <f>IFERROR(__xludf.DUMMYFUNCTION("""COMPUTED_VALUE"""),"Ct Ngọc Lan")</f>
        <v>Ct Ngọc Lan</v>
      </c>
      <c r="B311" s="66">
        <v>2.0</v>
      </c>
      <c r="C311" s="65" t="str">
        <f>IFERROR(__xludf.DUMMYFUNCTION("""COMPUTED_VALUE"""),"✅ ĐỦ HÀNG")</f>
        <v>✅ ĐỦ HÀNG</v>
      </c>
    </row>
    <row r="312" ht="22.5" customHeight="1">
      <c r="A312" s="65" t="str">
        <f>IFERROR(__xludf.DUMMYFUNCTION("""COMPUTED_VALUE"""),"Thuý Hiền")</f>
        <v>Thuý Hiền</v>
      </c>
      <c r="B312" s="66">
        <v>8.0</v>
      </c>
      <c r="C312" s="65" t="str">
        <f>IFERROR(__xludf.DUMMYFUNCTION("""COMPUTED_VALUE"""),"✅ ĐỦ HÀNG")</f>
        <v>✅ ĐỦ HÀNG</v>
      </c>
    </row>
    <row r="313" ht="22.5" customHeight="1">
      <c r="A313" s="65" t="str">
        <f>IFERROR(__xludf.DUMMYFUNCTION("""COMPUTED_VALUE"""),"Thu Thuỷ")</f>
        <v>Thu Thuỷ</v>
      </c>
      <c r="B313" s="66">
        <v>2.0</v>
      </c>
      <c r="C313" s="65" t="str">
        <f>IFERROR(__xludf.DUMMYFUNCTION("""COMPUTED_VALUE"""),"✅ ĐỦ HÀNG")</f>
        <v>✅ ĐỦ HÀNG</v>
      </c>
    </row>
    <row r="314" ht="22.5" customHeight="1">
      <c r="A314" s="65" t="str">
        <f>IFERROR(__xludf.DUMMYFUNCTION("""COMPUTED_VALUE"""),"Thắm Nguyên")</f>
        <v>Thắm Nguyên</v>
      </c>
      <c r="B314" s="66">
        <v>3.0</v>
      </c>
      <c r="C314" s="65" t="str">
        <f>IFERROR(__xludf.DUMMYFUNCTION("""COMPUTED_VALUE"""),"✅ ĐỦ HÀNG")</f>
        <v>✅ ĐỦ HÀNG</v>
      </c>
    </row>
    <row r="315" ht="22.5" customHeight="1">
      <c r="A315" s="65" t="str">
        <f>IFERROR(__xludf.DUMMYFUNCTION("""COMPUTED_VALUE"""),"Nga Mýyt")</f>
        <v>Nga Mýyt</v>
      </c>
      <c r="B315" s="66">
        <v>1.0</v>
      </c>
      <c r="C315" s="65" t="str">
        <f>IFERROR(__xludf.DUMMYFUNCTION("""COMPUTED_VALUE"""),"✅ ĐỦ HÀNG")</f>
        <v>✅ ĐỦ HÀNG</v>
      </c>
    </row>
    <row r="316" ht="22.5" customHeight="1">
      <c r="A316" s="65" t="str">
        <f>IFERROR(__xludf.DUMMYFUNCTION("""COMPUTED_VALUE"""),"Hoàng Hồng")</f>
        <v>Hoàng Hồng</v>
      </c>
      <c r="B316" s="66">
        <v>3.0</v>
      </c>
      <c r="C316" s="65" t="str">
        <f>IFERROR(__xludf.DUMMYFUNCTION("""COMPUTED_VALUE"""),"✅ ĐỦ HÀNG")</f>
        <v>✅ ĐỦ HÀNG</v>
      </c>
    </row>
    <row r="317" ht="22.5" customHeight="1">
      <c r="A317" s="65" t="str">
        <f>IFERROR(__xludf.DUMMYFUNCTION("""COMPUTED_VALUE"""),"Trinh Vani")</f>
        <v>Trinh Vani</v>
      </c>
      <c r="B317" s="66">
        <v>4.0</v>
      </c>
      <c r="C317" s="65" t="str">
        <f>IFERROR(__xludf.DUMMYFUNCTION("""COMPUTED_VALUE"""),"✅ ĐỦ HÀNG")</f>
        <v>✅ ĐỦ HÀNG</v>
      </c>
    </row>
    <row r="318" ht="22.5" customHeight="1">
      <c r="A318" s="65" t="str">
        <f>IFERROR(__xludf.DUMMYFUNCTION("""COMPUTED_VALUE"""),"Thy Dinh")</f>
        <v>Thy Dinh</v>
      </c>
      <c r="B318" s="66">
        <v>1.0</v>
      </c>
      <c r="C318" s="65" t="str">
        <f>IFERROR(__xludf.DUMMYFUNCTION("""COMPUTED_VALUE"""),"✅ ĐỦ HÀNG")</f>
        <v>✅ ĐỦ HÀNG</v>
      </c>
    </row>
    <row r="319" ht="22.5" customHeight="1">
      <c r="A319" s="65" t="str">
        <f>IFERROR(__xludf.DUMMYFUNCTION("""COMPUTED_VALUE"""),"Lan Anh")</f>
        <v>Lan Anh</v>
      </c>
      <c r="B319" s="66">
        <v>4.0</v>
      </c>
      <c r="C319" s="65" t="str">
        <f>IFERROR(__xludf.DUMMYFUNCTION("""COMPUTED_VALUE"""),"✅ ĐỦ HÀNG")</f>
        <v>✅ ĐỦ HÀNG</v>
      </c>
    </row>
    <row r="320" ht="22.5" customHeight="1">
      <c r="A320" s="65" t="str">
        <f>IFERROR(__xludf.DUMMYFUNCTION("""COMPUTED_VALUE"""),"Nguyễn Kiều Oanh")</f>
        <v>Nguyễn Kiều Oanh</v>
      </c>
      <c r="B320" s="66">
        <v>4.0</v>
      </c>
      <c r="C320" s="65" t="str">
        <f>IFERROR(__xludf.DUMMYFUNCTION("""COMPUTED_VALUE"""),"✅ ĐỦ HÀNG")</f>
        <v>✅ ĐỦ HÀNG</v>
      </c>
    </row>
    <row r="321" ht="22.5" customHeight="1">
      <c r="A321" s="65" t="str">
        <f>IFERROR(__xludf.DUMMYFUNCTION("""COMPUTED_VALUE"""),"Lạc イ")</f>
        <v>Lạc イ</v>
      </c>
      <c r="B321" s="66">
        <v>1.0</v>
      </c>
      <c r="C321" s="65" t="str">
        <f>IFERROR(__xludf.DUMMYFUNCTION("""COMPUTED_VALUE"""),"✅ ĐỦ HÀNG")</f>
        <v>✅ ĐỦ HÀNG</v>
      </c>
    </row>
    <row r="322" ht="22.5" customHeight="1">
      <c r="A322" s="65" t="str">
        <f>IFERROR(__xludf.DUMMYFUNCTION("""COMPUTED_VALUE"""),"Tiên Jully")</f>
        <v>Tiên Jully</v>
      </c>
      <c r="B322" s="66">
        <v>2.0</v>
      </c>
      <c r="C322" s="65" t="str">
        <f>IFERROR(__xludf.DUMMYFUNCTION("""COMPUTED_VALUE"""),"✅ ĐỦ HÀNG")</f>
        <v>✅ ĐỦ HÀNG</v>
      </c>
    </row>
    <row r="323" ht="22.5" customHeight="1">
      <c r="A323" s="65" t="str">
        <f>IFERROR(__xludf.DUMMYFUNCTION("""COMPUTED_VALUE"""),"Nguyễn Huyền")</f>
        <v>Nguyễn Huyền</v>
      </c>
      <c r="B323" s="66">
        <v>3.0</v>
      </c>
      <c r="C323" s="65" t="str">
        <f>IFERROR(__xludf.DUMMYFUNCTION("""COMPUTED_VALUE"""),"✅ ĐỦ HÀNG")</f>
        <v>✅ ĐỦ HÀNG</v>
      </c>
    </row>
    <row r="324" ht="22.5" customHeight="1">
      <c r="A324" s="65" t="str">
        <f>IFERROR(__xludf.DUMMYFUNCTION("""COMPUTED_VALUE"""),"Nguyễn Vân")</f>
        <v>Nguyễn Vân</v>
      </c>
      <c r="B324" s="66">
        <v>1.0</v>
      </c>
      <c r="C324" s="65" t="str">
        <f>IFERROR(__xludf.DUMMYFUNCTION("""COMPUTED_VALUE"""),"✅ ĐỦ HÀNG")</f>
        <v>✅ ĐỦ HÀNG</v>
      </c>
    </row>
    <row r="325" ht="22.5" customHeight="1">
      <c r="A325" s="65" t="str">
        <f>IFERROR(__xludf.DUMMYFUNCTION("""COMPUTED_VALUE"""),"Quỳnh Hary")</f>
        <v>Quỳnh Hary</v>
      </c>
      <c r="B325" s="66">
        <v>1.0</v>
      </c>
      <c r="C325" s="65" t="str">
        <f>IFERROR(__xludf.DUMMYFUNCTION("""COMPUTED_VALUE"""),"✅ ĐỦ HÀNG")</f>
        <v>✅ ĐỦ HÀNG</v>
      </c>
    </row>
    <row r="326" ht="22.5" customHeight="1">
      <c r="A326" s="65" t="str">
        <f>IFERROR(__xludf.DUMMYFUNCTION("""COMPUTED_VALUE"""),"Nguyễn Oanh")</f>
        <v>Nguyễn Oanh</v>
      </c>
      <c r="B326" s="66">
        <v>4.0</v>
      </c>
      <c r="C326" s="65" t="str">
        <f>IFERROR(__xludf.DUMMYFUNCTION("""COMPUTED_VALUE"""),"✅ ĐỦ HÀNG")</f>
        <v>✅ ĐỦ HÀNG</v>
      </c>
    </row>
    <row r="327" ht="22.5" customHeight="1">
      <c r="A327" s="65" t="str">
        <f>IFERROR(__xludf.DUMMYFUNCTION("""COMPUTED_VALUE"""),"Thu Hiền")</f>
        <v>Thu Hiền</v>
      </c>
      <c r="B327" s="66">
        <v>6.0</v>
      </c>
      <c r="C327" s="65" t="str">
        <f>IFERROR(__xludf.DUMMYFUNCTION("""COMPUTED_VALUE"""),"✅ ĐỦ HÀNG")</f>
        <v>✅ ĐỦ HÀNG</v>
      </c>
    </row>
    <row r="328" ht="22.5" customHeight="1">
      <c r="A328" s="65" t="str">
        <f>IFERROR(__xludf.DUMMYFUNCTION("""COMPUTED_VALUE"""),"Hải Yến")</f>
        <v>Hải Yến</v>
      </c>
      <c r="B328" s="66">
        <v>5.0</v>
      </c>
      <c r="C328" s="65" t="str">
        <f>IFERROR(__xludf.DUMMYFUNCTION("""COMPUTED_VALUE"""),"✅ ĐỦ HÀNG")</f>
        <v>✅ ĐỦ HÀNG</v>
      </c>
    </row>
    <row r="329" ht="22.5" customHeight="1">
      <c r="A329" s="65" t="str">
        <f>IFERROR(__xludf.DUMMYFUNCTION("""COMPUTED_VALUE"""),"Tâm Tâm1")</f>
        <v>Tâm Tâm1</v>
      </c>
      <c r="B329" s="66">
        <v>1.0</v>
      </c>
      <c r="C329" s="65" t="str">
        <f>IFERROR(__xludf.DUMMYFUNCTION("""COMPUTED_VALUE"""),"✅ ĐỦ HÀNG")</f>
        <v>✅ ĐỦ HÀNG</v>
      </c>
    </row>
    <row r="330" ht="22.5" customHeight="1">
      <c r="A330" s="65" t="str">
        <f>IFERROR(__xludf.DUMMYFUNCTION("""COMPUTED_VALUE"""),"Huyền Huyền")</f>
        <v>Huyền Huyền</v>
      </c>
      <c r="B330" s="66">
        <v>1.0</v>
      </c>
      <c r="C330" s="65" t="str">
        <f>IFERROR(__xludf.DUMMYFUNCTION("""COMPUTED_VALUE"""),"✅ ĐỦ HÀNG")</f>
        <v>✅ ĐỦ HÀNG</v>
      </c>
    </row>
    <row r="331" ht="22.5" customHeight="1">
      <c r="A331" s="65" t="str">
        <f>IFERROR(__xludf.DUMMYFUNCTION("""COMPUTED_VALUE"""),"Nga Vũ")</f>
        <v>Nga Vũ</v>
      </c>
      <c r="B331" s="66">
        <v>1.0</v>
      </c>
      <c r="C331" s="65" t="str">
        <f>IFERROR(__xludf.DUMMYFUNCTION("""COMPUTED_VALUE"""),"✅ ĐỦ HÀNG")</f>
        <v>✅ ĐỦ HÀNG</v>
      </c>
    </row>
    <row r="332" ht="22.5" customHeight="1">
      <c r="A332" s="65" t="str">
        <f>IFERROR(__xludf.DUMMYFUNCTION("""COMPUTED_VALUE"""),"Nlê Phương")</f>
        <v>Nlê Phương</v>
      </c>
      <c r="B332" s="66">
        <v>6.0</v>
      </c>
      <c r="C332" s="65" t="str">
        <f>IFERROR(__xludf.DUMMYFUNCTION("""COMPUTED_VALUE"""),"✅ ĐỦ HÀNG")</f>
        <v>✅ ĐỦ HÀNG</v>
      </c>
    </row>
    <row r="333" ht="22.5" customHeight="1">
      <c r="A333" s="65" t="str">
        <f>IFERROR(__xludf.DUMMYFUNCTION("""COMPUTED_VALUE"""),"Hà Nấm")</f>
        <v>Hà Nấm</v>
      </c>
      <c r="B333" s="66">
        <v>3.0</v>
      </c>
      <c r="C333" s="65" t="str">
        <f>IFERROR(__xludf.DUMMYFUNCTION("""COMPUTED_VALUE"""),"✅ ĐỦ HÀNG")</f>
        <v>✅ ĐỦ HÀNG</v>
      </c>
    </row>
    <row r="334" ht="22.5" customHeight="1">
      <c r="A334" s="65" t="str">
        <f>IFERROR(__xludf.DUMMYFUNCTION("""COMPUTED_VALUE"""),"Trà Đào")</f>
        <v>Trà Đào</v>
      </c>
      <c r="B334" s="66">
        <v>2.0</v>
      </c>
      <c r="C334" s="65" t="str">
        <f>IFERROR(__xludf.DUMMYFUNCTION("""COMPUTED_VALUE"""),"✅ ĐỦ HÀNG")</f>
        <v>✅ ĐỦ HÀNG</v>
      </c>
    </row>
    <row r="335" ht="22.5" customHeight="1">
      <c r="A335" s="65" t="str">
        <f>IFERROR(__xludf.DUMMYFUNCTION("""COMPUTED_VALUE"""),"Mai Thu Hiền")</f>
        <v>Mai Thu Hiền</v>
      </c>
      <c r="B335" s="66">
        <v>3.0</v>
      </c>
      <c r="C335" s="65" t="str">
        <f>IFERROR(__xludf.DUMMYFUNCTION("""COMPUTED_VALUE"""),"✅ ĐỦ HÀNG")</f>
        <v>✅ ĐỦ HÀNG</v>
      </c>
    </row>
    <row r="336" ht="22.5" customHeight="1">
      <c r="A336" s="65" t="str">
        <f>IFERROR(__xludf.DUMMYFUNCTION("""COMPUTED_VALUE"""),"Dương Thị Quỳnh Nga")</f>
        <v>Dương Thị Quỳnh Nga</v>
      </c>
      <c r="B336" s="66">
        <v>2.0</v>
      </c>
      <c r="C336" s="65" t="str">
        <f>IFERROR(__xludf.DUMMYFUNCTION("""COMPUTED_VALUE"""),"✅ ĐỦ HÀNG")</f>
        <v>✅ ĐỦ HÀNG</v>
      </c>
    </row>
    <row r="337" ht="22.5" customHeight="1">
      <c r="A337" s="65" t="str">
        <f>IFERROR(__xludf.DUMMYFUNCTION("""COMPUTED_VALUE"""),"Lee ThanhThanh")</f>
        <v>Lee ThanhThanh</v>
      </c>
      <c r="B337" s="66">
        <v>1.0</v>
      </c>
      <c r="C337" s="65" t="str">
        <f>IFERROR(__xludf.DUMMYFUNCTION("""COMPUTED_VALUE"""),"✅ ĐỦ HÀNG")</f>
        <v>✅ ĐỦ HÀNG</v>
      </c>
    </row>
    <row r="338" ht="22.5" customHeight="1">
      <c r="A338" s="65" t="str">
        <f>IFERROR(__xludf.DUMMYFUNCTION("""COMPUTED_VALUE"""),"Lê Hương")</f>
        <v>Lê Hương</v>
      </c>
      <c r="B338" s="66">
        <v>3.0</v>
      </c>
      <c r="C338" s="65" t="str">
        <f>IFERROR(__xludf.DUMMYFUNCTION("""COMPUTED_VALUE"""),"✅ ĐỦ HÀNG")</f>
        <v>✅ ĐỦ HÀNG</v>
      </c>
    </row>
    <row r="339" ht="22.5" customHeight="1">
      <c r="A339" s="65" t="str">
        <f>IFERROR(__xludf.DUMMYFUNCTION("""COMPUTED_VALUE"""),"Đàm Kim Thoa ")</f>
        <v>Đàm Kim Thoa </v>
      </c>
      <c r="B339" s="66">
        <v>3.0</v>
      </c>
      <c r="C339" s="65" t="str">
        <f>IFERROR(__xludf.DUMMYFUNCTION("""COMPUTED_VALUE"""),"✅ ĐỦ HÀNG")</f>
        <v>✅ ĐỦ HÀNG</v>
      </c>
    </row>
    <row r="340" ht="22.5" customHeight="1">
      <c r="A340" s="65" t="str">
        <f>IFERROR(__xludf.DUMMYFUNCTION("""COMPUTED_VALUE"""),"Do Thi Hoang Yen")</f>
        <v>Do Thi Hoang Yen</v>
      </c>
      <c r="B340" s="66">
        <v>1.0</v>
      </c>
      <c r="C340" s="65" t="str">
        <f>IFERROR(__xludf.DUMMYFUNCTION("""COMPUTED_VALUE"""),"✅ ĐỦ HÀNG")</f>
        <v>✅ ĐỦ HÀNG</v>
      </c>
    </row>
    <row r="341" ht="22.5" customHeight="1">
      <c r="A341" s="65" t="str">
        <f>IFERROR(__xludf.DUMMYFUNCTION("""COMPUTED_VALUE"""),"ĐẶNG.T TRÂM")</f>
        <v>ĐẶNG.T TRÂM</v>
      </c>
      <c r="B341" s="66">
        <v>1.0</v>
      </c>
      <c r="C341" s="65" t="str">
        <f>IFERROR(__xludf.DUMMYFUNCTION("""COMPUTED_VALUE"""),"✅ ĐỦ HÀNG")</f>
        <v>✅ ĐỦ HÀNG</v>
      </c>
    </row>
    <row r="342" ht="22.5" customHeight="1">
      <c r="A342" s="65" t="str">
        <f>IFERROR(__xludf.DUMMYFUNCTION("""COMPUTED_VALUE"""),"Mỡ Mở")</f>
        <v>Mỡ Mở</v>
      </c>
      <c r="B342" s="66">
        <v>5.0</v>
      </c>
      <c r="C342" s="65" t="str">
        <f>IFERROR(__xludf.DUMMYFUNCTION("""COMPUTED_VALUE"""),"✅ ĐỦ HÀNG")</f>
        <v>✅ ĐỦ HÀNG</v>
      </c>
    </row>
    <row r="343" ht="22.5" customHeight="1">
      <c r="A343" s="65" t="str">
        <f>IFERROR(__xludf.DUMMYFUNCTION("""COMPUTED_VALUE"""),"Bùi Thị Thanh Hà")</f>
        <v>Bùi Thị Thanh Hà</v>
      </c>
      <c r="B343" s="66">
        <v>7.0</v>
      </c>
      <c r="C343" s="65" t="str">
        <f>IFERROR(__xludf.DUMMYFUNCTION("""COMPUTED_VALUE"""),"✅ ĐỦ HÀNG")</f>
        <v>✅ ĐỦ HÀNG</v>
      </c>
    </row>
    <row r="344" ht="22.5" customHeight="1">
      <c r="A344" s="65" t="str">
        <f>IFERROR(__xludf.DUMMYFUNCTION("""COMPUTED_VALUE"""),"Bích Ngọc ")</f>
        <v>Bích Ngọc </v>
      </c>
      <c r="B344" s="66">
        <v>1.0</v>
      </c>
      <c r="C344" s="65" t="str">
        <f>IFERROR(__xludf.DUMMYFUNCTION("""COMPUTED_VALUE"""),"✅ ĐỦ HÀNG")</f>
        <v>✅ ĐỦ HÀNG</v>
      </c>
    </row>
    <row r="345" ht="22.5" customHeight="1">
      <c r="A345" s="65" t="str">
        <f>IFERROR(__xludf.DUMMYFUNCTION("""COMPUTED_VALUE"""),"Thiên Ngân")</f>
        <v>Thiên Ngân</v>
      </c>
      <c r="B345" s="66">
        <v>3.0</v>
      </c>
      <c r="C345" s="65" t="str">
        <f>IFERROR(__xludf.DUMMYFUNCTION("""COMPUTED_VALUE"""),"✅ ĐỦ HÀNG")</f>
        <v>✅ ĐỦ HÀNG</v>
      </c>
    </row>
    <row r="346" ht="22.5" customHeight="1">
      <c r="A346" s="65" t="str">
        <f>IFERROR(__xludf.DUMMYFUNCTION("""COMPUTED_VALUE"""),"Phung Huynh")</f>
        <v>Phung Huynh</v>
      </c>
      <c r="B346" s="66">
        <v>2.0</v>
      </c>
      <c r="C346" s="65" t="str">
        <f>IFERROR(__xludf.DUMMYFUNCTION("""COMPUTED_VALUE"""),"✅ ĐỦ HÀNG")</f>
        <v>✅ ĐỦ HÀNG</v>
      </c>
    </row>
    <row r="347" ht="22.5" customHeight="1">
      <c r="A347" s="65" t="str">
        <f>IFERROR(__xludf.DUMMYFUNCTION("""COMPUTED_VALUE"""),"Hoàng Hạnh")</f>
        <v>Hoàng Hạnh</v>
      </c>
      <c r="B347" s="66">
        <v>2.0</v>
      </c>
      <c r="C347" s="65" t="str">
        <f>IFERROR(__xludf.DUMMYFUNCTION("""COMPUTED_VALUE"""),"✅ ĐỦ HÀNG")</f>
        <v>✅ ĐỦ HÀNG</v>
      </c>
    </row>
    <row r="348" ht="22.5" customHeight="1">
      <c r="A348" s="65" t="str">
        <f>IFERROR(__xludf.DUMMYFUNCTION("""COMPUTED_VALUE"""),"Đỗ Nguyên")</f>
        <v>Đỗ Nguyên</v>
      </c>
      <c r="B348" s="66">
        <v>6.0</v>
      </c>
      <c r="C348" s="65" t="str">
        <f>IFERROR(__xludf.DUMMYFUNCTION("""COMPUTED_VALUE"""),"✅ ĐỦ HÀNG")</f>
        <v>✅ ĐỦ HÀNG</v>
      </c>
    </row>
    <row r="349" ht="22.5" customHeight="1">
      <c r="A349" s="65" t="str">
        <f>IFERROR(__xludf.DUMMYFUNCTION("""COMPUTED_VALUE"""),"Nguyệt Yến")</f>
        <v>Nguyệt Yến</v>
      </c>
      <c r="B349" s="66">
        <v>2.0</v>
      </c>
      <c r="C349" s="65" t="str">
        <f>IFERROR(__xludf.DUMMYFUNCTION("""COMPUTED_VALUE"""),"✅ ĐỦ HÀNG")</f>
        <v>✅ ĐỦ HÀNG</v>
      </c>
    </row>
    <row r="350" ht="22.5" customHeight="1">
      <c r="A350" s="65" t="str">
        <f>IFERROR(__xludf.DUMMYFUNCTION("""COMPUTED_VALUE"""),"Bún Hà ")</f>
        <v>Bún Hà </v>
      </c>
      <c r="B350" s="66">
        <v>1.0</v>
      </c>
      <c r="C350" s="65" t="str">
        <f>IFERROR(__xludf.DUMMYFUNCTION("""COMPUTED_VALUE"""),"✅ ĐỦ HÀNG")</f>
        <v>✅ ĐỦ HÀNG</v>
      </c>
    </row>
    <row r="351" ht="22.5" customHeight="1">
      <c r="A351" s="65" t="str">
        <f>IFERROR(__xludf.DUMMYFUNCTION("""COMPUTED_VALUE"""),"Linh Nhi Nguyen Ngoc")</f>
        <v>Linh Nhi Nguyen Ngoc</v>
      </c>
      <c r="B351" s="66">
        <v>1.0</v>
      </c>
      <c r="C351" s="65" t="str">
        <f>IFERROR(__xludf.DUMMYFUNCTION("""COMPUTED_VALUE"""),"✅ ĐỦ HÀNG")</f>
        <v>✅ ĐỦ HÀNG</v>
      </c>
    </row>
    <row r="352" ht="22.5" customHeight="1">
      <c r="A352" s="65" t="str">
        <f>IFERROR(__xludf.DUMMYFUNCTION("""COMPUTED_VALUE"""),"Phương Như")</f>
        <v>Phương Như</v>
      </c>
      <c r="B352" s="66">
        <v>3.0</v>
      </c>
      <c r="C352" s="65" t="str">
        <f>IFERROR(__xludf.DUMMYFUNCTION("""COMPUTED_VALUE"""),"✅ ĐỦ HÀNG")</f>
        <v>✅ ĐỦ HÀNG</v>
      </c>
    </row>
    <row r="353" ht="22.5" customHeight="1">
      <c r="A353" s="65" t="str">
        <f>IFERROR(__xludf.DUMMYFUNCTION("""COMPUTED_VALUE"""),"Nguyễn Thị Mỹ Hạnh")</f>
        <v>Nguyễn Thị Mỹ Hạnh</v>
      </c>
      <c r="B353" s="66">
        <v>1.0</v>
      </c>
      <c r="C353" s="65" t="str">
        <f>IFERROR(__xludf.DUMMYFUNCTION("""COMPUTED_VALUE"""),"✅ ĐỦ HÀNG")</f>
        <v>✅ ĐỦ HÀNG</v>
      </c>
    </row>
    <row r="354" ht="22.5" customHeight="1">
      <c r="A354" s="65" t="str">
        <f>IFERROR(__xludf.DUMMYFUNCTION("""COMPUTED_VALUE"""),"Hà My My")</f>
        <v>Hà My My</v>
      </c>
      <c r="B354" s="66">
        <v>11.0</v>
      </c>
      <c r="C354" s="65" t="str">
        <f>IFERROR(__xludf.DUMMYFUNCTION("""COMPUTED_VALUE"""),"✅ ĐỦ HÀNG")</f>
        <v>✅ ĐỦ HÀNG</v>
      </c>
    </row>
    <row r="355" ht="22.5" customHeight="1">
      <c r="A355" s="65" t="str">
        <f>IFERROR(__xludf.DUMMYFUNCTION("""COMPUTED_VALUE"""),"Nguyễn Kỳ")</f>
        <v>Nguyễn Kỳ</v>
      </c>
      <c r="B355" s="66">
        <v>1.0</v>
      </c>
      <c r="C355" s="65" t="str">
        <f>IFERROR(__xludf.DUMMYFUNCTION("""COMPUTED_VALUE"""),"✅ ĐỦ HÀNG")</f>
        <v>✅ ĐỦ HÀNG</v>
      </c>
    </row>
    <row r="356" ht="22.5" customHeight="1">
      <c r="A356" s="65" t="str">
        <f>IFERROR(__xludf.DUMMYFUNCTION("""COMPUTED_VALUE"""),"Hồng Ruby")</f>
        <v>Hồng Ruby</v>
      </c>
      <c r="B356" s="66">
        <v>4.0</v>
      </c>
      <c r="C356" s="65" t="str">
        <f>IFERROR(__xludf.DUMMYFUNCTION("""COMPUTED_VALUE"""),"✅ ĐỦ HÀNG")</f>
        <v>✅ ĐỦ HÀNG</v>
      </c>
    </row>
    <row r="357" ht="22.5" customHeight="1">
      <c r="A357" s="65" t="str">
        <f>IFERROR(__xludf.DUMMYFUNCTION("""COMPUTED_VALUE"""),"Vũ Hoàng Yến")</f>
        <v>Vũ Hoàng Yến</v>
      </c>
      <c r="B357" s="66">
        <v>1.0</v>
      </c>
      <c r="C357" s="65" t="str">
        <f>IFERROR(__xludf.DUMMYFUNCTION("""COMPUTED_VALUE"""),"✅ ĐỦ HÀNG")</f>
        <v>✅ ĐỦ HÀNG</v>
      </c>
    </row>
    <row r="358" ht="22.5" customHeight="1">
      <c r="A358" s="65" t="str">
        <f>IFERROR(__xludf.DUMMYFUNCTION("""COMPUTED_VALUE"""),"Thảo Ly")</f>
        <v>Thảo Ly</v>
      </c>
      <c r="B358" s="66">
        <v>1.0</v>
      </c>
      <c r="C358" s="65" t="str">
        <f>IFERROR(__xludf.DUMMYFUNCTION("""COMPUTED_VALUE"""),"✅ ĐỦ HÀNG")</f>
        <v>✅ ĐỦ HÀNG</v>
      </c>
    </row>
    <row r="359" ht="22.5" customHeight="1">
      <c r="A359" s="65" t="str">
        <f>IFERROR(__xludf.DUMMYFUNCTION("""COMPUTED_VALUE"""),"Trần Thúy Vân")</f>
        <v>Trần Thúy Vân</v>
      </c>
      <c r="B359" s="66">
        <v>1.0</v>
      </c>
      <c r="C359" s="65" t="str">
        <f>IFERROR(__xludf.DUMMYFUNCTION("""COMPUTED_VALUE"""),"✅ ĐỦ HÀNG")</f>
        <v>✅ ĐỦ HÀNG</v>
      </c>
    </row>
    <row r="360" ht="22.5" customHeight="1">
      <c r="A360" s="65" t="str">
        <f>IFERROR(__xludf.DUMMYFUNCTION("""COMPUTED_VALUE"""),"Kyleery Nguyen")</f>
        <v>Kyleery Nguyen</v>
      </c>
      <c r="B360" s="66">
        <v>1.0</v>
      </c>
      <c r="C360" s="65" t="str">
        <f>IFERROR(__xludf.DUMMYFUNCTION("""COMPUTED_VALUE"""),"✅ ĐỦ HÀNG")</f>
        <v>✅ ĐỦ HÀNG</v>
      </c>
    </row>
    <row r="361" ht="22.5" customHeight="1">
      <c r="A361" s="65" t="str">
        <f>IFERROR(__xludf.DUMMYFUNCTION("""COMPUTED_VALUE"""),"Nguyệt Em")</f>
        <v>Nguyệt Em</v>
      </c>
      <c r="B361" s="66">
        <v>1.0</v>
      </c>
      <c r="C361" s="65" t="str">
        <f>IFERROR(__xludf.DUMMYFUNCTION("""COMPUTED_VALUE"""),"✅ ĐỦ HÀNG")</f>
        <v>✅ ĐỦ HÀNG</v>
      </c>
    </row>
    <row r="362" ht="22.5" customHeight="1">
      <c r="A362" s="65" t="str">
        <f>IFERROR(__xludf.DUMMYFUNCTION("""COMPUTED_VALUE"""),"Nguyen Phuong Thao")</f>
        <v>Nguyen Phuong Thao</v>
      </c>
      <c r="B362" s="66">
        <v>1.0</v>
      </c>
      <c r="C362" s="65" t="str">
        <f>IFERROR(__xludf.DUMMYFUNCTION("""COMPUTED_VALUE"""),"✅ ĐỦ HÀNG")</f>
        <v>✅ ĐỦ HÀNG</v>
      </c>
    </row>
    <row r="363" ht="22.5" customHeight="1">
      <c r="A363" s="65" t="str">
        <f>IFERROR(__xludf.DUMMYFUNCTION("""COMPUTED_VALUE"""),"Võ Bích Hậu")</f>
        <v>Võ Bích Hậu</v>
      </c>
      <c r="B363" s="66">
        <v>3.0</v>
      </c>
      <c r="C363" s="65" t="str">
        <f>IFERROR(__xludf.DUMMYFUNCTION("""COMPUTED_VALUE"""),"✅ ĐỦ HÀNG")</f>
        <v>✅ ĐỦ HÀNG</v>
      </c>
    </row>
    <row r="364" ht="22.5" customHeight="1">
      <c r="A364" s="65" t="str">
        <f>IFERROR(__xludf.DUMMYFUNCTION("""COMPUTED_VALUE"""),"Hoàng Oanh")</f>
        <v>Hoàng Oanh</v>
      </c>
      <c r="B364" s="66">
        <v>2.0</v>
      </c>
      <c r="C364" s="65" t="str">
        <f>IFERROR(__xludf.DUMMYFUNCTION("""COMPUTED_VALUE"""),"✅ ĐỦ HÀNG")</f>
        <v>✅ ĐỦ HÀNG</v>
      </c>
    </row>
    <row r="365" ht="22.5" customHeight="1">
      <c r="A365" s="65" t="str">
        <f>IFERROR(__xludf.DUMMYFUNCTION("""COMPUTED_VALUE"""),"Thiện Đức ")</f>
        <v>Thiện Đức </v>
      </c>
      <c r="B365" s="66">
        <v>1.0</v>
      </c>
      <c r="C365" s="65" t="str">
        <f>IFERROR(__xludf.DUMMYFUNCTION("""COMPUTED_VALUE"""),"✅ ĐỦ HÀNG")</f>
        <v>✅ ĐỦ HÀNG</v>
      </c>
    </row>
    <row r="366" ht="22.5" customHeight="1">
      <c r="A366" s="65" t="str">
        <f>IFERROR(__xludf.DUMMYFUNCTION("""COMPUTED_VALUE"""),"Hà Đào ")</f>
        <v>Hà Đào </v>
      </c>
      <c r="B366" s="66">
        <v>1.0</v>
      </c>
      <c r="C366" s="65" t="str">
        <f>IFERROR(__xludf.DUMMYFUNCTION("""COMPUTED_VALUE"""),"✅ ĐỦ HÀNG")</f>
        <v>✅ ĐỦ HÀNG</v>
      </c>
    </row>
    <row r="367" ht="22.5" customHeight="1">
      <c r="A367" s="65" t="str">
        <f>IFERROR(__xludf.DUMMYFUNCTION("""COMPUTED_VALUE"""),"Yoshiki Thuong")</f>
        <v>Yoshiki Thuong</v>
      </c>
      <c r="B367" s="66">
        <v>2.0</v>
      </c>
      <c r="C367" s="65" t="str">
        <f>IFERROR(__xludf.DUMMYFUNCTION("""COMPUTED_VALUE"""),"✅ ĐỦ HÀNG")</f>
        <v>✅ ĐỦ HÀNG</v>
      </c>
    </row>
    <row r="368" ht="22.5" customHeight="1">
      <c r="A368" s="65" t="str">
        <f>IFERROR(__xludf.DUMMYFUNCTION("""COMPUTED_VALUE"""),"Phương Thảo")</f>
        <v>Phương Thảo</v>
      </c>
      <c r="B368" s="66">
        <v>5.0</v>
      </c>
      <c r="C368" s="65" t="str">
        <f>IFERROR(__xludf.DUMMYFUNCTION("""COMPUTED_VALUE"""),"✅ ĐỦ HÀNG")</f>
        <v>✅ ĐỦ HÀNG</v>
      </c>
    </row>
    <row r="369" ht="22.5" customHeight="1">
      <c r="A369" s="65" t="str">
        <f>IFERROR(__xludf.DUMMYFUNCTION("""COMPUTED_VALUE"""),"Duyên Eria")</f>
        <v>Duyên Eria</v>
      </c>
      <c r="B369" s="66">
        <v>2.0</v>
      </c>
      <c r="C369" s="65" t="str">
        <f>IFERROR(__xludf.DUMMYFUNCTION("""COMPUTED_VALUE"""),"✅ ĐỦ HÀNG")</f>
        <v>✅ ĐỦ HÀNG</v>
      </c>
    </row>
    <row r="370" ht="22.5" customHeight="1">
      <c r="A370" s="65" t="str">
        <f>IFERROR(__xludf.DUMMYFUNCTION("""COMPUTED_VALUE"""),"Nhii Nguyen")</f>
        <v>Nhii Nguyen</v>
      </c>
      <c r="B370" s="66">
        <v>2.0</v>
      </c>
      <c r="C370" s="65" t="str">
        <f>IFERROR(__xludf.DUMMYFUNCTION("""COMPUTED_VALUE"""),"✅ ĐỦ HÀNG")</f>
        <v>✅ ĐỦ HÀNG</v>
      </c>
    </row>
    <row r="371" ht="22.5" customHeight="1">
      <c r="A371" s="65" t="str">
        <f>IFERROR(__xludf.DUMMYFUNCTION("""COMPUTED_VALUE"""),"Hương Lê")</f>
        <v>Hương Lê</v>
      </c>
      <c r="B371" s="66">
        <v>1.0</v>
      </c>
      <c r="C371" s="65" t="str">
        <f>IFERROR(__xludf.DUMMYFUNCTION("""COMPUTED_VALUE"""),"✅ ĐỦ HÀNG")</f>
        <v>✅ ĐỦ HÀNG</v>
      </c>
    </row>
    <row r="372" ht="22.5" customHeight="1">
      <c r="A372" s="65" t="str">
        <f>IFERROR(__xludf.DUMMYFUNCTION("""COMPUTED_VALUE"""),"Mến Nguyễn")</f>
        <v>Mến Nguyễn</v>
      </c>
      <c r="B372" s="66">
        <v>2.0</v>
      </c>
      <c r="C372" s="65" t="str">
        <f>IFERROR(__xludf.DUMMYFUNCTION("""COMPUTED_VALUE"""),"✅ ĐỦ HÀNG")</f>
        <v>✅ ĐỦ HÀNG</v>
      </c>
    </row>
    <row r="373" ht="22.5" customHeight="1">
      <c r="A373" s="65" t="str">
        <f>IFERROR(__xludf.DUMMYFUNCTION("""COMPUTED_VALUE"""),"Ánh Nguyễn")</f>
        <v>Ánh Nguyễn</v>
      </c>
      <c r="B373" s="66">
        <v>4.0</v>
      </c>
      <c r="C373" s="65" t="str">
        <f>IFERROR(__xludf.DUMMYFUNCTION("""COMPUTED_VALUE"""),"✅ ĐỦ HÀNG")</f>
        <v>✅ ĐỦ HÀNG</v>
      </c>
    </row>
    <row r="374" ht="22.5" customHeight="1">
      <c r="A374" s="65" t="str">
        <f>IFERROR(__xludf.DUMMYFUNCTION("""COMPUTED_VALUE"""),"Lê Thị Thu Hương")</f>
        <v>Lê Thị Thu Hương</v>
      </c>
      <c r="B374" s="66">
        <v>8.0</v>
      </c>
      <c r="C374" s="65" t="str">
        <f>IFERROR(__xludf.DUMMYFUNCTION("""COMPUTED_VALUE"""),"✅ ĐỦ HÀNG")</f>
        <v>✅ ĐỦ HÀNG</v>
      </c>
    </row>
    <row r="375" ht="22.5" customHeight="1">
      <c r="A375" s="65" t="str">
        <f>IFERROR(__xludf.DUMMYFUNCTION("""COMPUTED_VALUE"""),"Thu Trần")</f>
        <v>Thu Trần</v>
      </c>
      <c r="B375" s="66">
        <v>4.0</v>
      </c>
      <c r="C375" s="65" t="str">
        <f>IFERROR(__xludf.DUMMYFUNCTION("""COMPUTED_VALUE"""),"✅ ĐỦ HÀNG")</f>
        <v>✅ ĐỦ HÀNG</v>
      </c>
    </row>
    <row r="376" ht="22.5" customHeight="1">
      <c r="A376" s="65" t="str">
        <f>IFERROR(__xludf.DUMMYFUNCTION("""COMPUTED_VALUE"""),"Trịnh Tình")</f>
        <v>Trịnh Tình</v>
      </c>
      <c r="B376" s="66">
        <v>22.0</v>
      </c>
      <c r="C376" s="65" t="str">
        <f>IFERROR(__xludf.DUMMYFUNCTION("""COMPUTED_VALUE"""),"✅ ĐỦ HÀNG")</f>
        <v>✅ ĐỦ HÀNG</v>
      </c>
    </row>
    <row r="377" ht="22.5" customHeight="1">
      <c r="A377" s="65" t="str">
        <f>IFERROR(__xludf.DUMMYFUNCTION("""COMPUTED_VALUE"""),"Lan Nguyễn")</f>
        <v>Lan Nguyễn</v>
      </c>
      <c r="B377" s="66">
        <v>2.0</v>
      </c>
      <c r="C377" s="65" t="str">
        <f>IFERROR(__xludf.DUMMYFUNCTION("""COMPUTED_VALUE"""),"✅ ĐỦ HÀNG")</f>
        <v>✅ ĐỦ HÀNG</v>
      </c>
    </row>
    <row r="378" ht="22.5" customHeight="1">
      <c r="A378" s="65" t="str">
        <f>IFERROR(__xludf.DUMMYFUNCTION("""COMPUTED_VALUE"""),"Giao Ninh")</f>
        <v>Giao Ninh</v>
      </c>
      <c r="B378" s="66">
        <v>1.0</v>
      </c>
      <c r="C378" s="65" t="str">
        <f>IFERROR(__xludf.DUMMYFUNCTION("""COMPUTED_VALUE"""),"✅ ĐỦ HÀNG")</f>
        <v>✅ ĐỦ HÀNG</v>
      </c>
    </row>
    <row r="379" ht="22.5" customHeight="1">
      <c r="A379" s="65" t="str">
        <f>IFERROR(__xludf.DUMMYFUNCTION("""COMPUTED_VALUE"""),"Kim Ngân ")</f>
        <v>Kim Ngân </v>
      </c>
      <c r="B379" s="66">
        <v>1.0</v>
      </c>
      <c r="C379" s="65" t="str">
        <f>IFERROR(__xludf.DUMMYFUNCTION("""COMPUTED_VALUE"""),"✅ ĐỦ HÀNG")</f>
        <v>✅ ĐỦ HÀNG</v>
      </c>
    </row>
    <row r="380" ht="22.5" customHeight="1">
      <c r="A380" s="65" t="str">
        <f>IFERROR(__xludf.DUMMYFUNCTION("""COMPUTED_VALUE"""),"Hồng Hạnh")</f>
        <v>Hồng Hạnh</v>
      </c>
      <c r="B380" s="66">
        <v>3.0</v>
      </c>
      <c r="C380" s="65" t="str">
        <f>IFERROR(__xludf.DUMMYFUNCTION("""COMPUTED_VALUE"""),"✅ ĐỦ HÀNG")</f>
        <v>✅ ĐỦ HÀNG</v>
      </c>
    </row>
    <row r="381" ht="22.5" customHeight="1">
      <c r="A381" s="65" t="str">
        <f>IFERROR(__xludf.DUMMYFUNCTION("""COMPUTED_VALUE"""),"Phương Ling")</f>
        <v>Phương Ling</v>
      </c>
      <c r="B381" s="66">
        <v>1.0</v>
      </c>
      <c r="C381" s="65" t="str">
        <f>IFERROR(__xludf.DUMMYFUNCTION("""COMPUTED_VALUE"""),"✅ ĐỦ HÀNG")</f>
        <v>✅ ĐỦ HÀNG</v>
      </c>
    </row>
    <row r="382" ht="22.5" customHeight="1">
      <c r="A382" s="65" t="str">
        <f>IFERROR(__xludf.DUMMYFUNCTION("""COMPUTED_VALUE"""),"花雪")</f>
        <v>花雪</v>
      </c>
      <c r="B382" s="66">
        <v>1.0</v>
      </c>
      <c r="C382" s="65" t="str">
        <f>IFERROR(__xludf.DUMMYFUNCTION("""COMPUTED_VALUE"""),"✅ ĐỦ HÀNG")</f>
        <v>✅ ĐỦ HÀNG</v>
      </c>
    </row>
    <row r="383" ht="22.5" customHeight="1">
      <c r="A383" s="65" t="str">
        <f>IFERROR(__xludf.DUMMYFUNCTION("""COMPUTED_VALUE"""),"Trần Nhung")</f>
        <v>Trần Nhung</v>
      </c>
      <c r="B383" s="66">
        <v>1.0</v>
      </c>
      <c r="C383" s="65" t="str">
        <f>IFERROR(__xludf.DUMMYFUNCTION("""COMPUTED_VALUE"""),"✅ ĐỦ HÀNG")</f>
        <v>✅ ĐỦ HÀNG</v>
      </c>
    </row>
    <row r="384" ht="22.5" customHeight="1">
      <c r="A384" s="65" t="str">
        <f>IFERROR(__xludf.DUMMYFUNCTION("""COMPUTED_VALUE"""),"Trangg Mia")</f>
        <v>Trangg Mia</v>
      </c>
      <c r="B384" s="66">
        <v>1.0</v>
      </c>
      <c r="C384" s="65" t="str">
        <f>IFERROR(__xludf.DUMMYFUNCTION("""COMPUTED_VALUE"""),"✅ ĐỦ HÀNG")</f>
        <v>✅ ĐỦ HÀNG</v>
      </c>
    </row>
    <row r="385" ht="22.5" customHeight="1">
      <c r="A385" s="65" t="str">
        <f>IFERROR(__xludf.DUMMYFUNCTION("""COMPUTED_VALUE"""),"Nguyễn Hoài Anh")</f>
        <v>Nguyễn Hoài Anh</v>
      </c>
      <c r="B385" s="66">
        <v>4.0</v>
      </c>
      <c r="C385" s="65" t="str">
        <f>IFERROR(__xludf.DUMMYFUNCTION("""COMPUTED_VALUE"""),"✅ ĐỦ HÀNG")</f>
        <v>✅ ĐỦ HÀNG</v>
      </c>
    </row>
    <row r="386" ht="22.5" customHeight="1">
      <c r="A386" s="65" t="str">
        <f>IFERROR(__xludf.DUMMYFUNCTION("""COMPUTED_VALUE"""),"Ngọc Thuyết")</f>
        <v>Ngọc Thuyết</v>
      </c>
      <c r="B386" s="66">
        <v>1.0</v>
      </c>
      <c r="C386" s="65" t="str">
        <f>IFERROR(__xludf.DUMMYFUNCTION("""COMPUTED_VALUE"""),"✅ ĐỦ HÀNG")</f>
        <v>✅ ĐỦ HÀNG</v>
      </c>
    </row>
    <row r="387" ht="22.5" customHeight="1">
      <c r="A387" s="65" t="str">
        <f>IFERROR(__xludf.DUMMYFUNCTION("""COMPUTED_VALUE"""),"Thuỳ Nguyễn")</f>
        <v>Thuỳ Nguyễn</v>
      </c>
      <c r="B387" s="66">
        <v>2.0</v>
      </c>
      <c r="C387" s="65" t="str">
        <f>IFERROR(__xludf.DUMMYFUNCTION("""COMPUTED_VALUE"""),"✅ ĐỦ HÀNG")</f>
        <v>✅ ĐỦ HÀNG</v>
      </c>
    </row>
    <row r="388" ht="22.5" customHeight="1">
      <c r="A388" s="65" t="str">
        <f>IFERROR(__xludf.DUMMYFUNCTION("""COMPUTED_VALUE"""),"Ngà Trần")</f>
        <v>Ngà Trần</v>
      </c>
      <c r="B388" s="66">
        <v>1.0</v>
      </c>
      <c r="C388" s="65" t="str">
        <f>IFERROR(__xludf.DUMMYFUNCTION("""COMPUTED_VALUE"""),"✅ ĐỦ HÀNG")</f>
        <v>✅ ĐỦ HÀNG</v>
      </c>
    </row>
    <row r="389" ht="22.5" customHeight="1">
      <c r="A389" s="65" t="str">
        <f>IFERROR(__xludf.DUMMYFUNCTION("""COMPUTED_VALUE"""),"Tờ Huyên")</f>
        <v>Tờ Huyên</v>
      </c>
      <c r="B389" s="66">
        <v>6.0</v>
      </c>
      <c r="C389" s="65" t="str">
        <f>IFERROR(__xludf.DUMMYFUNCTION("""COMPUTED_VALUE"""),"✅ ĐỦ HÀNG")</f>
        <v>✅ ĐỦ HÀNG</v>
      </c>
    </row>
    <row r="390" ht="22.5" customHeight="1">
      <c r="A390" s="65" t="str">
        <f>IFERROR(__xludf.DUMMYFUNCTION("""COMPUTED_VALUE"""),"Lệ Thuỷ")</f>
        <v>Lệ Thuỷ</v>
      </c>
      <c r="B390" s="66">
        <v>1.0</v>
      </c>
      <c r="C390" s="65" t="str">
        <f>IFERROR(__xludf.DUMMYFUNCTION("""COMPUTED_VALUE"""),"✅ ĐỦ HÀNG")</f>
        <v>✅ ĐỦ HÀNG</v>
      </c>
    </row>
    <row r="391" ht="22.5" customHeight="1">
      <c r="A391" s="65" t="str">
        <f>IFERROR(__xludf.DUMMYFUNCTION("""COMPUTED_VALUE"""),"Nguyen Kim Dung")</f>
        <v>Nguyen Kim Dung</v>
      </c>
      <c r="B391" s="66">
        <v>1.0</v>
      </c>
      <c r="C391" s="65" t="str">
        <f>IFERROR(__xludf.DUMMYFUNCTION("""COMPUTED_VALUE"""),"✅ ĐỦ HÀNG")</f>
        <v>✅ ĐỦ HÀNG</v>
      </c>
    </row>
    <row r="392" ht="22.5" customHeight="1">
      <c r="A392" s="65" t="str">
        <f>IFERROR(__xludf.DUMMYFUNCTION("""COMPUTED_VALUE"""),"Nguyễn Thuỳ Dung")</f>
        <v>Nguyễn Thuỳ Dung</v>
      </c>
      <c r="B392" s="66">
        <v>1.0</v>
      </c>
      <c r="C392" s="65" t="str">
        <f>IFERROR(__xludf.DUMMYFUNCTION("""COMPUTED_VALUE"""),"✅ ĐỦ HÀNG")</f>
        <v>✅ ĐỦ HÀNG</v>
      </c>
    </row>
    <row r="393" ht="22.5" customHeight="1">
      <c r="A393" s="65" t="str">
        <f>IFERROR(__xludf.DUMMYFUNCTION("""COMPUTED_VALUE"""),"Hu Thi Nguyen")</f>
        <v>Hu Thi Nguyen</v>
      </c>
      <c r="B393" s="66">
        <v>1.0</v>
      </c>
      <c r="C393" s="65" t="str">
        <f>IFERROR(__xludf.DUMMYFUNCTION("""COMPUTED_VALUE"""),"✅ ĐỦ HÀNG")</f>
        <v>✅ ĐỦ HÀNG</v>
      </c>
    </row>
    <row r="394" ht="22.5" customHeight="1">
      <c r="A394" s="65" t="str">
        <f>IFERROR(__xludf.DUMMYFUNCTION("""COMPUTED_VALUE"""),"Lê Vi")</f>
        <v>Lê Vi</v>
      </c>
      <c r="B394" s="66">
        <v>2.0</v>
      </c>
      <c r="C394" s="65" t="str">
        <f>IFERROR(__xludf.DUMMYFUNCTION("""COMPUTED_VALUE"""),"✅ ĐỦ HÀNG")</f>
        <v>✅ ĐỦ HÀNG</v>
      </c>
    </row>
    <row r="395" ht="22.5" customHeight="1">
      <c r="A395" s="65" t="str">
        <f>IFERROR(__xludf.DUMMYFUNCTION("""COMPUTED_VALUE"""),"Hoai Thu")</f>
        <v>Hoai Thu</v>
      </c>
      <c r="B395" s="66">
        <v>1.0</v>
      </c>
      <c r="C395" s="65" t="str">
        <f>IFERROR(__xludf.DUMMYFUNCTION("""COMPUTED_VALUE"""),"✅ ĐỦ HÀNG")</f>
        <v>✅ ĐỦ HÀNG</v>
      </c>
    </row>
    <row r="396" ht="22.5" customHeight="1">
      <c r="A396" s="65" t="str">
        <f>IFERROR(__xludf.DUMMYFUNCTION("""COMPUTED_VALUE"""),"Phạm Thu Thuỳ")</f>
        <v>Phạm Thu Thuỳ</v>
      </c>
      <c r="B396" s="66">
        <v>1.0</v>
      </c>
      <c r="C396" s="65" t="str">
        <f>IFERROR(__xludf.DUMMYFUNCTION("""COMPUTED_VALUE"""),"✅ ĐỦ HÀNG")</f>
        <v>✅ ĐỦ HÀNG</v>
      </c>
    </row>
    <row r="397" ht="22.5" customHeight="1">
      <c r="A397" s="65" t="str">
        <f>IFERROR(__xludf.DUMMYFUNCTION("""COMPUTED_VALUE"""),"Thái")</f>
        <v>Thái</v>
      </c>
      <c r="B397" s="66">
        <v>1.0</v>
      </c>
      <c r="C397" s="65" t="str">
        <f>IFERROR(__xludf.DUMMYFUNCTION("""COMPUTED_VALUE"""),"✅ ĐỦ HÀNG")</f>
        <v>✅ ĐỦ HÀNG</v>
      </c>
    </row>
    <row r="398" ht="22.5" customHeight="1">
      <c r="A398" s="65" t="str">
        <f>IFERROR(__xludf.DUMMYFUNCTION("""COMPUTED_VALUE"""),"Trần T. My")</f>
        <v>Trần T. My</v>
      </c>
      <c r="B398" s="66">
        <v>2.0</v>
      </c>
      <c r="C398" s="65" t="str">
        <f>IFERROR(__xludf.DUMMYFUNCTION("""COMPUTED_VALUE"""),"✅ ĐỦ HÀNG")</f>
        <v>✅ ĐỦ HÀNG</v>
      </c>
    </row>
    <row r="399" ht="22.5" customHeight="1">
      <c r="A399" s="65" t="str">
        <f>IFERROR(__xludf.DUMMYFUNCTION("""COMPUTED_VALUE"""),"Nguyễn Hậu")</f>
        <v>Nguyễn Hậu</v>
      </c>
      <c r="B399" s="66">
        <v>1.0</v>
      </c>
      <c r="C399" s="65" t="str">
        <f>IFERROR(__xludf.DUMMYFUNCTION("""COMPUTED_VALUE"""),"✅ ĐỦ HÀNG")</f>
        <v>✅ ĐỦ HÀNG</v>
      </c>
    </row>
    <row r="400" ht="22.5" customHeight="1">
      <c r="A400" s="65" t="str">
        <f>IFERROR(__xludf.DUMMYFUNCTION("""COMPUTED_VALUE"""),"Khánh Linh")</f>
        <v>Khánh Linh</v>
      </c>
      <c r="B400" s="66">
        <v>1.0</v>
      </c>
      <c r="C400" s="65" t="str">
        <f>IFERROR(__xludf.DUMMYFUNCTION("""COMPUTED_VALUE"""),"✅ ĐỦ HÀNG")</f>
        <v>✅ ĐỦ HÀNG</v>
      </c>
    </row>
    <row r="401" ht="22.5" customHeight="1">
      <c r="A401" s="65" t="str">
        <f>IFERROR(__xludf.DUMMYFUNCTION("""COMPUTED_VALUE"""),"Hột Mít")</f>
        <v>Hột Mít</v>
      </c>
      <c r="B401" s="66">
        <v>1.0</v>
      </c>
      <c r="C401" s="65" t="str">
        <f>IFERROR(__xludf.DUMMYFUNCTION("""COMPUTED_VALUE"""),"✅ ĐỦ HÀNG")</f>
        <v>✅ ĐỦ HÀNG</v>
      </c>
    </row>
    <row r="402" ht="22.5" customHeight="1">
      <c r="A402" s="65" t="str">
        <f>IFERROR(__xludf.DUMMYFUNCTION("""COMPUTED_VALUE"""),"Sabaku Mến")</f>
        <v>Sabaku Mến</v>
      </c>
      <c r="B402" s="66">
        <v>4.0</v>
      </c>
      <c r="C402" s="65" t="str">
        <f>IFERROR(__xludf.DUMMYFUNCTION("""COMPUTED_VALUE"""),"✅ ĐỦ HÀNG")</f>
        <v>✅ ĐỦ HÀNG</v>
      </c>
    </row>
    <row r="403" ht="22.5" customHeight="1">
      <c r="A403" s="65" t="str">
        <f>IFERROR(__xludf.DUMMYFUNCTION("""COMPUTED_VALUE"""),"Nguyên Thuỷ")</f>
        <v>Nguyên Thuỷ</v>
      </c>
      <c r="B403" s="66">
        <v>1.0</v>
      </c>
      <c r="C403" s="65" t="str">
        <f>IFERROR(__xludf.DUMMYFUNCTION("""COMPUTED_VALUE"""),"✅ ĐỦ HÀNG")</f>
        <v>✅ ĐỦ HÀNG</v>
      </c>
    </row>
    <row r="404" ht="22.5" customHeight="1">
      <c r="A404" s="65" t="str">
        <f>IFERROR(__xludf.DUMMYFUNCTION("""COMPUTED_VALUE"""),"Minh Thuỳ")</f>
        <v>Minh Thuỳ</v>
      </c>
      <c r="B404" s="66">
        <v>1.0</v>
      </c>
      <c r="C404" s="65" t="str">
        <f>IFERROR(__xludf.DUMMYFUNCTION("""COMPUTED_VALUE"""),"✅ ĐỦ HÀNG")</f>
        <v>✅ ĐỦ HÀNG</v>
      </c>
    </row>
    <row r="405" ht="22.5" customHeight="1">
      <c r="A405" s="65" t="str">
        <f>IFERROR(__xludf.DUMMYFUNCTION("""COMPUTED_VALUE"""),"Hồng Hạnh 1 ")</f>
        <v>Hồng Hạnh 1 </v>
      </c>
      <c r="B405" s="66">
        <v>1.0</v>
      </c>
      <c r="C405" s="65" t="str">
        <f>IFERROR(__xludf.DUMMYFUNCTION("""COMPUTED_VALUE"""),"✅ ĐỦ HÀNG")</f>
        <v>✅ ĐỦ HÀNG</v>
      </c>
    </row>
    <row r="406" ht="22.5" customHeight="1">
      <c r="A406" s="65" t="str">
        <f>IFERROR(__xludf.DUMMYFUNCTION("""COMPUTED_VALUE"""),"Pham Thảo")</f>
        <v>Pham Thảo</v>
      </c>
      <c r="B406" s="66">
        <v>1.0</v>
      </c>
      <c r="C406" s="65" t="str">
        <f>IFERROR(__xludf.DUMMYFUNCTION("""COMPUTED_VALUE"""),"✅ ĐỦ HÀNG")</f>
        <v>✅ ĐỦ HÀNG</v>
      </c>
    </row>
    <row r="407" ht="22.5" customHeight="1">
      <c r="A407" s="65" t="str">
        <f>IFERROR(__xludf.DUMMYFUNCTION("""COMPUTED_VALUE"""),"Ánh Tuyết")</f>
        <v>Ánh Tuyết</v>
      </c>
      <c r="B407" s="66">
        <v>1.0</v>
      </c>
      <c r="C407" s="65" t="str">
        <f>IFERROR(__xludf.DUMMYFUNCTION("""COMPUTED_VALUE"""),"✅ ĐỦ HÀNG")</f>
        <v>✅ ĐỦ HÀNG</v>
      </c>
    </row>
    <row r="408" ht="22.5" customHeight="1">
      <c r="A408" s="65" t="str">
        <f>IFERROR(__xludf.DUMMYFUNCTION("""COMPUTED_VALUE"""),"Hoai Lee")</f>
        <v>Hoai Lee</v>
      </c>
      <c r="B408" s="66">
        <v>1.0</v>
      </c>
      <c r="C408" s="65" t="str">
        <f>IFERROR(__xludf.DUMMYFUNCTION("""COMPUTED_VALUE"""),"✅ ĐỦ HÀNG")</f>
        <v>✅ ĐỦ HÀNG</v>
      </c>
    </row>
    <row r="409" ht="22.5" customHeight="1">
      <c r="A409" s="65" t="str">
        <f>IFERROR(__xludf.DUMMYFUNCTION("""COMPUTED_VALUE"""),"Mai Minh Hương")</f>
        <v>Mai Minh Hương</v>
      </c>
      <c r="B409" s="66">
        <v>1.0</v>
      </c>
      <c r="C409" s="65" t="str">
        <f>IFERROR(__xludf.DUMMYFUNCTION("""COMPUTED_VALUE"""),"✅ ĐỦ HÀNG")</f>
        <v>✅ ĐỦ HÀNG</v>
      </c>
    </row>
    <row r="410" ht="22.5" customHeight="1">
      <c r="A410" s="65" t="str">
        <f>IFERROR(__xludf.DUMMYFUNCTION("""COMPUTED_VALUE"""),"Nguyen Thao")</f>
        <v>Nguyen Thao</v>
      </c>
      <c r="B410" s="66">
        <v>2.0</v>
      </c>
      <c r="C410" s="65" t="str">
        <f>IFERROR(__xludf.DUMMYFUNCTION("""COMPUTED_VALUE"""),"✅ ĐỦ HÀNG")</f>
        <v>✅ ĐỦ HÀNG</v>
      </c>
    </row>
    <row r="411" ht="22.5" customHeight="1">
      <c r="A411" s="65" t="str">
        <f>IFERROR(__xludf.DUMMYFUNCTION("""COMPUTED_VALUE"""),"Nguyễnn Ngọcc Ánhh")</f>
        <v>Nguyễnn Ngọcc Ánhh</v>
      </c>
      <c r="B411" s="66">
        <v>1.0</v>
      </c>
      <c r="C411" s="65" t="str">
        <f>IFERROR(__xludf.DUMMYFUNCTION("""COMPUTED_VALUE"""),"✅ ĐỦ HÀNG")</f>
        <v>✅ ĐỦ HÀNG</v>
      </c>
    </row>
    <row r="412" ht="22.5" customHeight="1">
      <c r="A412" s="65" t="str">
        <f>IFERROR(__xludf.DUMMYFUNCTION("""COMPUTED_VALUE"""),"Ngọc Hân")</f>
        <v>Ngọc Hân</v>
      </c>
      <c r="B412" s="66">
        <v>1.0</v>
      </c>
      <c r="C412" s="65" t="str">
        <f>IFERROR(__xludf.DUMMYFUNCTION("""COMPUTED_VALUE"""),"✅ ĐỦ HÀNG")</f>
        <v>✅ ĐỦ HÀNG</v>
      </c>
    </row>
    <row r="413" ht="22.5" customHeight="1">
      <c r="A413" s="65" t="str">
        <f>IFERROR(__xludf.DUMMYFUNCTION("""COMPUTED_VALUE"""),"Vic Nguyễn")</f>
        <v>Vic Nguyễn</v>
      </c>
      <c r="B413" s="66">
        <v>1.0</v>
      </c>
      <c r="C413" s="65" t="str">
        <f>IFERROR(__xludf.DUMMYFUNCTION("""COMPUTED_VALUE"""),"✅ ĐỦ HÀNG")</f>
        <v>✅ ĐỦ HÀNG</v>
      </c>
    </row>
    <row r="414" ht="22.5" customHeight="1">
      <c r="A414" s="65" t="str">
        <f>IFERROR(__xludf.DUMMYFUNCTION("""COMPUTED_VALUE"""),"Phan Minh")</f>
        <v>Phan Minh</v>
      </c>
      <c r="B414" s="66">
        <v>1.0</v>
      </c>
      <c r="C414" s="65" t="str">
        <f>IFERROR(__xludf.DUMMYFUNCTION("""COMPUTED_VALUE"""),"✅ ĐỦ HÀNG")</f>
        <v>✅ ĐỦ HÀNG</v>
      </c>
    </row>
    <row r="415" ht="22.5" customHeight="1">
      <c r="A415" s="65" t="str">
        <f>IFERROR(__xludf.DUMMYFUNCTION("""COMPUTED_VALUE"""),"Cừu Nhanh Nhảu")</f>
        <v>Cừu Nhanh Nhảu</v>
      </c>
      <c r="B415" s="66">
        <v>1.0</v>
      </c>
      <c r="C415" s="65" t="str">
        <f>IFERROR(__xludf.DUMMYFUNCTION("""COMPUTED_VALUE"""),"✅ ĐỦ HÀNG")</f>
        <v>✅ ĐỦ HÀNG</v>
      </c>
    </row>
    <row r="416" ht="22.5" customHeight="1">
      <c r="A416" s="65" t="str">
        <f>IFERROR(__xludf.DUMMYFUNCTION("""COMPUTED_VALUE"""),"Vân Ain")</f>
        <v>Vân Ain</v>
      </c>
      <c r="B416" s="66">
        <v>5.0</v>
      </c>
      <c r="C416" s="65" t="str">
        <f>IFERROR(__xludf.DUMMYFUNCTION("""COMPUTED_VALUE"""),"✅ ĐỦ HÀNG")</f>
        <v>✅ ĐỦ HÀNG</v>
      </c>
    </row>
    <row r="417" ht="22.5" customHeight="1">
      <c r="A417" s="65" t="str">
        <f>IFERROR(__xludf.DUMMYFUNCTION("""COMPUTED_VALUE"""),"Lê Thi Thanh Thi")</f>
        <v>Lê Thi Thanh Thi</v>
      </c>
      <c r="B417" s="66">
        <v>1.0</v>
      </c>
      <c r="C417" s="65" t="str">
        <f>IFERROR(__xludf.DUMMYFUNCTION("""COMPUTED_VALUE"""),"✅ ĐỦ HÀNG")</f>
        <v>✅ ĐỦ HÀNG</v>
      </c>
    </row>
    <row r="418" ht="22.5" customHeight="1">
      <c r="A418" s="65" t="str">
        <f>IFERROR(__xludf.DUMMYFUNCTION("""COMPUTED_VALUE"""),"Nguyễnn Ánh Quyên")</f>
        <v>Nguyễnn Ánh Quyên</v>
      </c>
      <c r="B418" s="66">
        <v>1.0</v>
      </c>
      <c r="C418" s="65" t="str">
        <f>IFERROR(__xludf.DUMMYFUNCTION("""COMPUTED_VALUE"""),"✅ ĐỦ HÀNG")</f>
        <v>✅ ĐỦ HÀNG</v>
      </c>
    </row>
    <row r="419" ht="22.5" customHeight="1">
      <c r="A419" s="65" t="str">
        <f>IFERROR(__xludf.DUMMYFUNCTION("""COMPUTED_VALUE"""),"Trang Nhung")</f>
        <v>Trang Nhung</v>
      </c>
      <c r="B419" s="66">
        <v>1.0</v>
      </c>
      <c r="C419" s="65" t="str">
        <f>IFERROR(__xludf.DUMMYFUNCTION("""COMPUTED_VALUE"""),"✅ ĐỦ HÀNG")</f>
        <v>✅ ĐỦ HÀNG</v>
      </c>
    </row>
    <row r="420" ht="22.5" customHeight="1">
      <c r="A420" s="65" t="str">
        <f>IFERROR(__xludf.DUMMYFUNCTION("""COMPUTED_VALUE"""),"Sinh Nguyễn")</f>
        <v>Sinh Nguyễn</v>
      </c>
      <c r="B420" s="66">
        <v>2.0</v>
      </c>
      <c r="C420" s="65" t="str">
        <f>IFERROR(__xludf.DUMMYFUNCTION("""COMPUTED_VALUE"""),"✅ ĐỦ HÀNG")</f>
        <v>✅ ĐỦ HÀNG</v>
      </c>
    </row>
    <row r="421" ht="22.5" customHeight="1">
      <c r="A421" s="65" t="str">
        <f>IFERROR(__xludf.DUMMYFUNCTION("""COMPUTED_VALUE"""),"Nguyễn Linh")</f>
        <v>Nguyễn Linh</v>
      </c>
      <c r="B421" s="66">
        <v>4.0</v>
      </c>
      <c r="C421" s="65" t="str">
        <f>IFERROR(__xludf.DUMMYFUNCTION("""COMPUTED_VALUE"""),"✅ ĐỦ HÀNG")</f>
        <v>✅ ĐỦ HÀNG</v>
      </c>
    </row>
    <row r="422" ht="22.5" customHeight="1">
      <c r="A422" s="65" t="str">
        <f>IFERROR(__xludf.DUMMYFUNCTION("""COMPUTED_VALUE"""),"Nga Nguyen")</f>
        <v>Nga Nguyen</v>
      </c>
      <c r="B422" s="66">
        <v>2.0</v>
      </c>
      <c r="C422" s="65" t="str">
        <f>IFERROR(__xludf.DUMMYFUNCTION("""COMPUTED_VALUE"""),"✅ ĐỦ HÀNG")</f>
        <v>✅ ĐỦ HÀNG</v>
      </c>
    </row>
    <row r="423" ht="22.5" customHeight="1">
      <c r="A423" s="65" t="str">
        <f>IFERROR(__xludf.DUMMYFUNCTION("""COMPUTED_VALUE"""),"Mai Thanh")</f>
        <v>Mai Thanh</v>
      </c>
      <c r="B423" s="66">
        <v>1.0</v>
      </c>
      <c r="C423" s="65" t="str">
        <f>IFERROR(__xludf.DUMMYFUNCTION("""COMPUTED_VALUE"""),"✅ ĐỦ HÀNG")</f>
        <v>✅ ĐỦ HÀNG</v>
      </c>
    </row>
    <row r="424" ht="22.5" customHeight="1">
      <c r="A424" s="65" t="str">
        <f>IFERROR(__xludf.DUMMYFUNCTION("""COMPUTED_VALUE"""),"Thương Vũ")</f>
        <v>Thương Vũ</v>
      </c>
      <c r="B424" s="66">
        <v>4.0</v>
      </c>
      <c r="C424" s="65" t="str">
        <f>IFERROR(__xludf.DUMMYFUNCTION("""COMPUTED_VALUE"""),"✅ ĐỦ HÀNG")</f>
        <v>✅ ĐỦ HÀNG</v>
      </c>
    </row>
    <row r="425" ht="22.5" customHeight="1">
      <c r="A425" s="65" t="str">
        <f>IFERROR(__xludf.DUMMYFUNCTION("""COMPUTED_VALUE"""),"Đoàn Kim Anh")</f>
        <v>Đoàn Kim Anh</v>
      </c>
      <c r="B425" s="66">
        <v>1.0</v>
      </c>
      <c r="C425" s="65" t="str">
        <f>IFERROR(__xludf.DUMMYFUNCTION("""COMPUTED_VALUE"""),"✅ ĐỦ HÀNG")</f>
        <v>✅ ĐỦ HÀNG</v>
      </c>
    </row>
    <row r="426" ht="22.5" customHeight="1">
      <c r="A426" s="65" t="str">
        <f>IFERROR(__xludf.DUMMYFUNCTION("""COMPUTED_VALUE"""),"Nguyễn Huyền Trang1")</f>
        <v>Nguyễn Huyền Trang1</v>
      </c>
      <c r="B426" s="66">
        <v>1.0</v>
      </c>
      <c r="C426" s="65" t="str">
        <f>IFERROR(__xludf.DUMMYFUNCTION("""COMPUTED_VALUE"""),"✅ ĐỦ HÀNG")</f>
        <v>✅ ĐỦ HÀNG</v>
      </c>
    </row>
    <row r="427" ht="22.5" customHeight="1">
      <c r="A427" s="65" t="str">
        <f>IFERROR(__xludf.DUMMYFUNCTION("""COMPUTED_VALUE"""),"Phạm Thêu")</f>
        <v>Phạm Thêu</v>
      </c>
      <c r="B427" s="66">
        <v>1.0</v>
      </c>
      <c r="C427" s="65" t="str">
        <f>IFERROR(__xludf.DUMMYFUNCTION("""COMPUTED_VALUE"""),"✅ ĐỦ HÀNG")</f>
        <v>✅ ĐỦ HÀNG</v>
      </c>
    </row>
    <row r="428" ht="22.5" customHeight="1">
      <c r="A428" s="65" t="str">
        <f>IFERROR(__xludf.DUMMYFUNCTION("""COMPUTED_VALUE"""),"Tonooka Liên")</f>
        <v>Tonooka Liên</v>
      </c>
      <c r="B428" s="66">
        <v>1.0</v>
      </c>
      <c r="C428" s="65" t="str">
        <f>IFERROR(__xludf.DUMMYFUNCTION("""COMPUTED_VALUE"""),"✅ ĐỦ HÀNG")</f>
        <v>✅ ĐỦ HÀNG</v>
      </c>
    </row>
    <row r="429" ht="22.5" customHeight="1">
      <c r="A429" s="65" t="str">
        <f>IFERROR(__xludf.DUMMYFUNCTION("""COMPUTED_VALUE"""),"Phạm Thị Dung")</f>
        <v>Phạm Thị Dung</v>
      </c>
      <c r="B429" s="66">
        <v>1.0</v>
      </c>
      <c r="C429" s="65" t="str">
        <f>IFERROR(__xludf.DUMMYFUNCTION("""COMPUTED_VALUE"""),"✅ ĐỦ HÀNG")</f>
        <v>✅ ĐỦ HÀNG</v>
      </c>
    </row>
    <row r="430" ht="22.5" customHeight="1">
      <c r="A430" s="65" t="str">
        <f>IFERROR(__xludf.DUMMYFUNCTION("""COMPUTED_VALUE"""),"Hương Lý")</f>
        <v>Hương Lý</v>
      </c>
      <c r="B430" s="66">
        <v>1.0</v>
      </c>
      <c r="C430" s="65" t="str">
        <f>IFERROR(__xludf.DUMMYFUNCTION("""COMPUTED_VALUE"""),"✅ ĐỦ HÀNG")</f>
        <v>✅ ĐỦ HÀNG</v>
      </c>
    </row>
    <row r="431" ht="22.5" customHeight="1">
      <c r="A431" s="65" t="str">
        <f>IFERROR(__xludf.DUMMYFUNCTION("""COMPUTED_VALUE"""),"Nguyễn Lành")</f>
        <v>Nguyễn Lành</v>
      </c>
      <c r="B431" s="66">
        <v>3.0</v>
      </c>
      <c r="C431" s="65" t="str">
        <f>IFERROR(__xludf.DUMMYFUNCTION("""COMPUTED_VALUE"""),"✅ ĐỦ HÀNG")</f>
        <v>✅ ĐỦ HÀNG</v>
      </c>
    </row>
    <row r="432" ht="22.5" customHeight="1">
      <c r="A432" s="65" t="str">
        <f>IFERROR(__xludf.DUMMYFUNCTION("""COMPUTED_VALUE"""),"Nguyễn Hoài")</f>
        <v>Nguyễn Hoài</v>
      </c>
      <c r="B432" s="66">
        <v>15.0</v>
      </c>
      <c r="C432" s="65" t="str">
        <f>IFERROR(__xludf.DUMMYFUNCTION("""COMPUTED_VALUE"""),"✅ ĐỦ HÀNG")</f>
        <v>✅ ĐỦ HÀNG</v>
      </c>
    </row>
    <row r="433" ht="22.5" customHeight="1">
      <c r="A433" s="65" t="str">
        <f>IFERROR(__xludf.DUMMYFUNCTION("""COMPUTED_VALUE"""),"Hạnnh Trầnn")</f>
        <v>Hạnnh Trầnn</v>
      </c>
      <c r="B433" s="66">
        <v>2.0</v>
      </c>
      <c r="C433" s="65" t="str">
        <f>IFERROR(__xludf.DUMMYFUNCTION("""COMPUTED_VALUE"""),"✅ ĐỦ HÀNG")</f>
        <v>✅ ĐỦ HÀNG</v>
      </c>
    </row>
    <row r="434" ht="22.5" customHeight="1">
      <c r="A434" s="65" t="str">
        <f>IFERROR(__xludf.DUMMYFUNCTION("""COMPUTED_VALUE"""),"Su Hào")</f>
        <v>Su Hào</v>
      </c>
      <c r="B434" s="66">
        <v>1.0</v>
      </c>
      <c r="C434" s="65" t="str">
        <f>IFERROR(__xludf.DUMMYFUNCTION("""COMPUTED_VALUE"""),"✅ ĐỦ HÀNG")</f>
        <v>✅ ĐỦ HÀNG</v>
      </c>
    </row>
    <row r="435" ht="22.5" customHeight="1">
      <c r="A435" s="65" t="str">
        <f>IFERROR(__xludf.DUMMYFUNCTION("""COMPUTED_VALUE"""),"Nguyễn Hải Yến")</f>
        <v>Nguyễn Hải Yến</v>
      </c>
      <c r="B435" s="66">
        <v>7.0</v>
      </c>
      <c r="C435" s="65" t="str">
        <f>IFERROR(__xludf.DUMMYFUNCTION("""COMPUTED_VALUE"""),"✅ ĐỦ HÀNG")</f>
        <v>✅ ĐỦ HÀNG</v>
      </c>
    </row>
    <row r="436" ht="22.5" customHeight="1">
      <c r="A436" s="65" t="str">
        <f>IFERROR(__xludf.DUMMYFUNCTION("""COMPUTED_VALUE"""),"Nguyễn Thị Thanh Lam")</f>
        <v>Nguyễn Thị Thanh Lam</v>
      </c>
      <c r="B436" s="66">
        <v>2.0</v>
      </c>
      <c r="C436" s="65" t="str">
        <f>IFERROR(__xludf.DUMMYFUNCTION("""COMPUTED_VALUE"""),"✅ ĐỦ HÀNG")</f>
        <v>✅ ĐỦ HÀNG</v>
      </c>
    </row>
    <row r="437" ht="22.5" customHeight="1">
      <c r="A437" s="65" t="str">
        <f>IFERROR(__xludf.DUMMYFUNCTION("""COMPUTED_VALUE"""),"Đỗ Phương Dung")</f>
        <v>Đỗ Phương Dung</v>
      </c>
      <c r="B437" s="66">
        <v>3.0</v>
      </c>
      <c r="C437" s="65" t="str">
        <f>IFERROR(__xludf.DUMMYFUNCTION("""COMPUTED_VALUE"""),"✅ ĐỦ HÀNG")</f>
        <v>✅ ĐỦ HÀNG</v>
      </c>
    </row>
    <row r="438" ht="22.5" customHeight="1">
      <c r="A438" s="65" t="str">
        <f>IFERROR(__xludf.DUMMYFUNCTION("""COMPUTED_VALUE"""),"Trần Kiều Linh")</f>
        <v>Trần Kiều Linh</v>
      </c>
      <c r="B438" s="66">
        <v>6.0</v>
      </c>
      <c r="C438" s="65" t="str">
        <f>IFERROR(__xludf.DUMMYFUNCTION("""COMPUTED_VALUE"""),"✅ ĐỦ HÀNG")</f>
        <v>✅ ĐỦ HÀNG</v>
      </c>
    </row>
    <row r="439" ht="22.5" customHeight="1">
      <c r="A439" s="65" t="str">
        <f>IFERROR(__xludf.DUMMYFUNCTION("""COMPUTED_VALUE"""),"Trang")</f>
        <v>Trang</v>
      </c>
      <c r="B439" s="66">
        <v>8.0</v>
      </c>
      <c r="C439" s="65" t="str">
        <f>IFERROR(__xludf.DUMMYFUNCTION("""COMPUTED_VALUE"""),"✅ ĐỦ HÀNG")</f>
        <v>✅ ĐỦ HÀNG</v>
      </c>
    </row>
    <row r="440" ht="22.5" customHeight="1">
      <c r="A440" s="65" t="str">
        <f>IFERROR(__xludf.DUMMYFUNCTION("""COMPUTED_VALUE"""),"Nguyễn Trà")</f>
        <v>Nguyễn Trà</v>
      </c>
      <c r="B440" s="66">
        <v>3.0</v>
      </c>
      <c r="C440" s="65" t="str">
        <f>IFERROR(__xludf.DUMMYFUNCTION("""COMPUTED_VALUE"""),"✅ ĐỦ HÀNG")</f>
        <v>✅ ĐỦ HÀNG</v>
      </c>
    </row>
    <row r="441" ht="22.5" customHeight="1">
      <c r="A441" s="65" t="str">
        <f>IFERROR(__xludf.DUMMYFUNCTION("""COMPUTED_VALUE"""),"Quỳnh Loan")</f>
        <v>Quỳnh Loan</v>
      </c>
      <c r="B441" s="66">
        <v>5.0</v>
      </c>
      <c r="C441" s="65" t="str">
        <f>IFERROR(__xludf.DUMMYFUNCTION("""COMPUTED_VALUE"""),"✅ ĐỦ HÀNG")</f>
        <v>✅ ĐỦ HÀNG</v>
      </c>
    </row>
    <row r="442" ht="22.5" customHeight="1">
      <c r="A442" s="65" t="str">
        <f>IFERROR(__xludf.DUMMYFUNCTION("""COMPUTED_VALUE"""),"Thuý Hằng")</f>
        <v>Thuý Hằng</v>
      </c>
      <c r="B442" s="66">
        <v>1.0</v>
      </c>
      <c r="C442" s="65" t="str">
        <f>IFERROR(__xludf.DUMMYFUNCTION("""COMPUTED_VALUE"""),"✅ ĐỦ HÀNG")</f>
        <v>✅ ĐỦ HÀNG</v>
      </c>
    </row>
    <row r="443" ht="22.5" customHeight="1">
      <c r="A443" s="65" t="str">
        <f>IFERROR(__xludf.DUMMYFUNCTION("""COMPUTED_VALUE"""),"Nguyễn Nguyệt")</f>
        <v>Nguyễn Nguyệt</v>
      </c>
      <c r="B443" s="66">
        <v>4.0</v>
      </c>
      <c r="C443" s="65" t="str">
        <f>IFERROR(__xludf.DUMMYFUNCTION("""COMPUTED_VALUE"""),"✅ ĐỦ HÀNG")</f>
        <v>✅ ĐỦ HÀNG</v>
      </c>
    </row>
    <row r="444" ht="22.5" customHeight="1">
      <c r="A444" s="65" t="str">
        <f>IFERROR(__xludf.DUMMYFUNCTION("""COMPUTED_VALUE"""),"Lê Lan Hương")</f>
        <v>Lê Lan Hương</v>
      </c>
      <c r="B444" s="66">
        <v>6.0</v>
      </c>
      <c r="C444" s="65" t="str">
        <f>IFERROR(__xludf.DUMMYFUNCTION("""COMPUTED_VALUE"""),"✅ ĐỦ HÀNG")</f>
        <v>✅ ĐỦ HÀNG</v>
      </c>
    </row>
    <row r="445" ht="22.5" customHeight="1">
      <c r="A445" s="65" t="str">
        <f>IFERROR(__xludf.DUMMYFUNCTION("""COMPUTED_VALUE"""),"Đinh Thị Cẩm Tú")</f>
        <v>Đinh Thị Cẩm Tú</v>
      </c>
      <c r="B445" s="66">
        <v>3.0</v>
      </c>
      <c r="C445" s="65" t="str">
        <f>IFERROR(__xludf.DUMMYFUNCTION("""COMPUTED_VALUE"""),"✅ ĐỦ HÀNG")</f>
        <v>✅ ĐỦ HÀNG</v>
      </c>
    </row>
    <row r="446" ht="22.5" customHeight="1">
      <c r="A446" s="65" t="str">
        <f>IFERROR(__xludf.DUMMYFUNCTION("""COMPUTED_VALUE"""),"Thu Thảo")</f>
        <v>Thu Thảo</v>
      </c>
      <c r="B446" s="66">
        <v>8.0</v>
      </c>
      <c r="C446" s="65" t="str">
        <f>IFERROR(__xludf.DUMMYFUNCTION("""COMPUTED_VALUE"""),"✅ ĐỦ HÀNG")</f>
        <v>✅ ĐỦ HÀNG</v>
      </c>
    </row>
    <row r="447" ht="22.5" customHeight="1">
      <c r="A447" s="65" t="str">
        <f>IFERROR(__xludf.DUMMYFUNCTION("""COMPUTED_VALUE"""),"Nguyen Vi")</f>
        <v>Nguyen Vi</v>
      </c>
      <c r="B447" s="66">
        <v>9.0</v>
      </c>
      <c r="C447" s="65" t="str">
        <f>IFERROR(__xludf.DUMMYFUNCTION("""COMPUTED_VALUE"""),"✅ ĐỦ HÀNG")</f>
        <v>✅ ĐỦ HÀNG</v>
      </c>
    </row>
    <row r="448" ht="22.5" customHeight="1">
      <c r="A448" s="65" t="str">
        <f>IFERROR(__xludf.DUMMYFUNCTION("""COMPUTED_VALUE"""),"Thư Minh Nguyễn")</f>
        <v>Thư Minh Nguyễn</v>
      </c>
      <c r="B448" s="66">
        <v>5.0</v>
      </c>
      <c r="C448" s="65" t="str">
        <f>IFERROR(__xludf.DUMMYFUNCTION("""COMPUTED_VALUE"""),"✅ ĐỦ HÀNG")</f>
        <v>✅ ĐỦ HÀNG</v>
      </c>
    </row>
    <row r="449" ht="22.5" customHeight="1">
      <c r="A449" s="65" t="str">
        <f>IFERROR(__xludf.DUMMYFUNCTION("""COMPUTED_VALUE"""),"Quỳnh Tú")</f>
        <v>Quỳnh Tú</v>
      </c>
      <c r="B449" s="66">
        <v>1.0</v>
      </c>
      <c r="C449" s="65" t="str">
        <f>IFERROR(__xludf.DUMMYFUNCTION("""COMPUTED_VALUE"""),"✅ ĐỦ HÀNG")</f>
        <v>✅ ĐỦ HÀNG</v>
      </c>
    </row>
    <row r="450" ht="22.5" customHeight="1">
      <c r="A450" s="65" t="str">
        <f>IFERROR(__xludf.DUMMYFUNCTION("""COMPUTED_VALUE"""),"Trần Tuyết")</f>
        <v>Trần Tuyết</v>
      </c>
      <c r="B450" s="66">
        <v>1.0</v>
      </c>
      <c r="C450" s="65" t="str">
        <f>IFERROR(__xludf.DUMMYFUNCTION("""COMPUTED_VALUE"""),"✅ ĐỦ HÀNG")</f>
        <v>✅ ĐỦ HÀNG</v>
      </c>
    </row>
    <row r="451" ht="22.5" customHeight="1">
      <c r="A451" s="65" t="str">
        <f>IFERROR(__xludf.DUMMYFUNCTION("""COMPUTED_VALUE"""),"Nưa Đỗ")</f>
        <v>Nưa Đỗ</v>
      </c>
      <c r="B451" s="66">
        <v>4.0</v>
      </c>
      <c r="C451" s="65" t="str">
        <f>IFERROR(__xludf.DUMMYFUNCTION("""COMPUTED_VALUE"""),"✅ ĐỦ HÀNG")</f>
        <v>✅ ĐỦ HÀNG</v>
      </c>
    </row>
    <row r="452" ht="22.5" customHeight="1">
      <c r="A452" s="65" t="str">
        <f>IFERROR(__xludf.DUMMYFUNCTION("""COMPUTED_VALUE"""),"Thanh Tam Tran")</f>
        <v>Thanh Tam Tran</v>
      </c>
      <c r="B452" s="66">
        <v>1.0</v>
      </c>
      <c r="C452" s="65" t="str">
        <f>IFERROR(__xludf.DUMMYFUNCTION("""COMPUTED_VALUE"""),"✅ ĐỦ HÀNG")</f>
        <v>✅ ĐỦ HÀNG</v>
      </c>
    </row>
    <row r="453" ht="22.5" customHeight="1">
      <c r="A453" s="65" t="str">
        <f>IFERROR(__xludf.DUMMYFUNCTION("""COMPUTED_VALUE"""),"Đào Bayby")</f>
        <v>Đào Bayby</v>
      </c>
      <c r="B453" s="66">
        <v>4.0</v>
      </c>
      <c r="C453" s="65" t="str">
        <f>IFERROR(__xludf.DUMMYFUNCTION("""COMPUTED_VALUE"""),"✅ ĐỦ HÀNG")</f>
        <v>✅ ĐỦ HÀNG</v>
      </c>
    </row>
    <row r="454" ht="22.5" customHeight="1">
      <c r="A454" s="65" t="str">
        <f>IFERROR(__xludf.DUMMYFUNCTION("""COMPUTED_VALUE"""),"Nana Purple")</f>
        <v>Nana Purple</v>
      </c>
      <c r="B454" s="66">
        <v>9.0</v>
      </c>
      <c r="C454" s="65" t="str">
        <f>IFERROR(__xludf.DUMMYFUNCTION("""COMPUTED_VALUE"""),"✅ ĐỦ HÀNG")</f>
        <v>✅ ĐỦ HÀNG</v>
      </c>
    </row>
    <row r="455" ht="22.5" customHeight="1">
      <c r="A455" s="65" t="str">
        <f>IFERROR(__xludf.DUMMYFUNCTION("""COMPUTED_VALUE"""),"Hằngg Ngaa")</f>
        <v>Hằngg Ngaa</v>
      </c>
      <c r="B455" s="66">
        <v>4.0</v>
      </c>
      <c r="C455" s="65" t="str">
        <f>IFERROR(__xludf.DUMMYFUNCTION("""COMPUTED_VALUE"""),"✅ ĐỦ HÀNG")</f>
        <v>✅ ĐỦ HÀNG</v>
      </c>
    </row>
    <row r="456" ht="22.5" customHeight="1">
      <c r="A456" s="65" t="str">
        <f>IFERROR(__xludf.DUMMYFUNCTION("""COMPUTED_VALUE"""),"Aaaa")</f>
        <v>Aaaa</v>
      </c>
      <c r="B456" s="66">
        <v>1.0</v>
      </c>
      <c r="C456" s="65" t="str">
        <f>IFERROR(__xludf.DUMMYFUNCTION("""COMPUTED_VALUE"""),"✅ ĐỦ HÀNG")</f>
        <v>✅ ĐỦ HÀNG</v>
      </c>
    </row>
    <row r="457" ht="22.5" customHeight="1">
      <c r="A457" s="65" t="str">
        <f>IFERROR(__xludf.DUMMYFUNCTION("""COMPUTED_VALUE"""),"Nguyễn Thị Thuỳ Trang")</f>
        <v>Nguyễn Thị Thuỳ Trang</v>
      </c>
      <c r="B457" s="66">
        <v>4.0</v>
      </c>
      <c r="C457" s="65" t="str">
        <f>IFERROR(__xludf.DUMMYFUNCTION("""COMPUTED_VALUE"""),"✅ ĐỦ HÀNG")</f>
        <v>✅ ĐỦ HÀNG</v>
      </c>
    </row>
    <row r="458" ht="22.5" customHeight="1">
      <c r="A458" s="65" t="str">
        <f>IFERROR(__xludf.DUMMYFUNCTION("""COMPUTED_VALUE"""),"Hà Thị Quỳnh")</f>
        <v>Hà Thị Quỳnh</v>
      </c>
      <c r="B458" s="66">
        <v>1.0</v>
      </c>
      <c r="C458" s="65" t="str">
        <f>IFERROR(__xludf.DUMMYFUNCTION("""COMPUTED_VALUE"""),"✅ ĐỦ HÀNG")</f>
        <v>✅ ĐỦ HÀNG</v>
      </c>
    </row>
    <row r="459" ht="22.5" customHeight="1">
      <c r="A459" s="65" t="str">
        <f>IFERROR(__xludf.DUMMYFUNCTION("""COMPUTED_VALUE"""),"Lê Yuu")</f>
        <v>Lê Yuu</v>
      </c>
      <c r="B459" s="66">
        <v>3.0</v>
      </c>
      <c r="C459" s="65" t="str">
        <f>IFERROR(__xludf.DUMMYFUNCTION("""COMPUTED_VALUE"""),"✅ ĐỦ HÀNG")</f>
        <v>✅ ĐỦ HÀNG</v>
      </c>
    </row>
    <row r="460" ht="22.5" customHeight="1">
      <c r="A460" s="65" t="str">
        <f>IFERROR(__xludf.DUMMYFUNCTION("""COMPUTED_VALUE"""),"Ngọc A-nh")</f>
        <v>Ngọc A-nh</v>
      </c>
      <c r="B460" s="66">
        <v>8.0</v>
      </c>
      <c r="C460" s="65" t="str">
        <f>IFERROR(__xludf.DUMMYFUNCTION("""COMPUTED_VALUE"""),"✅ ĐỦ HÀNG")</f>
        <v>✅ ĐỦ HÀNG</v>
      </c>
    </row>
    <row r="461" ht="22.5" customHeight="1">
      <c r="A461" s="65" t="str">
        <f>IFERROR(__xludf.DUMMYFUNCTION("""COMPUTED_VALUE"""),"Yumi Nguyễn")</f>
        <v>Yumi Nguyễn</v>
      </c>
      <c r="B461" s="66">
        <v>6.0</v>
      </c>
      <c r="C461" s="65" t="str">
        <f>IFERROR(__xludf.DUMMYFUNCTION("""COMPUTED_VALUE"""),"✅ ĐỦ HÀNG")</f>
        <v>✅ ĐỦ HÀNG</v>
      </c>
    </row>
    <row r="462" ht="22.5" customHeight="1">
      <c r="A462" s="65" t="str">
        <f>IFERROR(__xludf.DUMMYFUNCTION("""COMPUTED_VALUE"""),"Huyền Vương")</f>
        <v>Huyền Vương</v>
      </c>
      <c r="B462" s="66">
        <v>2.0</v>
      </c>
      <c r="C462" s="65" t="str">
        <f>IFERROR(__xludf.DUMMYFUNCTION("""COMPUTED_VALUE"""),"✅ ĐỦ HÀNG")</f>
        <v>✅ ĐỦ HÀNG</v>
      </c>
    </row>
    <row r="463" ht="22.5" customHeight="1">
      <c r="A463" s="65" t="str">
        <f>IFERROR(__xludf.DUMMYFUNCTION("""COMPUTED_VALUE"""),"Hảo Út")</f>
        <v>Hảo Út</v>
      </c>
      <c r="B463" s="66">
        <v>4.0</v>
      </c>
      <c r="C463" s="65" t="str">
        <f>IFERROR(__xludf.DUMMYFUNCTION("""COMPUTED_VALUE"""),"✅ ĐỦ HÀNG")</f>
        <v>✅ ĐỦ HÀNG</v>
      </c>
    </row>
    <row r="464" ht="22.5" customHeight="1">
      <c r="A464" s="65" t="str">
        <f>IFERROR(__xludf.DUMMYFUNCTION("""COMPUTED_VALUE"""),"Kim Yên")</f>
        <v>Kim Yên</v>
      </c>
      <c r="B464" s="66">
        <v>3.0</v>
      </c>
      <c r="C464" s="65" t="str">
        <f>IFERROR(__xludf.DUMMYFUNCTION("""COMPUTED_VALUE"""),"✅ ĐỦ HÀNG")</f>
        <v>✅ ĐỦ HÀNG</v>
      </c>
    </row>
    <row r="465" ht="22.5" customHeight="1">
      <c r="A465" s="65" t="str">
        <f>IFERROR(__xludf.DUMMYFUNCTION("""COMPUTED_VALUE"""),"Trâm Lêê")</f>
        <v>Trâm Lêê</v>
      </c>
      <c r="B465" s="66">
        <v>11.0</v>
      </c>
      <c r="C465" s="65" t="str">
        <f>IFERROR(__xludf.DUMMYFUNCTION("""COMPUTED_VALUE"""),"✅ ĐỦ HÀNG")</f>
        <v>✅ ĐỦ HÀNG</v>
      </c>
    </row>
    <row r="466" ht="22.5" customHeight="1">
      <c r="A466" s="65" t="str">
        <f>IFERROR(__xludf.DUMMYFUNCTION("""COMPUTED_VALUE"""),"Phạm Thị Hà Vi")</f>
        <v>Phạm Thị Hà Vi</v>
      </c>
      <c r="B466" s="66">
        <v>2.0</v>
      </c>
      <c r="C466" s="65" t="str">
        <f>IFERROR(__xludf.DUMMYFUNCTION("""COMPUTED_VALUE"""),"✅ ĐỦ HÀNG")</f>
        <v>✅ ĐỦ HÀNG</v>
      </c>
    </row>
    <row r="467" ht="22.5" customHeight="1">
      <c r="A467" s="65" t="str">
        <f>IFERROR(__xludf.DUMMYFUNCTION("""COMPUTED_VALUE"""),"Thu Hường")</f>
        <v>Thu Hường</v>
      </c>
      <c r="B467" s="66">
        <v>3.0</v>
      </c>
      <c r="C467" s="65" t="str">
        <f>IFERROR(__xludf.DUMMYFUNCTION("""COMPUTED_VALUE"""),"✅ ĐỦ HÀNG")</f>
        <v>✅ ĐỦ HÀNG</v>
      </c>
    </row>
    <row r="468" ht="22.5" customHeight="1">
      <c r="A468" s="65" t="str">
        <f>IFERROR(__xludf.DUMMYFUNCTION("""COMPUTED_VALUE"""),"テイ ハン ブ")</f>
        <v>テイ ハン ブ</v>
      </c>
      <c r="B468" s="66">
        <v>2.0</v>
      </c>
      <c r="C468" s="65" t="str">
        <f>IFERROR(__xludf.DUMMYFUNCTION("""COMPUTED_VALUE"""),"✅ ĐỦ HÀNG")</f>
        <v>✅ ĐỦ HÀNG</v>
      </c>
    </row>
    <row r="469" ht="22.5" customHeight="1">
      <c r="A469" s="65" t="str">
        <f>IFERROR(__xludf.DUMMYFUNCTION("""COMPUTED_VALUE"""),"Phạm Ngọc Trang")</f>
        <v>Phạm Ngọc Trang</v>
      </c>
      <c r="B469" s="66">
        <v>5.0</v>
      </c>
      <c r="C469" s="65" t="str">
        <f>IFERROR(__xludf.DUMMYFUNCTION("""COMPUTED_VALUE"""),"✅ ĐỦ HÀNG")</f>
        <v>✅ ĐỦ HÀNG</v>
      </c>
    </row>
    <row r="470" ht="22.5" customHeight="1">
      <c r="A470" s="65" t="str">
        <f>IFERROR(__xludf.DUMMYFUNCTION("""COMPUTED_VALUE"""),"Minh Cuc Vu")</f>
        <v>Minh Cuc Vu</v>
      </c>
      <c r="B470" s="66">
        <v>2.0</v>
      </c>
      <c r="C470" s="65" t="str">
        <f>IFERROR(__xludf.DUMMYFUNCTION("""COMPUTED_VALUE"""),"✅ ĐỦ HÀNG")</f>
        <v>✅ ĐỦ HÀNG</v>
      </c>
    </row>
    <row r="471" ht="22.5" customHeight="1">
      <c r="A471" s="65" t="str">
        <f>IFERROR(__xludf.DUMMYFUNCTION("""COMPUTED_VALUE"""),"Ngọc Bùi")</f>
        <v>Ngọc Bùi</v>
      </c>
      <c r="B471" s="66">
        <v>2.0</v>
      </c>
      <c r="C471" s="65" t="str">
        <f>IFERROR(__xludf.DUMMYFUNCTION("""COMPUTED_VALUE"""),"✅ ĐỦ HÀNG")</f>
        <v>✅ ĐỦ HÀNG</v>
      </c>
    </row>
    <row r="472" ht="22.5" customHeight="1">
      <c r="A472" s="65" t="str">
        <f>IFERROR(__xludf.DUMMYFUNCTION("""COMPUTED_VALUE"""),"Huyen Him")</f>
        <v>Huyen Him</v>
      </c>
      <c r="B472" s="66">
        <v>6.0</v>
      </c>
      <c r="C472" s="65" t="str">
        <f>IFERROR(__xludf.DUMMYFUNCTION("""COMPUTED_VALUE"""),"✅ ĐỦ HÀNG")</f>
        <v>✅ ĐỦ HÀNG</v>
      </c>
    </row>
    <row r="473" ht="22.5" customHeight="1">
      <c r="A473" s="65" t="str">
        <f>IFERROR(__xludf.DUMMYFUNCTION("""COMPUTED_VALUE"""),"Bông Bi")</f>
        <v>Bông Bi</v>
      </c>
      <c r="B473" s="66">
        <v>3.0</v>
      </c>
      <c r="C473" s="65" t="str">
        <f>IFERROR(__xludf.DUMMYFUNCTION("""COMPUTED_VALUE"""),"✅ ĐỦ HÀNG")</f>
        <v>✅ ĐỦ HÀNG</v>
      </c>
    </row>
    <row r="474" ht="22.5" customHeight="1">
      <c r="A474" s="65" t="str">
        <f>IFERROR(__xludf.DUMMYFUNCTION("""COMPUTED_VALUE"""),"HằnG Em")</f>
        <v>HằnG Em</v>
      </c>
      <c r="B474" s="66">
        <v>2.0</v>
      </c>
      <c r="C474" s="65" t="str">
        <f>IFERROR(__xludf.DUMMYFUNCTION("""COMPUTED_VALUE"""),"✅ ĐỦ HÀNG")</f>
        <v>✅ ĐỦ HÀNG</v>
      </c>
    </row>
    <row r="475" ht="22.5" customHeight="1">
      <c r="A475" s="65" t="str">
        <f>IFERROR(__xludf.DUMMYFUNCTION("""COMPUTED_VALUE"""),"Đào Thị Trà")</f>
        <v>Đào Thị Trà</v>
      </c>
      <c r="B475" s="66">
        <v>4.0</v>
      </c>
      <c r="C475" s="65" t="str">
        <f>IFERROR(__xludf.DUMMYFUNCTION("""COMPUTED_VALUE"""),"✅ ĐỦ HÀNG")</f>
        <v>✅ ĐỦ HÀNG</v>
      </c>
    </row>
    <row r="476" ht="22.5" customHeight="1">
      <c r="A476" s="65" t="str">
        <f>IFERROR(__xludf.DUMMYFUNCTION("""COMPUTED_VALUE"""),"Nguyễn Thị Tuyết Minh")</f>
        <v>Nguyễn Thị Tuyết Minh</v>
      </c>
      <c r="B476" s="66">
        <v>2.0</v>
      </c>
      <c r="C476" s="65" t="str">
        <f>IFERROR(__xludf.DUMMYFUNCTION("""COMPUTED_VALUE"""),"✅ ĐỦ HÀNG")</f>
        <v>✅ ĐỦ HÀNG</v>
      </c>
    </row>
    <row r="477" ht="22.5" customHeight="1">
      <c r="A477" s="65" t="str">
        <f>IFERROR(__xludf.DUMMYFUNCTION("""COMPUTED_VALUE"""),"Hoa Nana")</f>
        <v>Hoa Nana</v>
      </c>
      <c r="B477" s="66">
        <v>3.0</v>
      </c>
      <c r="C477" s="65" t="str">
        <f>IFERROR(__xludf.DUMMYFUNCTION("""COMPUTED_VALUE"""),"✅ ĐỦ HÀNG")</f>
        <v>✅ ĐỦ HÀNG</v>
      </c>
    </row>
    <row r="478" ht="22.5" customHeight="1">
      <c r="A478" s="65" t="str">
        <f>IFERROR(__xludf.DUMMYFUNCTION("""COMPUTED_VALUE"""),"Bình")</f>
        <v>Bình</v>
      </c>
      <c r="B478" s="66">
        <v>2.0</v>
      </c>
      <c r="C478" s="65" t="str">
        <f>IFERROR(__xludf.DUMMYFUNCTION("""COMPUTED_VALUE"""),"✅ ĐỦ HÀNG")</f>
        <v>✅ ĐỦ HÀNG</v>
      </c>
    </row>
    <row r="479" ht="22.5" customHeight="1">
      <c r="A479" s="65" t="str">
        <f>IFERROR(__xludf.DUMMYFUNCTION("""COMPUTED_VALUE"""),"Thoa Nguyen")</f>
        <v>Thoa Nguyen</v>
      </c>
      <c r="B479" s="66">
        <v>8.0</v>
      </c>
      <c r="C479" s="65" t="str">
        <f>IFERROR(__xludf.DUMMYFUNCTION("""COMPUTED_VALUE"""),"✅ ĐỦ HÀNG")</f>
        <v>✅ ĐỦ HÀNG</v>
      </c>
    </row>
    <row r="480" ht="22.5" customHeight="1">
      <c r="A480" s="65" t="str">
        <f>IFERROR(__xludf.DUMMYFUNCTION("""COMPUTED_VALUE"""),"Phấn Phạm")</f>
        <v>Phấn Phạm</v>
      </c>
      <c r="B480" s="66">
        <v>3.0</v>
      </c>
      <c r="C480" s="65" t="str">
        <f>IFERROR(__xludf.DUMMYFUNCTION("""COMPUTED_VALUE"""),"✅ ĐỦ HÀNG")</f>
        <v>✅ ĐỦ HÀNG</v>
      </c>
    </row>
    <row r="481" ht="22.5" customHeight="1">
      <c r="A481" s="65" t="str">
        <f>IFERROR(__xludf.DUMMYFUNCTION("""COMPUTED_VALUE"""),"Hường Miki")</f>
        <v>Hường Miki</v>
      </c>
      <c r="B481" s="66">
        <v>8.0</v>
      </c>
      <c r="C481" s="65" t="str">
        <f>IFERROR(__xludf.DUMMYFUNCTION("""COMPUTED_VALUE"""),"✅ ĐỦ HÀNG")</f>
        <v>✅ ĐỦ HÀNG</v>
      </c>
    </row>
    <row r="482" ht="22.5" customHeight="1">
      <c r="A482" s="65" t="str">
        <f>IFERROR(__xludf.DUMMYFUNCTION("""COMPUTED_VALUE"""),"NT Ngọc Mai")</f>
        <v>NT Ngọc Mai</v>
      </c>
      <c r="B482" s="66">
        <v>2.0</v>
      </c>
      <c r="C482" s="65" t="str">
        <f>IFERROR(__xludf.DUMMYFUNCTION("""COMPUTED_VALUE"""),"✅ ĐỦ HÀNG")</f>
        <v>✅ ĐỦ HÀNG</v>
      </c>
    </row>
    <row r="483" ht="22.5" customHeight="1">
      <c r="A483" s="65" t="str">
        <f>IFERROR(__xludf.DUMMYFUNCTION("""COMPUTED_VALUE"""),"Nguyễn Thị Mai Vinh")</f>
        <v>Nguyễn Thị Mai Vinh</v>
      </c>
      <c r="B483" s="66">
        <v>6.0</v>
      </c>
      <c r="C483" s="65" t="str">
        <f>IFERROR(__xludf.DUMMYFUNCTION("""COMPUTED_VALUE"""),"✅ ĐỦ HÀNG")</f>
        <v>✅ ĐỦ HÀNG</v>
      </c>
    </row>
    <row r="484" ht="22.5" customHeight="1">
      <c r="A484" s="65" t="str">
        <f>IFERROR(__xludf.DUMMYFUNCTION("""COMPUTED_VALUE"""),"Linh Trang")</f>
        <v>Linh Trang</v>
      </c>
      <c r="B484" s="66">
        <v>2.0</v>
      </c>
      <c r="C484" s="65" t="str">
        <f>IFERROR(__xludf.DUMMYFUNCTION("""COMPUTED_VALUE"""),"✅ ĐỦ HÀNG")</f>
        <v>✅ ĐỦ HÀNG</v>
      </c>
    </row>
    <row r="485" ht="22.5" customHeight="1">
      <c r="A485" s="65" t="str">
        <f>IFERROR(__xludf.DUMMYFUNCTION("""COMPUTED_VALUE"""),"Phạm Hương Lan")</f>
        <v>Phạm Hương Lan</v>
      </c>
      <c r="B485" s="66">
        <v>4.0</v>
      </c>
      <c r="C485" s="65" t="str">
        <f>IFERROR(__xludf.DUMMYFUNCTION("""COMPUTED_VALUE"""),"✅ ĐỦ HÀNG")</f>
        <v>✅ ĐỦ HÀNG</v>
      </c>
    </row>
    <row r="486" ht="22.5" customHeight="1">
      <c r="A486" s="65" t="str">
        <f>IFERROR(__xludf.DUMMYFUNCTION("""COMPUTED_VALUE"""),"Quynh Quynh")</f>
        <v>Quynh Quynh</v>
      </c>
      <c r="B486" s="66">
        <v>10.0</v>
      </c>
      <c r="C486" s="65" t="str">
        <f>IFERROR(__xludf.DUMMYFUNCTION("""COMPUTED_VALUE"""),"✅ ĐỦ HÀNG")</f>
        <v>✅ ĐỦ HÀNG</v>
      </c>
    </row>
    <row r="487" ht="22.5" customHeight="1">
      <c r="A487" s="65" t="str">
        <f>IFERROR(__xludf.DUMMYFUNCTION("""COMPUTED_VALUE"""),"Đào Thị Tring")</f>
        <v>Đào Thị Tring</v>
      </c>
      <c r="B487" s="66">
        <v>6.0</v>
      </c>
      <c r="C487" s="65" t="str">
        <f>IFERROR(__xludf.DUMMYFUNCTION("""COMPUTED_VALUE"""),"✅ ĐỦ HÀNG")</f>
        <v>✅ ĐỦ HÀNG</v>
      </c>
    </row>
    <row r="488" ht="22.5" customHeight="1">
      <c r="A488" s="65" t="str">
        <f>IFERROR(__xludf.DUMMYFUNCTION("""COMPUTED_VALUE"""),"Đàm Chinh")</f>
        <v>Đàm Chinh</v>
      </c>
      <c r="B488" s="66">
        <v>4.0</v>
      </c>
      <c r="C488" s="65" t="str">
        <f>IFERROR(__xludf.DUMMYFUNCTION("""COMPUTED_VALUE"""),"✅ ĐỦ HÀNG")</f>
        <v>✅ ĐỦ HÀNG</v>
      </c>
    </row>
    <row r="489" ht="22.5" customHeight="1">
      <c r="A489" s="65" t="str">
        <f>IFERROR(__xludf.DUMMYFUNCTION("""COMPUTED_VALUE"""),"Nga Dương")</f>
        <v>Nga Dương</v>
      </c>
      <c r="B489" s="66">
        <v>2.0</v>
      </c>
      <c r="C489" s="65" t="str">
        <f>IFERROR(__xludf.DUMMYFUNCTION("""COMPUTED_VALUE"""),"✅ ĐỦ HÀNG")</f>
        <v>✅ ĐỦ HÀNG</v>
      </c>
    </row>
    <row r="490" ht="22.5" customHeight="1">
      <c r="A490" s="65" t="str">
        <f>IFERROR(__xludf.DUMMYFUNCTION("""COMPUTED_VALUE"""),"Anna Nguyen Ly")</f>
        <v>Anna Nguyen Ly</v>
      </c>
      <c r="B490" s="66">
        <v>5.0</v>
      </c>
      <c r="C490" s="65" t="str">
        <f>IFERROR(__xludf.DUMMYFUNCTION("""COMPUTED_VALUE"""),"✅ ĐỦ HÀNG")</f>
        <v>✅ ĐỦ HÀNG</v>
      </c>
    </row>
    <row r="491" ht="22.5" customHeight="1">
      <c r="A491" s="65" t="str">
        <f>IFERROR(__xludf.DUMMYFUNCTION("""COMPUTED_VALUE"""),"Lưu Thị Thanh Thuỷ")</f>
        <v>Lưu Thị Thanh Thuỷ</v>
      </c>
      <c r="B491" s="66">
        <v>4.0</v>
      </c>
      <c r="C491" s="65" t="str">
        <f>IFERROR(__xludf.DUMMYFUNCTION("""COMPUTED_VALUE"""),"✅ ĐỦ HÀNG")</f>
        <v>✅ ĐỦ HÀNG</v>
      </c>
    </row>
    <row r="492" ht="22.5" customHeight="1">
      <c r="A492" s="65" t="str">
        <f>IFERROR(__xludf.DUMMYFUNCTION("""COMPUTED_VALUE"""),"Ngọc Mai")</f>
        <v>Ngọc Mai</v>
      </c>
      <c r="B492" s="66">
        <v>4.0</v>
      </c>
      <c r="C492" s="65" t="str">
        <f>IFERROR(__xludf.DUMMYFUNCTION("""COMPUTED_VALUE"""),"✅ ĐỦ HÀNG")</f>
        <v>✅ ĐỦ HÀNG</v>
      </c>
    </row>
    <row r="493" ht="22.5" customHeight="1">
      <c r="A493" s="65" t="str">
        <f>IFERROR(__xludf.DUMMYFUNCTION("""COMPUTED_VALUE"""),"Hậu Đậu")</f>
        <v>Hậu Đậu</v>
      </c>
      <c r="B493" s="66">
        <v>3.0</v>
      </c>
      <c r="C493" s="65" t="str">
        <f>IFERROR(__xludf.DUMMYFUNCTION("""COMPUTED_VALUE"""),"✅ ĐỦ HÀNG")</f>
        <v>✅ ĐỦ HÀNG</v>
      </c>
    </row>
    <row r="494" ht="22.5" customHeight="1">
      <c r="A494" s="65" t="str">
        <f>IFERROR(__xludf.DUMMYFUNCTION("""COMPUTED_VALUE"""),"Nắng Hạ")</f>
        <v>Nắng Hạ</v>
      </c>
      <c r="B494" s="66">
        <v>4.0</v>
      </c>
      <c r="C494" s="65" t="str">
        <f>IFERROR(__xludf.DUMMYFUNCTION("""COMPUTED_VALUE"""),"✅ ĐỦ HÀNG")</f>
        <v>✅ ĐỦ HÀNG</v>
      </c>
    </row>
    <row r="495" ht="22.5" customHeight="1">
      <c r="A495" s="65" t="str">
        <f>IFERROR(__xludf.DUMMYFUNCTION("""COMPUTED_VALUE"""),"Thương")</f>
        <v>Thương</v>
      </c>
      <c r="B495" s="66">
        <v>8.0</v>
      </c>
      <c r="C495" s="65" t="str">
        <f>IFERROR(__xludf.DUMMYFUNCTION("""COMPUTED_VALUE"""),"✅ ĐỦ HÀNG")</f>
        <v>✅ ĐỦ HÀNG</v>
      </c>
    </row>
    <row r="496" ht="22.5" customHeight="1">
      <c r="A496" s="65" t="str">
        <f>IFERROR(__xludf.DUMMYFUNCTION("""COMPUTED_VALUE"""),"Dương Trà My")</f>
        <v>Dương Trà My</v>
      </c>
      <c r="B496" s="66">
        <v>8.0</v>
      </c>
      <c r="C496" s="65" t="str">
        <f>IFERROR(__xludf.DUMMYFUNCTION("""COMPUTED_VALUE"""),"✅ ĐỦ HÀNG")</f>
        <v>✅ ĐỦ HÀNG</v>
      </c>
    </row>
    <row r="497" ht="22.5" customHeight="1">
      <c r="A497" s="65" t="str">
        <f>IFERROR(__xludf.DUMMYFUNCTION("""COMPUTED_VALUE"""),"Oanh Nguyễn")</f>
        <v>Oanh Nguyễn</v>
      </c>
      <c r="B497" s="66">
        <v>1.0</v>
      </c>
      <c r="C497" s="65" t="str">
        <f>IFERROR(__xludf.DUMMYFUNCTION("""COMPUTED_VALUE"""),"✅ ĐỦ HÀNG")</f>
        <v>✅ ĐỦ HÀNG</v>
      </c>
    </row>
    <row r="498" ht="22.5" customHeight="1">
      <c r="A498" s="65" t="str">
        <f>IFERROR(__xludf.DUMMYFUNCTION("""COMPUTED_VALUE"""),"Phạm Mỹ Hạnh")</f>
        <v>Phạm Mỹ Hạnh</v>
      </c>
      <c r="B498" s="66">
        <v>1.0</v>
      </c>
      <c r="C498" s="65" t="str">
        <f>IFERROR(__xludf.DUMMYFUNCTION("""COMPUTED_VALUE"""),"✅ ĐỦ HÀNG")</f>
        <v>✅ ĐỦ HÀNG</v>
      </c>
    </row>
    <row r="499" ht="22.5" customHeight="1">
      <c r="A499" s="65" t="str">
        <f>IFERROR(__xludf.DUMMYFUNCTION("""COMPUTED_VALUE"""),"Thu Trang Nguyễn Thị")</f>
        <v>Thu Trang Nguyễn Thị</v>
      </c>
      <c r="B499" s="66">
        <v>2.0</v>
      </c>
      <c r="C499" s="65" t="str">
        <f>IFERROR(__xludf.DUMMYFUNCTION("""COMPUTED_VALUE"""),"✅ ĐỦ HÀNG")</f>
        <v>✅ ĐỦ HÀNG</v>
      </c>
    </row>
    <row r="500" ht="22.5" customHeight="1">
      <c r="A500" s="65" t="str">
        <f>IFERROR(__xludf.DUMMYFUNCTION("""COMPUTED_VALUE"""),"Nguyễn Hà")</f>
        <v>Nguyễn Hà</v>
      </c>
      <c r="B500" s="66">
        <v>1.0</v>
      </c>
      <c r="C500" s="65" t="str">
        <f>IFERROR(__xludf.DUMMYFUNCTION("""COMPUTED_VALUE"""),"✅ ĐỦ HÀNG")</f>
        <v>✅ ĐỦ HÀNG</v>
      </c>
    </row>
    <row r="501" ht="22.5" customHeight="1">
      <c r="A501" s="65" t="str">
        <f>IFERROR(__xludf.DUMMYFUNCTION("""COMPUTED_VALUE"""),"Nguyễn Thảo")</f>
        <v>Nguyễn Thảo</v>
      </c>
      <c r="B501" s="66">
        <v>3.0</v>
      </c>
      <c r="C501" s="65" t="str">
        <f>IFERROR(__xludf.DUMMYFUNCTION("""COMPUTED_VALUE"""),"✅ ĐỦ HÀNG")</f>
        <v>✅ ĐỦ HÀNG</v>
      </c>
    </row>
    <row r="502" ht="22.5" customHeight="1">
      <c r="A502" s="65" t="str">
        <f>IFERROR(__xludf.DUMMYFUNCTION("""COMPUTED_VALUE"""),"Thuý VT")</f>
        <v>Thuý VT</v>
      </c>
      <c r="B502" s="66">
        <v>1.0</v>
      </c>
      <c r="C502" s="65" t="str">
        <f>IFERROR(__xludf.DUMMYFUNCTION("""COMPUTED_VALUE"""),"✅ ĐỦ HÀNG")</f>
        <v>✅ ĐỦ HÀNG</v>
      </c>
    </row>
    <row r="503" ht="22.5" customHeight="1">
      <c r="A503" s="65" t="str">
        <f>IFERROR(__xludf.DUMMYFUNCTION("""COMPUTED_VALUE"""),"Trinh Dathao")</f>
        <v>Trinh Dathao</v>
      </c>
      <c r="B503" s="66">
        <v>3.0</v>
      </c>
      <c r="C503" s="65" t="str">
        <f>IFERROR(__xludf.DUMMYFUNCTION("""COMPUTED_VALUE"""),"✅ ĐỦ HÀNG")</f>
        <v>✅ ĐỦ HÀNG</v>
      </c>
    </row>
    <row r="504" ht="22.5" customHeight="1">
      <c r="A504" s="65" t="str">
        <f>IFERROR(__xludf.DUMMYFUNCTION("""COMPUTED_VALUE"""),"Thuong Hoai Nguyen")</f>
        <v>Thuong Hoai Nguyen</v>
      </c>
      <c r="B504" s="66">
        <v>1.0</v>
      </c>
      <c r="C504" s="65" t="str">
        <f>IFERROR(__xludf.DUMMYFUNCTION("""COMPUTED_VALUE"""),"✅ ĐỦ HÀNG")</f>
        <v>✅ ĐỦ HÀNG</v>
      </c>
    </row>
    <row r="505" ht="22.5" customHeight="1">
      <c r="A505" s="65" t="str">
        <f>IFERROR(__xludf.DUMMYFUNCTION("""COMPUTED_VALUE"""),"Nguyễn Diệu")</f>
        <v>Nguyễn Diệu</v>
      </c>
      <c r="B505" s="66">
        <v>6.0</v>
      </c>
      <c r="C505" s="65" t="str">
        <f>IFERROR(__xludf.DUMMYFUNCTION("""COMPUTED_VALUE"""),"✅ ĐỦ HÀNG")</f>
        <v>✅ ĐỦ HÀNG</v>
      </c>
    </row>
    <row r="506" ht="22.5" customHeight="1">
      <c r="A506" s="65" t="str">
        <f>IFERROR(__xludf.DUMMYFUNCTION("""COMPUTED_VALUE"""),"Thuy Thuỷ1")</f>
        <v>Thuy Thuỷ1</v>
      </c>
      <c r="B506" s="66">
        <v>1.0</v>
      </c>
      <c r="C506" s="65" t="str">
        <f>IFERROR(__xludf.DUMMYFUNCTION("""COMPUTED_VALUE"""),"✅ ĐỦ HÀNG")</f>
        <v>✅ ĐỦ HÀNG</v>
      </c>
    </row>
    <row r="507" ht="22.5" customHeight="1">
      <c r="A507" s="65" t="str">
        <f>IFERROR(__xludf.DUMMYFUNCTION("""COMPUTED_VALUE"""),"Hiền Hiền")</f>
        <v>Hiền Hiền</v>
      </c>
      <c r="B507" s="66">
        <v>1.0</v>
      </c>
      <c r="C507" s="65" t="str">
        <f>IFERROR(__xludf.DUMMYFUNCTION("""COMPUTED_VALUE"""),"✅ ĐỦ HÀNG")</f>
        <v>✅ ĐỦ HÀNG</v>
      </c>
    </row>
    <row r="508" ht="22.5" customHeight="1">
      <c r="A508" s="65" t="str">
        <f>IFERROR(__xludf.DUMMYFUNCTION("""COMPUTED_VALUE"""),"Bùi Linh Chi")</f>
        <v>Bùi Linh Chi</v>
      </c>
      <c r="B508" s="66">
        <v>4.0</v>
      </c>
      <c r="C508" s="65" t="str">
        <f>IFERROR(__xludf.DUMMYFUNCTION("""COMPUTED_VALUE"""),"✅ ĐỦ HÀNG")</f>
        <v>✅ ĐỦ HÀNG</v>
      </c>
    </row>
    <row r="509" ht="22.5" customHeight="1">
      <c r="A509" s="65" t="str">
        <f>IFERROR(__xludf.DUMMYFUNCTION("""COMPUTED_VALUE"""),"Do Ngoc Uyen")</f>
        <v>Do Ngoc Uyen</v>
      </c>
      <c r="B509" s="66">
        <v>1.0</v>
      </c>
      <c r="C509" s="65" t="str">
        <f>IFERROR(__xludf.DUMMYFUNCTION("""COMPUTED_VALUE"""),"✅ ĐỦ HÀNG")</f>
        <v>✅ ĐỦ HÀNG</v>
      </c>
    </row>
    <row r="510" ht="22.5" customHeight="1">
      <c r="A510" s="65" t="str">
        <f>IFERROR(__xludf.DUMMYFUNCTION("""COMPUTED_VALUE"""),"Trang Bae")</f>
        <v>Trang Bae</v>
      </c>
      <c r="B510" s="66">
        <v>1.0</v>
      </c>
      <c r="C510" s="65" t="str">
        <f>IFERROR(__xludf.DUMMYFUNCTION("""COMPUTED_VALUE"""),"✅ ĐỦ HÀNG")</f>
        <v>✅ ĐỦ HÀNG</v>
      </c>
    </row>
    <row r="511" ht="22.5" customHeight="1">
      <c r="A511" s="65" t="str">
        <f>IFERROR(__xludf.DUMMYFUNCTION("""COMPUTED_VALUE"""),"Đặng Thu Phương")</f>
        <v>Đặng Thu Phương</v>
      </c>
      <c r="B511" s="66">
        <v>10.0</v>
      </c>
      <c r="C511" s="65" t="str">
        <f>IFERROR(__xludf.DUMMYFUNCTION("""COMPUTED_VALUE"""),"✅ ĐỦ HÀNG")</f>
        <v>✅ ĐỦ HÀNG</v>
      </c>
    </row>
    <row r="512" ht="22.5" customHeight="1">
      <c r="A512" s="65" t="str">
        <f>IFERROR(__xludf.DUMMYFUNCTION("""COMPUTED_VALUE"""),"Thái Thị Hằng")</f>
        <v>Thái Thị Hằng</v>
      </c>
      <c r="B512" s="66">
        <v>1.0</v>
      </c>
      <c r="C512" s="65" t="str">
        <f>IFERROR(__xludf.DUMMYFUNCTION("""COMPUTED_VALUE"""),"✅ ĐỦ HÀNG")</f>
        <v>✅ ĐỦ HÀNG</v>
      </c>
    </row>
    <row r="513" ht="22.5" customHeight="1">
      <c r="A513" s="65" t="str">
        <f>IFERROR(__xludf.DUMMYFUNCTION("""COMPUTED_VALUE"""),"Hong Tram Ho")</f>
        <v>Hong Tram Ho</v>
      </c>
      <c r="B513" s="66">
        <v>2.0</v>
      </c>
      <c r="C513" s="65" t="str">
        <f>IFERROR(__xludf.DUMMYFUNCTION("""COMPUTED_VALUE"""),"✅ ĐỦ HÀNG")</f>
        <v>✅ ĐỦ HÀNG</v>
      </c>
    </row>
    <row r="514" ht="22.5" customHeight="1">
      <c r="A514" s="65" t="str">
        <f>IFERROR(__xludf.DUMMYFUNCTION("""COMPUTED_VALUE"""),"Phùng Linh Chi")</f>
        <v>Phùng Linh Chi</v>
      </c>
      <c r="B514" s="66">
        <v>6.0</v>
      </c>
      <c r="C514" s="65" t="str">
        <f>IFERROR(__xludf.DUMMYFUNCTION("""COMPUTED_VALUE"""),"✅ ĐỦ HÀNG")</f>
        <v>✅ ĐỦ HÀNG</v>
      </c>
    </row>
    <row r="515" ht="22.5" customHeight="1">
      <c r="A515" s="65" t="str">
        <f>IFERROR(__xludf.DUMMYFUNCTION("""COMPUTED_VALUE"""),"Trần Thắm")</f>
        <v>Trần Thắm</v>
      </c>
      <c r="B515" s="66">
        <v>1.0</v>
      </c>
      <c r="C515" s="65" t="str">
        <f>IFERROR(__xludf.DUMMYFUNCTION("""COMPUTED_VALUE"""),"✅ ĐỦ HÀNG")</f>
        <v>✅ ĐỦ HÀNG</v>
      </c>
    </row>
    <row r="516" ht="22.5" customHeight="1">
      <c r="A516" s="65" t="str">
        <f>IFERROR(__xludf.DUMMYFUNCTION("""COMPUTED_VALUE"""),"Hương Aki")</f>
        <v>Hương Aki</v>
      </c>
      <c r="B516" s="66">
        <v>2.0</v>
      </c>
      <c r="C516" s="65" t="str">
        <f>IFERROR(__xludf.DUMMYFUNCTION("""COMPUTED_VALUE"""),"✅ ĐỦ HÀNG")</f>
        <v>✅ ĐỦ HÀNG</v>
      </c>
    </row>
    <row r="517" ht="22.5" customHeight="1">
      <c r="A517" s="65" t="str">
        <f>IFERROR(__xludf.DUMMYFUNCTION("""COMPUTED_VALUE"""),"Ng Thị Hảo")</f>
        <v>Ng Thị Hảo</v>
      </c>
      <c r="B517" s="66">
        <v>1.0</v>
      </c>
      <c r="C517" s="65" t="str">
        <f>IFERROR(__xludf.DUMMYFUNCTION("""COMPUTED_VALUE"""),"✅ ĐỦ HÀNG")</f>
        <v>✅ ĐỦ HÀNG</v>
      </c>
    </row>
    <row r="518" ht="22.5" customHeight="1">
      <c r="A518" s="65" t="str">
        <f>IFERROR(__xludf.DUMMYFUNCTION("""COMPUTED_VALUE"""),"Hạ Long")</f>
        <v>Hạ Long</v>
      </c>
      <c r="B518" s="66">
        <v>2.0</v>
      </c>
      <c r="C518" s="65" t="str">
        <f>IFERROR(__xludf.DUMMYFUNCTION("""COMPUTED_VALUE"""),"✅ ĐỦ HÀNG")</f>
        <v>✅ ĐỦ HÀNG</v>
      </c>
    </row>
    <row r="519" ht="22.5" customHeight="1">
      <c r="A519" s="65" t="str">
        <f>IFERROR(__xludf.DUMMYFUNCTION("""COMPUTED_VALUE"""),"Trần Tú Nga")</f>
        <v>Trần Tú Nga</v>
      </c>
      <c r="B519" s="66">
        <v>15.0</v>
      </c>
      <c r="C519" s="65" t="str">
        <f>IFERROR(__xludf.DUMMYFUNCTION("""COMPUTED_VALUE"""),"✅ ĐỦ HÀNG")</f>
        <v>✅ ĐỦ HÀNG</v>
      </c>
    </row>
    <row r="520" ht="22.5" customHeight="1">
      <c r="A520" s="65" t="str">
        <f>IFERROR(__xludf.DUMMYFUNCTION("""COMPUTED_VALUE"""),"Thanh Thuỷ")</f>
        <v>Thanh Thuỷ</v>
      </c>
      <c r="B520" s="66">
        <v>4.0</v>
      </c>
      <c r="C520" s="65" t="str">
        <f>IFERROR(__xludf.DUMMYFUNCTION("""COMPUTED_VALUE"""),"✅ ĐỦ HÀNG")</f>
        <v>✅ ĐỦ HÀNG</v>
      </c>
    </row>
    <row r="521" ht="22.5" customHeight="1">
      <c r="A521" s="65" t="str">
        <f>IFERROR(__xludf.DUMMYFUNCTION("""COMPUTED_VALUE"""),"Nguyễn Thị Ngọc Mai")</f>
        <v>Nguyễn Thị Ngọc Mai</v>
      </c>
      <c r="B521" s="66">
        <v>2.0</v>
      </c>
      <c r="C521" s="65" t="str">
        <f>IFERROR(__xludf.DUMMYFUNCTION("""COMPUTED_VALUE"""),"✅ ĐỦ HÀNG")</f>
        <v>✅ ĐỦ HÀNG</v>
      </c>
    </row>
    <row r="522" ht="22.5" customHeight="1">
      <c r="A522" s="65" t="str">
        <f>IFERROR(__xludf.DUMMYFUNCTION("""COMPUTED_VALUE"""),"Tô Thuỳ Linh")</f>
        <v>Tô Thuỳ Linh</v>
      </c>
      <c r="B522" s="66">
        <v>1.0</v>
      </c>
      <c r="C522" s="65" t="str">
        <f>IFERROR(__xludf.DUMMYFUNCTION("""COMPUTED_VALUE"""),"✅ ĐỦ HÀNG")</f>
        <v>✅ ĐỦ HÀNG</v>
      </c>
    </row>
    <row r="523" ht="22.5" customHeight="1">
      <c r="A523" s="65" t="str">
        <f>IFERROR(__xludf.DUMMYFUNCTION("""COMPUTED_VALUE"""),"Hoàng Ái Nhung")</f>
        <v>Hoàng Ái Nhung</v>
      </c>
      <c r="B523" s="66">
        <v>1.0</v>
      </c>
      <c r="C523" s="65" t="str">
        <f>IFERROR(__xludf.DUMMYFUNCTION("""COMPUTED_VALUE"""),"✅ ĐỦ HÀNG")</f>
        <v>✅ ĐỦ HÀNG</v>
      </c>
    </row>
    <row r="524" ht="22.5" customHeight="1">
      <c r="A524" s="65" t="str">
        <f>IFERROR(__xludf.DUMMYFUNCTION("""COMPUTED_VALUE"""),"Trần Toại Mỹ")</f>
        <v>Trần Toại Mỹ</v>
      </c>
      <c r="B524" s="66">
        <v>7.0</v>
      </c>
      <c r="C524" s="65" t="str">
        <f>IFERROR(__xludf.DUMMYFUNCTION("""COMPUTED_VALUE"""),"✅ ĐỦ HÀNG")</f>
        <v>✅ ĐỦ HÀNG</v>
      </c>
    </row>
    <row r="525" ht="22.5" customHeight="1">
      <c r="A525" s="65" t="str">
        <f>IFERROR(__xludf.DUMMYFUNCTION("""COMPUTED_VALUE"""),"Hoàng Thu Hiền")</f>
        <v>Hoàng Thu Hiền</v>
      </c>
      <c r="B525" s="66">
        <v>7.0</v>
      </c>
      <c r="C525" s="65" t="str">
        <f>IFERROR(__xludf.DUMMYFUNCTION("""COMPUTED_VALUE"""),"✅ ĐỦ HÀNG")</f>
        <v>✅ ĐỦ HÀNG</v>
      </c>
    </row>
    <row r="526" ht="22.5" customHeight="1">
      <c r="A526" s="65" t="str">
        <f>IFERROR(__xludf.DUMMYFUNCTION("""COMPUTED_VALUE"""),"Hoàng Thu Hằng")</f>
        <v>Hoàng Thu Hằng</v>
      </c>
      <c r="B526" s="66">
        <v>4.0</v>
      </c>
      <c r="C526" s="65" t="str">
        <f>IFERROR(__xludf.DUMMYFUNCTION("""COMPUTED_VALUE"""),"✅ ĐỦ HÀNG")</f>
        <v>✅ ĐỦ HÀNG</v>
      </c>
    </row>
    <row r="527" ht="22.5" customHeight="1">
      <c r="A527" s="65" t="str">
        <f>IFERROR(__xludf.DUMMYFUNCTION("""COMPUTED_VALUE"""),"Bảo Châm")</f>
        <v>Bảo Châm</v>
      </c>
      <c r="B527" s="66">
        <v>1.0</v>
      </c>
      <c r="C527" s="65" t="str">
        <f>IFERROR(__xludf.DUMMYFUNCTION("""COMPUTED_VALUE"""),"✅ ĐỦ HÀNG")</f>
        <v>✅ ĐỦ HÀNG</v>
      </c>
    </row>
    <row r="528" ht="22.5" customHeight="1">
      <c r="A528" s="65" t="str">
        <f>IFERROR(__xludf.DUMMYFUNCTION("""COMPUTED_VALUE"""),"Minh Tâm")</f>
        <v>Minh Tâm</v>
      </c>
      <c r="B528" s="66">
        <v>6.0</v>
      </c>
      <c r="C528" s="65" t="str">
        <f>IFERROR(__xludf.DUMMYFUNCTION("""COMPUTED_VALUE"""),"✅ ĐỦ HÀNG")</f>
        <v>✅ ĐỦ HÀNG</v>
      </c>
    </row>
    <row r="529" ht="22.5" customHeight="1">
      <c r="A529" s="65" t="str">
        <f>IFERROR(__xludf.DUMMYFUNCTION("""COMPUTED_VALUE"""),"Dương Thuỷ")</f>
        <v>Dương Thuỷ</v>
      </c>
      <c r="B529" s="66">
        <v>1.0</v>
      </c>
      <c r="C529" s="65" t="str">
        <f>IFERROR(__xludf.DUMMYFUNCTION("""COMPUTED_VALUE"""),"✅ ĐỦ HÀNG")</f>
        <v>✅ ĐỦ HÀNG</v>
      </c>
    </row>
    <row r="530" ht="22.5" customHeight="1">
      <c r="A530" s="65" t="str">
        <f>IFERROR(__xludf.DUMMYFUNCTION("""COMPUTED_VALUE"""),"Bùi Hằng")</f>
        <v>Bùi Hằng</v>
      </c>
      <c r="B530" s="66">
        <v>6.0</v>
      </c>
      <c r="C530" s="65" t="str">
        <f>IFERROR(__xludf.DUMMYFUNCTION("""COMPUTED_VALUE"""),"✅ ĐỦ HÀNG")</f>
        <v>✅ ĐỦ HÀNG</v>
      </c>
    </row>
    <row r="531" ht="22.5" customHeight="1">
      <c r="A531" s="65" t="str">
        <f>IFERROR(__xludf.DUMMYFUNCTION("""COMPUTED_VALUE"""),"Hường Linh")</f>
        <v>Hường Linh</v>
      </c>
      <c r="B531" s="66">
        <v>4.0</v>
      </c>
      <c r="C531" s="65" t="str">
        <f>IFERROR(__xludf.DUMMYFUNCTION("""COMPUTED_VALUE"""),"✅ ĐỦ HÀNG")</f>
        <v>✅ ĐỦ HÀNG</v>
      </c>
    </row>
    <row r="532" ht="22.5" customHeight="1">
      <c r="A532" s="65" t="str">
        <f>IFERROR(__xludf.DUMMYFUNCTION("""COMPUTED_VALUE"""),"Gà Đenn")</f>
        <v>Gà Đenn</v>
      </c>
      <c r="B532" s="66">
        <v>4.0</v>
      </c>
      <c r="C532" s="65" t="str">
        <f>IFERROR(__xludf.DUMMYFUNCTION("""COMPUTED_VALUE"""),"✅ ĐỦ HÀNG")</f>
        <v>✅ ĐỦ HÀNG</v>
      </c>
    </row>
    <row r="533" ht="22.5" customHeight="1">
      <c r="A533" s="65" t="str">
        <f>IFERROR(__xludf.DUMMYFUNCTION("""COMPUTED_VALUE"""),"Lê Thị Tuyết Minh")</f>
        <v>Lê Thị Tuyết Minh</v>
      </c>
      <c r="B533" s="66">
        <v>2.0</v>
      </c>
      <c r="C533" s="65" t="str">
        <f>IFERROR(__xludf.DUMMYFUNCTION("""COMPUTED_VALUE"""),"✅ ĐỦ HÀNG")</f>
        <v>✅ ĐỦ HÀNG</v>
      </c>
    </row>
    <row r="534" ht="22.5" customHeight="1">
      <c r="A534" s="65" t="str">
        <f>IFERROR(__xludf.DUMMYFUNCTION("""COMPUTED_VALUE"""),"VO Thị Kim Oanh")</f>
        <v>VO Thị Kim Oanh</v>
      </c>
      <c r="B534" s="66">
        <v>2.0</v>
      </c>
      <c r="C534" s="65" t="str">
        <f>IFERROR(__xludf.DUMMYFUNCTION("""COMPUTED_VALUE"""),"✅ ĐỦ HÀNG")</f>
        <v>✅ ĐỦ HÀNG</v>
      </c>
    </row>
    <row r="535" ht="22.5" customHeight="1">
      <c r="A535" s="65" t="str">
        <f>IFERROR(__xludf.DUMMYFUNCTION("""COMPUTED_VALUE"""),"Ngoc Bich")</f>
        <v>Ngoc Bich</v>
      </c>
      <c r="B535" s="66">
        <v>3.0</v>
      </c>
      <c r="C535" s="65" t="str">
        <f>IFERROR(__xludf.DUMMYFUNCTION("""COMPUTED_VALUE"""),"✅ ĐỦ HÀNG")</f>
        <v>✅ ĐỦ HÀNG</v>
      </c>
    </row>
    <row r="536" ht="22.5" customHeight="1">
      <c r="A536" s="65" t="str">
        <f>IFERROR(__xludf.DUMMYFUNCTION("""COMPUTED_VALUE"""),"Tu Cam")</f>
        <v>Tu Cam</v>
      </c>
      <c r="B536" s="66">
        <v>7.0</v>
      </c>
      <c r="C536" s="65" t="str">
        <f>IFERROR(__xludf.DUMMYFUNCTION("""COMPUTED_VALUE"""),"✅ ĐỦ HÀNG")</f>
        <v>✅ ĐỦ HÀNG</v>
      </c>
    </row>
    <row r="537" ht="22.5" customHeight="1">
      <c r="A537" s="65" t="str">
        <f>IFERROR(__xludf.DUMMYFUNCTION("""COMPUTED_VALUE"""),"Phan Thị Ngọc Mai")</f>
        <v>Phan Thị Ngọc Mai</v>
      </c>
      <c r="B537" s="66">
        <v>4.0</v>
      </c>
      <c r="C537" s="65" t="str">
        <f>IFERROR(__xludf.DUMMYFUNCTION("""COMPUTED_VALUE"""),"✅ ĐỦ HÀNG")</f>
        <v>✅ ĐỦ HÀNG</v>
      </c>
    </row>
    <row r="538" ht="22.5" customHeight="1">
      <c r="A538" s="65" t="str">
        <f>IFERROR(__xludf.DUMMYFUNCTION("""COMPUTED_VALUE"""),"Hong Lili")</f>
        <v>Hong Lili</v>
      </c>
      <c r="B538" s="66">
        <v>9.0</v>
      </c>
      <c r="C538" s="65" t="str">
        <f>IFERROR(__xludf.DUMMYFUNCTION("""COMPUTED_VALUE"""),"✅ ĐỦ HÀNG")</f>
        <v>✅ ĐỦ HÀNG</v>
      </c>
    </row>
    <row r="539" ht="22.5" customHeight="1">
      <c r="A539" s="65" t="str">
        <f>IFERROR(__xludf.DUMMYFUNCTION("""COMPUTED_VALUE"""),"Trang Tran")</f>
        <v>Trang Tran</v>
      </c>
      <c r="B539" s="66">
        <v>2.0</v>
      </c>
      <c r="C539" s="65" t="str">
        <f>IFERROR(__xludf.DUMMYFUNCTION("""COMPUTED_VALUE"""),"✅ ĐỦ HÀNG")</f>
        <v>✅ ĐỦ HÀNG</v>
      </c>
    </row>
    <row r="540" ht="22.5" customHeight="1">
      <c r="A540" s="65" t="str">
        <f>IFERROR(__xludf.DUMMYFUNCTION("""COMPUTED_VALUE"""),"Sinh Nguyen")</f>
        <v>Sinh Nguyen</v>
      </c>
      <c r="B540" s="66">
        <v>4.0</v>
      </c>
      <c r="C540" s="65" t="str">
        <f>IFERROR(__xludf.DUMMYFUNCTION("""COMPUTED_VALUE"""),"✅ ĐỦ HÀNG")</f>
        <v>✅ ĐỦ HÀNG</v>
      </c>
    </row>
    <row r="541" ht="22.5" customHeight="1">
      <c r="A541" s="65" t="str">
        <f>IFERROR(__xludf.DUMMYFUNCTION("""COMPUTED_VALUE"""),"Thu Hiền ")</f>
        <v>Thu Hiền </v>
      </c>
      <c r="B541" s="66">
        <v>1.0</v>
      </c>
      <c r="C541" s="65" t="str">
        <f>IFERROR(__xludf.DUMMYFUNCTION("""COMPUTED_VALUE"""),"✅ ĐỦ HÀNG")</f>
        <v>✅ ĐỦ HÀNG</v>
      </c>
    </row>
    <row r="542" ht="22.5" customHeight="1">
      <c r="A542" s="65" t="str">
        <f>IFERROR(__xludf.DUMMYFUNCTION("""COMPUTED_VALUE"""),"Hoang Linh")</f>
        <v>Hoang Linh</v>
      </c>
      <c r="B542" s="66">
        <v>1.0</v>
      </c>
      <c r="C542" s="65" t="str">
        <f>IFERROR(__xludf.DUMMYFUNCTION("""COMPUTED_VALUE"""),"✅ ĐỦ HÀNG")</f>
        <v>✅ ĐỦ HÀNG</v>
      </c>
    </row>
    <row r="543" ht="22.5" customHeight="1">
      <c r="A543" s="65" t="str">
        <f>IFERROR(__xludf.DUMMYFUNCTION("""COMPUTED_VALUE"""),"Nguyen Thi Soan")</f>
        <v>Nguyen Thi Soan</v>
      </c>
      <c r="B543" s="66">
        <v>1.0</v>
      </c>
      <c r="C543" s="65" t="str">
        <f>IFERROR(__xludf.DUMMYFUNCTION("""COMPUTED_VALUE"""),"✅ ĐỦ HÀNG")</f>
        <v>✅ ĐỦ HÀNG</v>
      </c>
    </row>
    <row r="544" ht="22.5" customHeight="1">
      <c r="A544" s="65" t="str">
        <f>IFERROR(__xludf.DUMMYFUNCTION("""COMPUTED_VALUE"""),"Nhung Hip")</f>
        <v>Nhung Hip</v>
      </c>
      <c r="B544" s="66">
        <v>1.0</v>
      </c>
      <c r="C544" s="65" t="str">
        <f>IFERROR(__xludf.DUMMYFUNCTION("""COMPUTED_VALUE"""),"✅ ĐỦ HÀNG")</f>
        <v>✅ ĐỦ HÀNG</v>
      </c>
    </row>
    <row r="545" ht="22.5" customHeight="1">
      <c r="A545" s="65" t="str">
        <f>IFERROR(__xludf.DUMMYFUNCTION("""COMPUTED_VALUE"""),"Ngoc A-nh")</f>
        <v>Ngoc A-nh</v>
      </c>
      <c r="B545" s="66">
        <v>5.0</v>
      </c>
      <c r="C545" s="65" t="str">
        <f>IFERROR(__xludf.DUMMYFUNCTION("""COMPUTED_VALUE"""),"✅ ĐỦ HÀNG")</f>
        <v>✅ ĐỦ HÀNG</v>
      </c>
    </row>
    <row r="546" ht="22.5" customHeight="1">
      <c r="A546" s="65" t="str">
        <f>IFERROR(__xludf.DUMMYFUNCTION("""COMPUTED_VALUE"""),"Hoai Y")</f>
        <v>Hoai Y</v>
      </c>
      <c r="B546" s="66">
        <v>1.0</v>
      </c>
      <c r="C546" s="65" t="str">
        <f>IFERROR(__xludf.DUMMYFUNCTION("""COMPUTED_VALUE"""),"✅ ĐỦ HÀNG")</f>
        <v>✅ ĐỦ HÀNG</v>
      </c>
    </row>
    <row r="547" ht="22.5" customHeight="1">
      <c r="A547" s="65" t="str">
        <f>IFERROR(__xludf.DUMMYFUNCTION("""COMPUTED_VALUE"""),"Thao Tina")</f>
        <v>Thao Tina</v>
      </c>
      <c r="B547" s="66">
        <v>9.0</v>
      </c>
      <c r="C547" s="65" t="str">
        <f>IFERROR(__xludf.DUMMYFUNCTION("""COMPUTED_VALUE"""),"✅ ĐỦ HÀNG")</f>
        <v>✅ ĐỦ HÀNG</v>
      </c>
    </row>
    <row r="548" ht="22.5" customHeight="1">
      <c r="A548" s="65" t="str">
        <f>IFERROR(__xludf.DUMMYFUNCTION("""COMPUTED_VALUE"""),"Phạm Thị Huyền")</f>
        <v>Phạm Thị Huyền</v>
      </c>
      <c r="B548" s="66">
        <v>1.0</v>
      </c>
      <c r="C548" s="65" t="str">
        <f>IFERROR(__xludf.DUMMYFUNCTION("""COMPUTED_VALUE"""),"✅ ĐỦ HÀNG")</f>
        <v>✅ ĐỦ HÀNG</v>
      </c>
    </row>
    <row r="549" ht="22.5" customHeight="1">
      <c r="A549" s="65" t="str">
        <f>IFERROR(__xludf.DUMMYFUNCTION("""COMPUTED_VALUE"""),"Lê Phương Lan")</f>
        <v>Lê Phương Lan</v>
      </c>
      <c r="B549" s="66">
        <v>4.0</v>
      </c>
      <c r="C549" s="65" t="str">
        <f>IFERROR(__xludf.DUMMYFUNCTION("""COMPUTED_VALUE"""),"✅ ĐỦ HÀNG")</f>
        <v>✅ ĐỦ HÀNG</v>
      </c>
    </row>
    <row r="550" ht="22.5" customHeight="1">
      <c r="A550" s="65" t="str">
        <f>IFERROR(__xludf.DUMMYFUNCTION("""COMPUTED_VALUE"""),"Lê Hà Thu")</f>
        <v>Lê Hà Thu</v>
      </c>
      <c r="B550" s="66">
        <v>2.0</v>
      </c>
      <c r="C550" s="65" t="str">
        <f>IFERROR(__xludf.DUMMYFUNCTION("""COMPUTED_VALUE"""),"✅ ĐỦ HÀNG")</f>
        <v>✅ ĐỦ HÀNG</v>
      </c>
    </row>
    <row r="551" ht="22.5" customHeight="1">
      <c r="A551" s="65" t="str">
        <f>IFERROR(__xludf.DUMMYFUNCTION("""COMPUTED_VALUE"""),"Huệ")</f>
        <v>Huệ</v>
      </c>
      <c r="B551" s="66">
        <v>2.0</v>
      </c>
      <c r="C551" s="65" t="str">
        <f>IFERROR(__xludf.DUMMYFUNCTION("""COMPUTED_VALUE"""),"✅ ĐỦ HÀNG")</f>
        <v>✅ ĐỦ HÀNG</v>
      </c>
    </row>
    <row r="552" ht="22.5" customHeight="1">
      <c r="A552" s="65" t="str">
        <f>IFERROR(__xludf.DUMMYFUNCTION("""COMPUTED_VALUE"""),"Linh Tây")</f>
        <v>Linh Tây</v>
      </c>
      <c r="B552" s="66">
        <v>2.0</v>
      </c>
      <c r="C552" s="65" t="str">
        <f>IFERROR(__xludf.DUMMYFUNCTION("""COMPUTED_VALUE"""),"✅ ĐỦ HÀNG")</f>
        <v>✅ ĐỦ HÀNG</v>
      </c>
    </row>
    <row r="553" ht="22.5" customHeight="1">
      <c r="A553" s="65" t="str">
        <f>IFERROR(__xludf.DUMMYFUNCTION("""COMPUTED_VALUE"""),"Tiên Thuỷ")</f>
        <v>Tiên Thuỷ</v>
      </c>
      <c r="B553" s="66">
        <v>7.0</v>
      </c>
      <c r="C553" s="65" t="str">
        <f>IFERROR(__xludf.DUMMYFUNCTION("""COMPUTED_VALUE"""),"✅ ĐỦ HÀNG")</f>
        <v>✅ ĐỦ HÀNG</v>
      </c>
    </row>
    <row r="554" ht="22.5" customHeight="1">
      <c r="A554" s="65" t="str">
        <f>IFERROR(__xludf.DUMMYFUNCTION("""COMPUTED_VALUE"""),"Nhỏ Em")</f>
        <v>Nhỏ Em</v>
      </c>
      <c r="B554" s="66">
        <v>1.0</v>
      </c>
      <c r="C554" s="65" t="str">
        <f>IFERROR(__xludf.DUMMYFUNCTION("""COMPUTED_VALUE"""),"✅ ĐỦ HÀNG")</f>
        <v>✅ ĐỦ HÀNG</v>
      </c>
    </row>
    <row r="555" ht="22.5" customHeight="1">
      <c r="A555" s="65" t="str">
        <f>IFERROR(__xludf.DUMMYFUNCTION("""COMPUTED_VALUE"""),"Linh Em")</f>
        <v>Linh Em</v>
      </c>
      <c r="B555" s="66">
        <v>2.0</v>
      </c>
      <c r="C555" s="65" t="str">
        <f>IFERROR(__xludf.DUMMYFUNCTION("""COMPUTED_VALUE"""),"✅ ĐỦ HÀNG")</f>
        <v>✅ ĐỦ HÀNG</v>
      </c>
    </row>
    <row r="556" ht="22.5" customHeight="1">
      <c r="A556" s="65" t="str">
        <f>IFERROR(__xludf.DUMMYFUNCTION("""COMPUTED_VALUE"""),"Quỳnh Ng")</f>
        <v>Quỳnh Ng</v>
      </c>
      <c r="B556" s="66">
        <v>1.0</v>
      </c>
      <c r="C556" s="65" t="str">
        <f>IFERROR(__xludf.DUMMYFUNCTION("""COMPUTED_VALUE"""),"✅ ĐỦ HÀNG")</f>
        <v>✅ ĐỦ HÀNG</v>
      </c>
    </row>
    <row r="557" ht="22.5" customHeight="1">
      <c r="A557" s="65" t="str">
        <f>IFERROR(__xludf.DUMMYFUNCTION("""COMPUTED_VALUE"""),"Vũ Thuỳ Linh")</f>
        <v>Vũ Thuỳ Linh</v>
      </c>
      <c r="B557" s="66">
        <v>1.0</v>
      </c>
      <c r="C557" s="65" t="str">
        <f>IFERROR(__xludf.DUMMYFUNCTION("""COMPUTED_VALUE"""),"✅ ĐỦ HÀNG")</f>
        <v>✅ ĐỦ HÀNG</v>
      </c>
    </row>
    <row r="558" ht="22.5" customHeight="1">
      <c r="A558" s="65" t="str">
        <f>IFERROR(__xludf.DUMMYFUNCTION("""COMPUTED_VALUE"""),"Hậu Mạo")</f>
        <v>Hậu Mạo</v>
      </c>
      <c r="B558" s="66">
        <v>3.0</v>
      </c>
      <c r="C558" s="65" t="str">
        <f>IFERROR(__xludf.DUMMYFUNCTION("""COMPUTED_VALUE"""),"✅ ĐỦ HÀNG")</f>
        <v>✅ ĐỦ HÀNG</v>
      </c>
    </row>
    <row r="559" ht="22.5" customHeight="1">
      <c r="A559" s="65" t="str">
        <f>IFERROR(__xludf.DUMMYFUNCTION("""COMPUTED_VALUE"""),"Ng My")</f>
        <v>Ng My</v>
      </c>
      <c r="B559" s="66">
        <v>5.0</v>
      </c>
      <c r="C559" s="65" t="str">
        <f>IFERROR(__xludf.DUMMYFUNCTION("""COMPUTED_VALUE"""),"✅ ĐỦ HÀNG")</f>
        <v>✅ ĐỦ HÀNG</v>
      </c>
    </row>
    <row r="560" ht="22.5" customHeight="1">
      <c r="A560" s="65" t="str">
        <f>IFERROR(__xludf.DUMMYFUNCTION("""COMPUTED_VALUE"""),"THu Hiền")</f>
        <v>THu Hiền</v>
      </c>
      <c r="B560" s="66">
        <v>6.0</v>
      </c>
      <c r="C560" s="65" t="str">
        <f>IFERROR(__xludf.DUMMYFUNCTION("""COMPUTED_VALUE"""),"✅ ĐỦ HÀNG")</f>
        <v>✅ ĐỦ HÀNG</v>
      </c>
    </row>
    <row r="561" ht="22.5" customHeight="1">
      <c r="A561" s="65" t="str">
        <f>IFERROR(__xludf.DUMMYFUNCTION("""COMPUTED_VALUE"""),"Huỳnh Vũ Minh Tâm")</f>
        <v>Huỳnh Vũ Minh Tâm</v>
      </c>
      <c r="B561" s="66">
        <v>2.0</v>
      </c>
      <c r="C561" s="65" t="str">
        <f>IFERROR(__xludf.DUMMYFUNCTION("""COMPUTED_VALUE"""),"✅ ĐỦ HÀNG")</f>
        <v>✅ ĐỦ HÀNG</v>
      </c>
    </row>
    <row r="562" ht="22.5" customHeight="1">
      <c r="A562" s="65" t="str">
        <f>IFERROR(__xludf.DUMMYFUNCTION("""COMPUTED_VALUE"""),"Ngoc Billy")</f>
        <v>Ngoc Billy</v>
      </c>
      <c r="B562" s="66">
        <v>5.0</v>
      </c>
      <c r="C562" s="65" t="str">
        <f>IFERROR(__xludf.DUMMYFUNCTION("""COMPUTED_VALUE"""),"✅ ĐỦ HÀNG")</f>
        <v>✅ ĐỦ HÀNG</v>
      </c>
    </row>
    <row r="563" ht="22.5" customHeight="1">
      <c r="A563" s="65" t="str">
        <f>IFERROR(__xludf.DUMMYFUNCTION("""COMPUTED_VALUE"""),"He Nhung")</f>
        <v>He Nhung</v>
      </c>
      <c r="B563" s="66">
        <v>2.0</v>
      </c>
      <c r="C563" s="65" t="str">
        <f>IFERROR(__xludf.DUMMYFUNCTION("""COMPUTED_VALUE"""),"✅ ĐỦ HÀNG")</f>
        <v>✅ ĐỦ HÀNG</v>
      </c>
    </row>
    <row r="564" ht="22.5" customHeight="1">
      <c r="A564" s="65" t="str">
        <f>IFERROR(__xludf.DUMMYFUNCTION("""COMPUTED_VALUE"""),"Phương Tuyền")</f>
        <v>Phương Tuyền</v>
      </c>
      <c r="B564" s="66">
        <v>2.0</v>
      </c>
      <c r="C564" s="65" t="str">
        <f>IFERROR(__xludf.DUMMYFUNCTION("""COMPUTED_VALUE"""),"✅ ĐỦ HÀNG")</f>
        <v>✅ ĐỦ HÀNG</v>
      </c>
    </row>
    <row r="565" ht="22.5" customHeight="1">
      <c r="A565" s="65" t="str">
        <f>IFERROR(__xludf.DUMMYFUNCTION("""COMPUTED_VALUE"""),"Huyền Đỗ")</f>
        <v>Huyền Đỗ</v>
      </c>
      <c r="B565" s="66">
        <v>5.0</v>
      </c>
      <c r="C565" s="65" t="str">
        <f>IFERROR(__xludf.DUMMYFUNCTION("""COMPUTED_VALUE"""),"✅ ĐỦ HÀNG")</f>
        <v>✅ ĐỦ HÀNG</v>
      </c>
    </row>
    <row r="566" ht="22.5" customHeight="1">
      <c r="A566" s="65" t="str">
        <f>IFERROR(__xludf.DUMMYFUNCTION("""COMPUTED_VALUE"""),"Mỹ Ngânn")</f>
        <v>Mỹ Ngânn</v>
      </c>
      <c r="B566" s="66">
        <v>6.0</v>
      </c>
      <c r="C566" s="65" t="str">
        <f>IFERROR(__xludf.DUMMYFUNCTION("""COMPUTED_VALUE"""),"✅ ĐỦ HÀNG")</f>
        <v>✅ ĐỦ HÀNG</v>
      </c>
    </row>
    <row r="567" ht="22.5" customHeight="1">
      <c r="A567" s="65" t="str">
        <f>IFERROR(__xludf.DUMMYFUNCTION("""COMPUTED_VALUE"""),"Đoàn Thị Lan")</f>
        <v>Đoàn Thị Lan</v>
      </c>
      <c r="B567" s="66">
        <v>2.0</v>
      </c>
      <c r="C567" s="65" t="str">
        <f>IFERROR(__xludf.DUMMYFUNCTION("""COMPUTED_VALUE"""),"✅ ĐỦ HÀNG")</f>
        <v>✅ ĐỦ HÀNG</v>
      </c>
    </row>
    <row r="568" ht="22.5" customHeight="1">
      <c r="A568" s="65" t="str">
        <f>IFERROR(__xludf.DUMMYFUNCTION("""COMPUTED_VALUE"""),"Hoàng Thanh Nhàn")</f>
        <v>Hoàng Thanh Nhàn</v>
      </c>
      <c r="B568" s="66">
        <v>3.0</v>
      </c>
      <c r="C568" s="65" t="str">
        <f>IFERROR(__xludf.DUMMYFUNCTION("""COMPUTED_VALUE"""),"✅ ĐỦ HÀNG")</f>
        <v>✅ ĐỦ HÀNG</v>
      </c>
    </row>
    <row r="569" ht="22.5" customHeight="1">
      <c r="A569" s="65" t="str">
        <f>IFERROR(__xludf.DUMMYFUNCTION("""COMPUTED_VALUE"""),"Khanh Hoang")</f>
        <v>Khanh Hoang</v>
      </c>
      <c r="B569" s="66">
        <v>2.0</v>
      </c>
      <c r="C569" s="65" t="str">
        <f>IFERROR(__xludf.DUMMYFUNCTION("""COMPUTED_VALUE"""),"✅ ĐỦ HÀNG")</f>
        <v>✅ ĐỦ HÀNG</v>
      </c>
    </row>
    <row r="570" ht="22.5" customHeight="1">
      <c r="A570" s="65" t="str">
        <f>IFERROR(__xludf.DUMMYFUNCTION("""COMPUTED_VALUE"""),"Lâm Trang")</f>
        <v>Lâm Trang</v>
      </c>
      <c r="B570" s="66">
        <v>2.0</v>
      </c>
      <c r="C570" s="65" t="str">
        <f>IFERROR(__xludf.DUMMYFUNCTION("""COMPUTED_VALUE"""),"✅ ĐỦ HÀNG")</f>
        <v>✅ ĐỦ HÀNG</v>
      </c>
    </row>
    <row r="571" ht="22.5" customHeight="1">
      <c r="A571" s="65" t="str">
        <f>IFERROR(__xludf.DUMMYFUNCTION("""COMPUTED_VALUE"""),"Tiểu Di")</f>
        <v>Tiểu Di</v>
      </c>
      <c r="B571" s="66">
        <v>8.0</v>
      </c>
      <c r="C571" s="65" t="str">
        <f>IFERROR(__xludf.DUMMYFUNCTION("""COMPUTED_VALUE"""),"✅ ĐỦ HÀNG")</f>
        <v>✅ ĐỦ HÀNG</v>
      </c>
    </row>
    <row r="572" ht="22.5" customHeight="1">
      <c r="A572" s="65" t="str">
        <f>IFERROR(__xludf.DUMMYFUNCTION("""COMPUTED_VALUE"""),"Mai Hana")</f>
        <v>Mai Hana</v>
      </c>
      <c r="B572" s="66">
        <v>1.0</v>
      </c>
      <c r="C572" s="65" t="str">
        <f>IFERROR(__xludf.DUMMYFUNCTION("""COMPUTED_VALUE"""),"✅ ĐỦ HÀNG")</f>
        <v>✅ ĐỦ HÀNG</v>
      </c>
    </row>
    <row r="573" ht="22.5" customHeight="1">
      <c r="A573" s="65" t="str">
        <f>IFERROR(__xludf.DUMMYFUNCTION("""COMPUTED_VALUE"""),"Trần Bảo Ngọc Trang")</f>
        <v>Trần Bảo Ngọc Trang</v>
      </c>
      <c r="B573" s="66">
        <v>7.0</v>
      </c>
      <c r="C573" s="65" t="str">
        <f>IFERROR(__xludf.DUMMYFUNCTION("""COMPUTED_VALUE"""),"✅ ĐỦ HÀNG")</f>
        <v>✅ ĐỦ HÀNG</v>
      </c>
    </row>
    <row r="574" ht="22.5" customHeight="1">
      <c r="A574" s="65" t="str">
        <f>IFERROR(__xludf.DUMMYFUNCTION("""COMPUTED_VALUE"""),"Huệ Subii")</f>
        <v>Huệ Subii</v>
      </c>
      <c r="B574" s="66">
        <v>3.0</v>
      </c>
      <c r="C574" s="65" t="str">
        <f>IFERROR(__xludf.DUMMYFUNCTION("""COMPUTED_VALUE"""),"✅ ĐỦ HÀNG")</f>
        <v>✅ ĐỦ HÀNG</v>
      </c>
    </row>
    <row r="575" ht="22.5" customHeight="1">
      <c r="A575" s="65" t="str">
        <f>IFERROR(__xludf.DUMMYFUNCTION("""COMPUTED_VALUE"""),"Dao Thi Quyen")</f>
        <v>Dao Thi Quyen</v>
      </c>
      <c r="B575" s="66">
        <v>2.0</v>
      </c>
      <c r="C575" s="65" t="str">
        <f>IFERROR(__xludf.DUMMYFUNCTION("""COMPUTED_VALUE"""),"✅ ĐỦ HÀNG")</f>
        <v>✅ ĐỦ HÀNG</v>
      </c>
    </row>
    <row r="576" ht="22.5" customHeight="1">
      <c r="A576" s="65" t="str">
        <f>IFERROR(__xludf.DUMMYFUNCTION("""COMPUTED_VALUE"""),"Vũ Thuỳ Ngân")</f>
        <v>Vũ Thuỳ Ngân</v>
      </c>
      <c r="B576" s="66">
        <v>1.0</v>
      </c>
      <c r="C576" s="65" t="str">
        <f>IFERROR(__xludf.DUMMYFUNCTION("""COMPUTED_VALUE"""),"✅ ĐỦ HÀNG")</f>
        <v>✅ ĐỦ HÀNG</v>
      </c>
    </row>
    <row r="577" ht="22.5" customHeight="1">
      <c r="A577" s="65" t="str">
        <f>IFERROR(__xludf.DUMMYFUNCTION("""COMPUTED_VALUE"""),"Bắp Thuỳ Dương")</f>
        <v>Bắp Thuỳ Dương</v>
      </c>
      <c r="B577" s="66">
        <v>6.0</v>
      </c>
      <c r="C577" s="65" t="str">
        <f>IFERROR(__xludf.DUMMYFUNCTION("""COMPUTED_VALUE"""),"✅ ĐỦ HÀNG")</f>
        <v>✅ ĐỦ HÀNG</v>
      </c>
    </row>
    <row r="578" ht="22.5" customHeight="1">
      <c r="A578" s="65" t="str">
        <f>IFERROR(__xludf.DUMMYFUNCTION("""COMPUTED_VALUE"""),"Nguyen Giang")</f>
        <v>Nguyen Giang</v>
      </c>
      <c r="B578" s="66">
        <v>2.0</v>
      </c>
      <c r="C578" s="65" t="str">
        <f>IFERROR(__xludf.DUMMYFUNCTION("""COMPUTED_VALUE"""),"✅ ĐỦ HÀNG")</f>
        <v>✅ ĐỦ HÀNG</v>
      </c>
    </row>
    <row r="579" ht="22.5" customHeight="1">
      <c r="A579" s="65" t="str">
        <f>IFERROR(__xludf.DUMMYFUNCTION("""COMPUTED_VALUE"""),"Nguyễn Ánh Quyên")</f>
        <v>Nguyễn Ánh Quyên</v>
      </c>
      <c r="B579" s="66">
        <v>3.0</v>
      </c>
      <c r="C579" s="65" t="str">
        <f>IFERROR(__xludf.DUMMYFUNCTION("""COMPUTED_VALUE"""),"✅ ĐỦ HÀNG")</f>
        <v>✅ ĐỦ HÀNG</v>
      </c>
    </row>
    <row r="580" ht="22.5" customHeight="1">
      <c r="A580" s="65" t="str">
        <f>IFERROR(__xludf.DUMMYFUNCTION("""COMPUTED_VALUE"""),"Nguyễn Lê Xuân Quỳnh")</f>
        <v>Nguyễn Lê Xuân Quỳnh</v>
      </c>
      <c r="B580" s="66">
        <v>2.0</v>
      </c>
      <c r="C580" s="65" t="str">
        <f>IFERROR(__xludf.DUMMYFUNCTION("""COMPUTED_VALUE"""),"✅ ĐỦ HÀNG")</f>
        <v>✅ ĐỦ HÀNG</v>
      </c>
    </row>
    <row r="581" ht="22.5" customHeight="1">
      <c r="A581" s="65" t="str">
        <f>IFERROR(__xludf.DUMMYFUNCTION("""COMPUTED_VALUE"""),"Trần Thanh Thuý")</f>
        <v>Trần Thanh Thuý</v>
      </c>
      <c r="B581" s="66">
        <v>2.0</v>
      </c>
      <c r="C581" s="65" t="str">
        <f>IFERROR(__xludf.DUMMYFUNCTION("""COMPUTED_VALUE"""),"✅ ĐỦ HÀNG")</f>
        <v>✅ ĐỦ HÀNG</v>
      </c>
    </row>
    <row r="582" ht="22.5" customHeight="1">
      <c r="A582" s="65" t="str">
        <f>IFERROR(__xludf.DUMMYFUNCTION("""COMPUTED_VALUE"""),"Nguyễn Linh1")</f>
        <v>Nguyễn Linh1</v>
      </c>
      <c r="B582" s="66">
        <v>2.0</v>
      </c>
      <c r="C582" s="65" t="str">
        <f>IFERROR(__xludf.DUMMYFUNCTION("""COMPUTED_VALUE"""),"✅ ĐỦ HÀNG")</f>
        <v>✅ ĐỦ HÀNG</v>
      </c>
    </row>
    <row r="583" ht="22.5" customHeight="1">
      <c r="A583" s="65" t="str">
        <f>IFERROR(__xludf.DUMMYFUNCTION("""COMPUTED_VALUE"""),"Nhỏ Hin")</f>
        <v>Nhỏ Hin</v>
      </c>
      <c r="B583" s="66">
        <v>4.0</v>
      </c>
      <c r="C583" s="65" t="str">
        <f>IFERROR(__xludf.DUMMYFUNCTION("""COMPUTED_VALUE"""),"✅ ĐỦ HÀNG")</f>
        <v>✅ ĐỦ HÀNG</v>
      </c>
    </row>
    <row r="584" ht="22.5" customHeight="1">
      <c r="A584" s="65" t="str">
        <f>IFERROR(__xludf.DUMMYFUNCTION("""COMPUTED_VALUE"""),"Mi Lo")</f>
        <v>Mi Lo</v>
      </c>
      <c r="B584" s="66">
        <v>2.0</v>
      </c>
      <c r="C584" s="65" t="str">
        <f>IFERROR(__xludf.DUMMYFUNCTION("""COMPUTED_VALUE"""),"✅ ĐỦ HÀNG")</f>
        <v>✅ ĐỦ HÀNG</v>
      </c>
    </row>
    <row r="585" ht="22.5" customHeight="1">
      <c r="A585" s="65" t="str">
        <f>IFERROR(__xludf.DUMMYFUNCTION("""COMPUTED_VALUE"""),"Kiểu Nè")</f>
        <v>Kiểu Nè</v>
      </c>
      <c r="B585" s="66">
        <v>2.0</v>
      </c>
      <c r="C585" s="65" t="str">
        <f>IFERROR(__xludf.DUMMYFUNCTION("""COMPUTED_VALUE"""),"✅ ĐỦ HÀNG")</f>
        <v>✅ ĐỦ HÀNG</v>
      </c>
    </row>
    <row r="586" ht="22.5" customHeight="1">
      <c r="A586" s="65" t="str">
        <f>IFERROR(__xludf.DUMMYFUNCTION("""COMPUTED_VALUE"""),"Trương Ánh Tuyết")</f>
        <v>Trương Ánh Tuyết</v>
      </c>
      <c r="B586" s="66">
        <v>8.0</v>
      </c>
      <c r="C586" s="65" t="str">
        <f>IFERROR(__xludf.DUMMYFUNCTION("""COMPUTED_VALUE"""),"✅ ĐỦ HÀNG")</f>
        <v>✅ ĐỦ HÀNG</v>
      </c>
    </row>
    <row r="587" ht="22.5" customHeight="1">
      <c r="A587" s="65" t="str">
        <f>IFERROR(__xludf.DUMMYFUNCTION("""COMPUTED_VALUE"""),"Kiều Huyền")</f>
        <v>Kiều Huyền</v>
      </c>
      <c r="B587" s="66">
        <v>1.0</v>
      </c>
      <c r="C587" s="65" t="str">
        <f>IFERROR(__xludf.DUMMYFUNCTION("""COMPUTED_VALUE"""),"✅ ĐỦ HÀNG")</f>
        <v>✅ ĐỦ HÀNG</v>
      </c>
    </row>
    <row r="588" ht="22.5" customHeight="1">
      <c r="A588" s="65" t="str">
        <f>IFERROR(__xludf.DUMMYFUNCTION("""COMPUTED_VALUE"""),"Kẹo Bông")</f>
        <v>Kẹo Bông</v>
      </c>
      <c r="B588" s="66">
        <v>2.0</v>
      </c>
      <c r="C588" s="65" t="str">
        <f>IFERROR(__xludf.DUMMYFUNCTION("""COMPUTED_VALUE"""),"✅ ĐỦ HÀNG")</f>
        <v>✅ ĐỦ HÀNG</v>
      </c>
    </row>
    <row r="589" ht="22.5" customHeight="1">
      <c r="A589" s="65" t="str">
        <f>IFERROR(__xludf.DUMMYFUNCTION("""COMPUTED_VALUE"""),"Trà My")</f>
        <v>Trà My</v>
      </c>
      <c r="B589" s="66">
        <v>8.0</v>
      </c>
      <c r="C589" s="65" t="str">
        <f>IFERROR(__xludf.DUMMYFUNCTION("""COMPUTED_VALUE"""),"✅ ĐỦ HÀNG")</f>
        <v>✅ ĐỦ HÀNG</v>
      </c>
    </row>
    <row r="590" ht="22.5" customHeight="1">
      <c r="A590" s="65" t="str">
        <f>IFERROR(__xludf.DUMMYFUNCTION("""COMPUTED_VALUE"""),"Bùi Thị Hải Anh")</f>
        <v>Bùi Thị Hải Anh</v>
      </c>
      <c r="B590" s="66">
        <v>2.0</v>
      </c>
      <c r="C590" s="65" t="str">
        <f>IFERROR(__xludf.DUMMYFUNCTION("""COMPUTED_VALUE"""),"✅ ĐỦ HÀNG")</f>
        <v>✅ ĐỦ HÀNG</v>
      </c>
    </row>
    <row r="591" ht="22.5" customHeight="1">
      <c r="A591" s="65" t="str">
        <f>IFERROR(__xludf.DUMMYFUNCTION("""COMPUTED_VALUE"""),"Nguyễn Thị Hằng")</f>
        <v>Nguyễn Thị Hằng</v>
      </c>
      <c r="B591" s="66">
        <v>6.0</v>
      </c>
      <c r="C591" s="65" t="str">
        <f>IFERROR(__xludf.DUMMYFUNCTION("""COMPUTED_VALUE"""),"✅ ĐỦ HÀNG")</f>
        <v>✅ ĐỦ HÀNG</v>
      </c>
    </row>
    <row r="592" ht="22.5" customHeight="1">
      <c r="A592" s="65" t="str">
        <f>IFERROR(__xludf.DUMMYFUNCTION("""COMPUTED_VALUE"""),"Thu Hà")</f>
        <v>Thu Hà</v>
      </c>
      <c r="B592" s="66">
        <v>6.0</v>
      </c>
      <c r="C592" s="65" t="str">
        <f>IFERROR(__xludf.DUMMYFUNCTION("""COMPUTED_VALUE"""),"✅ ĐỦ HÀNG")</f>
        <v>✅ ĐỦ HÀNG</v>
      </c>
    </row>
    <row r="593" ht="22.5" customHeight="1">
      <c r="A593" s="65" t="str">
        <f>IFERROR(__xludf.DUMMYFUNCTION("""COMPUTED_VALUE"""),"Ny Ny")</f>
        <v>Ny Ny</v>
      </c>
      <c r="B593" s="66">
        <v>5.0</v>
      </c>
      <c r="C593" s="65" t="str">
        <f>IFERROR(__xludf.DUMMYFUNCTION("""COMPUTED_VALUE"""),"✅ ĐỦ HÀNG")</f>
        <v>✅ ĐỦ HÀNG</v>
      </c>
    </row>
    <row r="594" ht="22.5" customHeight="1">
      <c r="A594" s="65" t="str">
        <f>IFERROR(__xludf.DUMMYFUNCTION("""COMPUTED_VALUE"""),"Phan Phu")</f>
        <v>Phan Phu</v>
      </c>
      <c r="B594" s="66">
        <v>4.0</v>
      </c>
      <c r="C594" s="65" t="str">
        <f>IFERROR(__xludf.DUMMYFUNCTION("""COMPUTED_VALUE"""),"✅ ĐỦ HÀNG")</f>
        <v>✅ ĐỦ HÀNG</v>
      </c>
    </row>
    <row r="595" ht="22.5" customHeight="1">
      <c r="A595" s="65" t="str">
        <f>IFERROR(__xludf.DUMMYFUNCTION("""COMPUTED_VALUE"""),"Nguyễn Thị Quỳnh")</f>
        <v>Nguyễn Thị Quỳnh</v>
      </c>
      <c r="B595" s="66">
        <v>1.0</v>
      </c>
      <c r="C595" s="65" t="str">
        <f>IFERROR(__xludf.DUMMYFUNCTION("""COMPUTED_VALUE"""),"✅ ĐỦ HÀNG")</f>
        <v>✅ ĐỦ HÀNG</v>
      </c>
    </row>
    <row r="596" ht="22.5" customHeight="1">
      <c r="A596" s="65" t="str">
        <f>IFERROR(__xludf.DUMMYFUNCTION("""COMPUTED_VALUE"""),"Nguyễn Liên")</f>
        <v>Nguyễn Liên</v>
      </c>
      <c r="B596" s="66">
        <v>1.0</v>
      </c>
      <c r="C596" s="65" t="str">
        <f>IFERROR(__xludf.DUMMYFUNCTION("""COMPUTED_VALUE"""),"✅ ĐỦ HÀNG")</f>
        <v>✅ ĐỦ HÀNG</v>
      </c>
    </row>
    <row r="597" ht="22.5" customHeight="1">
      <c r="A597" s="65" t="str">
        <f>IFERROR(__xludf.DUMMYFUNCTION("""COMPUTED_VALUE"""),"Nguyễn Lan")</f>
        <v>Nguyễn Lan</v>
      </c>
      <c r="B597" s="66">
        <v>2.0</v>
      </c>
      <c r="C597" s="65" t="str">
        <f>IFERROR(__xludf.DUMMYFUNCTION("""COMPUTED_VALUE"""),"✅ ĐỦ HÀNG")</f>
        <v>✅ ĐỦ HÀNG</v>
      </c>
    </row>
    <row r="598" ht="22.5" customHeight="1">
      <c r="A598" s="65" t="str">
        <f>IFERROR(__xludf.DUMMYFUNCTION("""COMPUTED_VALUE"""),"Diệu Linh")</f>
        <v>Diệu Linh</v>
      </c>
      <c r="B598" s="66">
        <v>5.0</v>
      </c>
      <c r="C598" s="65" t="str">
        <f>IFERROR(__xludf.DUMMYFUNCTION("""COMPUTED_VALUE"""),"✅ ĐỦ HÀNG")</f>
        <v>✅ ĐỦ HÀNG</v>
      </c>
    </row>
    <row r="599" ht="22.5" customHeight="1">
      <c r="A599" s="65" t="str">
        <f>IFERROR(__xludf.DUMMYFUNCTION("""COMPUTED_VALUE"""),"Yen Lee")</f>
        <v>Yen Lee</v>
      </c>
      <c r="B599" s="66">
        <v>1.0</v>
      </c>
      <c r="C599" s="65" t="str">
        <f>IFERROR(__xludf.DUMMYFUNCTION("""COMPUTED_VALUE"""),"✅ ĐỦ HÀNG")</f>
        <v>✅ ĐỦ HÀNG</v>
      </c>
    </row>
    <row r="600" ht="22.5" customHeight="1">
      <c r="A600" s="65" t="str">
        <f>IFERROR(__xludf.DUMMYFUNCTION("""COMPUTED_VALUE"""),"Đường Bảo Linh")</f>
        <v>Đường Bảo Linh</v>
      </c>
      <c r="B600" s="66">
        <v>2.0</v>
      </c>
      <c r="C600" s="65" t="str">
        <f>IFERROR(__xludf.DUMMYFUNCTION("""COMPUTED_VALUE"""),"✅ ĐỦ HÀNG")</f>
        <v>✅ ĐỦ HÀNG</v>
      </c>
    </row>
    <row r="601">
      <c r="A601" s="38" t="str">
        <f>IFERROR(__xludf.DUMMYFUNCTION("""COMPUTED_VALUE"""),"Sophie Tran")</f>
        <v>Sophie Tran</v>
      </c>
      <c r="B601" s="38">
        <v>5.0</v>
      </c>
      <c r="C601" s="38" t="str">
        <f>IFERROR(__xludf.DUMMYFUNCTION("""COMPUTED_VALUE"""),"✅ ĐỦ HÀNG")</f>
        <v>✅ ĐỦ HÀNG</v>
      </c>
    </row>
    <row r="602">
      <c r="A602" s="38" t="str">
        <f>IFERROR(__xludf.DUMMYFUNCTION("""COMPUTED_VALUE"""),"Lý Quờ")</f>
        <v>Lý Quờ</v>
      </c>
      <c r="B602" s="38">
        <v>4.0</v>
      </c>
      <c r="C602" s="38" t="str">
        <f>IFERROR(__xludf.DUMMYFUNCTION("""COMPUTED_VALUE"""),"✅ ĐỦ HÀNG")</f>
        <v>✅ ĐỦ HÀNG</v>
      </c>
    </row>
    <row r="603">
      <c r="A603" s="38" t="str">
        <f>IFERROR(__xludf.DUMMYFUNCTION("""COMPUTED_VALUE"""),"Vũ Minh Quỳnh")</f>
        <v>Vũ Minh Quỳnh</v>
      </c>
      <c r="B603" s="38">
        <v>4.0</v>
      </c>
      <c r="C603" s="38" t="str">
        <f>IFERROR(__xludf.DUMMYFUNCTION("""COMPUTED_VALUE"""),"✅ ĐỦ HÀNG")</f>
        <v>✅ ĐỦ HÀNG</v>
      </c>
    </row>
    <row r="604">
      <c r="A604" s="38" t="str">
        <f>IFERROR(__xludf.DUMMYFUNCTION("""COMPUTED_VALUE"""),"Phuong Thao Hoang")</f>
        <v>Phuong Thao Hoang</v>
      </c>
      <c r="B604" s="38">
        <v>3.0</v>
      </c>
      <c r="C604" s="38" t="str">
        <f>IFERROR(__xludf.DUMMYFUNCTION("""COMPUTED_VALUE"""),"✅ ĐỦ HÀNG")</f>
        <v>✅ ĐỦ HÀNG</v>
      </c>
    </row>
    <row r="605">
      <c r="A605" s="38" t="str">
        <f>IFERROR(__xludf.DUMMYFUNCTION("""COMPUTED_VALUE"""),"Nhu Anh")</f>
        <v>Nhu Anh</v>
      </c>
      <c r="B605" s="38">
        <v>2.0</v>
      </c>
      <c r="C605" s="38" t="str">
        <f>IFERROR(__xludf.DUMMYFUNCTION("""COMPUTED_VALUE"""),"✅ ĐỦ HÀNG")</f>
        <v>✅ ĐỦ HÀNG</v>
      </c>
    </row>
    <row r="606">
      <c r="A606" s="38" t="str">
        <f>IFERROR(__xludf.DUMMYFUNCTION("""COMPUTED_VALUE"""),"Lê T.Thanh Thuỷ")</f>
        <v>Lê T.Thanh Thuỷ</v>
      </c>
      <c r="B606" s="38">
        <v>4.0</v>
      </c>
      <c r="C606" s="38" t="str">
        <f>IFERROR(__xludf.DUMMYFUNCTION("""COMPUTED_VALUE"""),"✅ ĐỦ HÀNG")</f>
        <v>✅ ĐỦ HÀNG</v>
      </c>
    </row>
    <row r="607">
      <c r="A607" s="38" t="str">
        <f>IFERROR(__xludf.DUMMYFUNCTION("""COMPUTED_VALUE"""),"Giang Vũ")</f>
        <v>Giang Vũ</v>
      </c>
      <c r="B607" s="38">
        <v>5.0</v>
      </c>
      <c r="C607" s="38" t="str">
        <f>IFERROR(__xludf.DUMMYFUNCTION("""COMPUTED_VALUE"""),"✅ ĐỦ HÀNG")</f>
        <v>✅ ĐỦ HÀNG</v>
      </c>
    </row>
    <row r="608">
      <c r="A608" s="38" t="str">
        <f>IFERROR(__xludf.DUMMYFUNCTION("""COMPUTED_VALUE"""),"Thảo Vy")</f>
        <v>Thảo Vy</v>
      </c>
      <c r="B608" s="38">
        <v>3.0</v>
      </c>
      <c r="C608" s="38" t="str">
        <f>IFERROR(__xludf.DUMMYFUNCTION("""COMPUTED_VALUE"""),"✅ ĐỦ HÀNG")</f>
        <v>✅ ĐỦ HÀNG</v>
      </c>
    </row>
    <row r="609">
      <c r="A609" s="38" t="str">
        <f>IFERROR(__xludf.DUMMYFUNCTION("""COMPUTED_VALUE"""),"Dương Như Mai Linh")</f>
        <v>Dương Như Mai Linh</v>
      </c>
      <c r="B609" s="38">
        <v>4.0</v>
      </c>
      <c r="C609" s="38" t="str">
        <f>IFERROR(__xludf.DUMMYFUNCTION("""COMPUTED_VALUE"""),"✅ ĐỦ HÀNG")</f>
        <v>✅ ĐỦ HÀNG</v>
      </c>
    </row>
    <row r="610">
      <c r="A610" s="38" t="str">
        <f>IFERROR(__xludf.DUMMYFUNCTION("""COMPUTED_VALUE"""),"Thương Bùi")</f>
        <v>Thương Bùi</v>
      </c>
      <c r="B610" s="38">
        <v>9.0</v>
      </c>
      <c r="C610" s="38" t="str">
        <f>IFERROR(__xludf.DUMMYFUNCTION("""COMPUTED_VALUE"""),"✅ ĐỦ HÀNG")</f>
        <v>✅ ĐỦ HÀNG</v>
      </c>
    </row>
    <row r="611">
      <c r="A611" s="38" t="str">
        <f>IFERROR(__xludf.DUMMYFUNCTION("""COMPUTED_VALUE"""),"Hà Nguyễn")</f>
        <v>Hà Nguyễn</v>
      </c>
      <c r="B611" s="38">
        <v>1.0</v>
      </c>
      <c r="C611" s="38" t="str">
        <f>IFERROR(__xludf.DUMMYFUNCTION("""COMPUTED_VALUE"""),"✅ ĐỦ HÀNG")</f>
        <v>✅ ĐỦ HÀNG</v>
      </c>
    </row>
    <row r="612">
      <c r="A612" s="38" t="str">
        <f>IFERROR(__xludf.DUMMYFUNCTION("""COMPUTED_VALUE"""),"Phương Quyên")</f>
        <v>Phương Quyên</v>
      </c>
      <c r="B612" s="38">
        <v>1.0</v>
      </c>
      <c r="C612" s="38" t="str">
        <f>IFERROR(__xludf.DUMMYFUNCTION("""COMPUTED_VALUE"""),"✅ ĐỦ HÀNG")</f>
        <v>✅ ĐỦ HÀNG</v>
      </c>
    </row>
    <row r="613">
      <c r="A613" s="38" t="str">
        <f>IFERROR(__xludf.DUMMYFUNCTION("""COMPUTED_VALUE"""),"Moon Lee")</f>
        <v>Moon Lee</v>
      </c>
      <c r="B613" s="38">
        <v>10.0</v>
      </c>
      <c r="C613" s="38" t="str">
        <f>IFERROR(__xludf.DUMMYFUNCTION("""COMPUTED_VALUE"""),"✅ ĐỦ HÀNG")</f>
        <v>✅ ĐỦ HÀNG</v>
      </c>
    </row>
    <row r="614">
      <c r="A614" s="38" t="str">
        <f>IFERROR(__xludf.DUMMYFUNCTION("""COMPUTED_VALUE"""),"Thái Ngọc")</f>
        <v>Thái Ngọc</v>
      </c>
      <c r="B614" s="38">
        <v>4.0</v>
      </c>
      <c r="C614" s="38" t="str">
        <f>IFERROR(__xludf.DUMMYFUNCTION("""COMPUTED_VALUE"""),"✅ ĐỦ HÀNG")</f>
        <v>✅ ĐỦ HÀNG</v>
      </c>
    </row>
    <row r="615">
      <c r="A615" s="38" t="str">
        <f>IFERROR(__xludf.DUMMYFUNCTION("""COMPUTED_VALUE"""),"Giang Giang")</f>
        <v>Giang Giang</v>
      </c>
      <c r="B615" s="38">
        <v>3.0</v>
      </c>
      <c r="C615" s="38" t="str">
        <f>IFERROR(__xludf.DUMMYFUNCTION("""COMPUTED_VALUE"""),"✅ ĐỦ HÀNG")</f>
        <v>✅ ĐỦ HÀNG</v>
      </c>
    </row>
    <row r="616">
      <c r="A616" s="38" t="str">
        <f>IFERROR(__xludf.DUMMYFUNCTION("""COMPUTED_VALUE"""),"Nguyễn Thu Hồng")</f>
        <v>Nguyễn Thu Hồng</v>
      </c>
      <c r="B616" s="38">
        <v>6.0</v>
      </c>
      <c r="C616" s="38" t="str">
        <f>IFERROR(__xludf.DUMMYFUNCTION("""COMPUTED_VALUE"""),"✅ ĐỦ HÀNG")</f>
        <v>✅ ĐỦ HÀNG</v>
      </c>
    </row>
    <row r="617">
      <c r="A617" s="38" t="str">
        <f>IFERROR(__xludf.DUMMYFUNCTION("""COMPUTED_VALUE"""),"Nhung Kul’s")</f>
        <v>Nhung Kul’s</v>
      </c>
      <c r="B617" s="38">
        <v>4.0</v>
      </c>
      <c r="C617" s="38" t="str">
        <f>IFERROR(__xludf.DUMMYFUNCTION("""COMPUTED_VALUE"""),"✅ ĐỦ HÀNG")</f>
        <v>✅ ĐỦ HÀNG</v>
      </c>
    </row>
    <row r="618">
      <c r="A618" s="38" t="str">
        <f>IFERROR(__xludf.DUMMYFUNCTION("""COMPUTED_VALUE"""),"Hà Vũ")</f>
        <v>Hà Vũ</v>
      </c>
      <c r="B618" s="38">
        <v>1.0</v>
      </c>
      <c r="C618" s="38" t="str">
        <f>IFERROR(__xludf.DUMMYFUNCTION("""COMPUTED_VALUE"""),"✅ ĐỦ HÀNG")</f>
        <v>✅ ĐỦ HÀNG</v>
      </c>
    </row>
    <row r="619">
      <c r="A619" s="38" t="str">
        <f>IFERROR(__xludf.DUMMYFUNCTION("""COMPUTED_VALUE"""),"Duyên Lê")</f>
        <v>Duyên Lê</v>
      </c>
      <c r="B619" s="38">
        <v>4.0</v>
      </c>
      <c r="C619" s="38" t="str">
        <f>IFERROR(__xludf.DUMMYFUNCTION("""COMPUTED_VALUE"""),"✅ ĐỦ HÀNG")</f>
        <v>✅ ĐỦ HÀNG</v>
      </c>
    </row>
    <row r="620">
      <c r="A620" s="38" t="str">
        <f>IFERROR(__xludf.DUMMYFUNCTION("""COMPUTED_VALUE"""),"SEN")</f>
        <v>SEN</v>
      </c>
      <c r="B620" s="38">
        <v>1.0</v>
      </c>
      <c r="C620" s="38" t="str">
        <f>IFERROR(__xludf.DUMMYFUNCTION("""COMPUTED_VALUE"""),"✅ ĐỦ HÀNG")</f>
        <v>✅ ĐỦ HÀNG</v>
      </c>
    </row>
    <row r="621">
      <c r="A621" s="38" t="str">
        <f>IFERROR(__xludf.DUMMYFUNCTION("""COMPUTED_VALUE"""),"Phan Hằng")</f>
        <v>Phan Hằng</v>
      </c>
      <c r="B621" s="38">
        <v>5.0</v>
      </c>
      <c r="C621" s="38" t="str">
        <f>IFERROR(__xludf.DUMMYFUNCTION("""COMPUTED_VALUE"""),"✅ ĐỦ HÀNG")</f>
        <v>✅ ĐỦ HÀNG</v>
      </c>
    </row>
    <row r="622">
      <c r="A622" s="38" t="str">
        <f>IFERROR(__xludf.DUMMYFUNCTION("""COMPUTED_VALUE"""),"Hiền Trần")</f>
        <v>Hiền Trần</v>
      </c>
      <c r="B622" s="38">
        <v>4.0</v>
      </c>
      <c r="C622" s="38" t="str">
        <f>IFERROR(__xludf.DUMMYFUNCTION("""COMPUTED_VALUE"""),"✅ ĐỦ HÀNG")</f>
        <v>✅ ĐỦ HÀNG</v>
      </c>
    </row>
    <row r="623">
      <c r="A623" s="38" t="str">
        <f>IFERROR(__xludf.DUMMYFUNCTION("""COMPUTED_VALUE"""),"Huệ Cát")</f>
        <v>Huệ Cát</v>
      </c>
      <c r="B623" s="38">
        <v>4.0</v>
      </c>
      <c r="C623" s="38" t="str">
        <f>IFERROR(__xludf.DUMMYFUNCTION("""COMPUTED_VALUE"""),"✅ ĐỦ HÀNG")</f>
        <v>✅ ĐỦ HÀNG</v>
      </c>
    </row>
    <row r="624">
      <c r="A624" s="38" t="str">
        <f>IFERROR(__xludf.DUMMYFUNCTION("""COMPUTED_VALUE"""),"Trần Thị Ngọc Thạch")</f>
        <v>Trần Thị Ngọc Thạch</v>
      </c>
      <c r="B624" s="38">
        <v>5.0</v>
      </c>
      <c r="C624" s="38" t="str">
        <f>IFERROR(__xludf.DUMMYFUNCTION("""COMPUTED_VALUE"""),"✅ ĐỦ HÀNG")</f>
        <v>✅ ĐỦ HÀNG</v>
      </c>
    </row>
    <row r="625">
      <c r="A625" s="38" t="str">
        <f>IFERROR(__xludf.DUMMYFUNCTION("""COMPUTED_VALUE"""),"Như Quỳnh")</f>
        <v>Như Quỳnh</v>
      </c>
      <c r="B625" s="38">
        <v>3.0</v>
      </c>
      <c r="C625" s="38" t="str">
        <f>IFERROR(__xludf.DUMMYFUNCTION("""COMPUTED_VALUE"""),"✅ ĐỦ HÀNG")</f>
        <v>✅ ĐỦ HÀNG</v>
      </c>
    </row>
    <row r="626">
      <c r="A626" s="38" t="str">
        <f>IFERROR(__xludf.DUMMYFUNCTION("""COMPUTED_VALUE"""),"Liên Nguyễn")</f>
        <v>Liên Nguyễn</v>
      </c>
      <c r="B626" s="38">
        <v>4.0</v>
      </c>
      <c r="C626" s="38" t="str">
        <f>IFERROR(__xludf.DUMMYFUNCTION("""COMPUTED_VALUE"""),"✅ ĐỦ HÀNG")</f>
        <v>✅ ĐỦ HÀNG</v>
      </c>
    </row>
    <row r="627">
      <c r="A627" s="38" t="str">
        <f>IFERROR(__xludf.DUMMYFUNCTION("""COMPUTED_VALUE"""),"Trần Thuý Vân")</f>
        <v>Trần Thuý Vân</v>
      </c>
      <c r="B627" s="38">
        <v>2.0</v>
      </c>
      <c r="C627" s="38" t="str">
        <f>IFERROR(__xludf.DUMMYFUNCTION("""COMPUTED_VALUE"""),"✅ ĐỦ HÀNG")</f>
        <v>✅ ĐỦ HÀNG</v>
      </c>
    </row>
    <row r="628">
      <c r="A628" s="38" t="str">
        <f>IFERROR(__xludf.DUMMYFUNCTION("""COMPUTED_VALUE"""),"Thanhh Hà")</f>
        <v>Thanhh Hà</v>
      </c>
      <c r="B628" s="38">
        <v>3.0</v>
      </c>
      <c r="C628" s="38" t="str">
        <f>IFERROR(__xludf.DUMMYFUNCTION("""COMPUTED_VALUE"""),"✅ ĐỦ HÀNG")</f>
        <v>✅ ĐỦ HÀNG</v>
      </c>
    </row>
    <row r="629">
      <c r="A629" s="38" t="str">
        <f>IFERROR(__xludf.DUMMYFUNCTION("""COMPUTED_VALUE"""),"Thắmm Thắmm")</f>
        <v>Thắmm Thắmm</v>
      </c>
      <c r="B629" s="38">
        <v>3.0</v>
      </c>
      <c r="C629" s="38" t="str">
        <f>IFERROR(__xludf.DUMMYFUNCTION("""COMPUTED_VALUE"""),"✅ ĐỦ HÀNG")</f>
        <v>✅ ĐỦ HÀNG</v>
      </c>
    </row>
    <row r="630">
      <c r="A630" s="38" t="str">
        <f>IFERROR(__xludf.DUMMYFUNCTION("""COMPUTED_VALUE"""),"Cáo ")</f>
        <v>Cáo </v>
      </c>
      <c r="B630" s="38">
        <v>1.0</v>
      </c>
      <c r="C630" s="38" t="str">
        <f>IFERROR(__xludf.DUMMYFUNCTION("""COMPUTED_VALUE"""),"✅ ĐỦ HÀNG")</f>
        <v>✅ ĐỦ HÀNG</v>
      </c>
    </row>
    <row r="631">
      <c r="A631" s="38" t="str">
        <f>IFERROR(__xludf.DUMMYFUNCTION("""COMPUTED_VALUE"""),"Kim Anh")</f>
        <v>Kim Anh</v>
      </c>
      <c r="B631" s="38">
        <v>2.0</v>
      </c>
      <c r="C631" s="38" t="str">
        <f>IFERROR(__xludf.DUMMYFUNCTION("""COMPUTED_VALUE"""),"✅ ĐỦ HÀNG")</f>
        <v>✅ ĐỦ HÀNG</v>
      </c>
    </row>
    <row r="632">
      <c r="A632" s="38" t="str">
        <f>IFERROR(__xludf.DUMMYFUNCTION("""COMPUTED_VALUE"""),"Anh Phạm")</f>
        <v>Anh Phạm</v>
      </c>
      <c r="B632" s="38">
        <v>3.0</v>
      </c>
      <c r="C632" s="38" t="str">
        <f>IFERROR(__xludf.DUMMYFUNCTION("""COMPUTED_VALUE"""),"✅ ĐỦ HÀNG")</f>
        <v>✅ ĐỦ HÀNG</v>
      </c>
    </row>
    <row r="633">
      <c r="A633" s="38" t="str">
        <f>IFERROR(__xludf.DUMMYFUNCTION("""COMPUTED_VALUE"""),"Kiều T. Mai Xuân")</f>
        <v>Kiều T. Mai Xuân</v>
      </c>
      <c r="B633" s="38">
        <v>4.0</v>
      </c>
      <c r="C633" s="38" t="str">
        <f>IFERROR(__xludf.DUMMYFUNCTION("""COMPUTED_VALUE"""),"✅ ĐỦ HÀNG")</f>
        <v>✅ ĐỦ HÀNG</v>
      </c>
    </row>
    <row r="634">
      <c r="A634" s="38" t="str">
        <f>IFERROR(__xludf.DUMMYFUNCTION("""COMPUTED_VALUE"""),"Thuỷ Vinh")</f>
        <v>Thuỷ Vinh</v>
      </c>
      <c r="B634" s="38">
        <v>4.0</v>
      </c>
      <c r="C634" s="38" t="str">
        <f>IFERROR(__xludf.DUMMYFUNCTION("""COMPUTED_VALUE"""),"✅ ĐỦ HÀNG")</f>
        <v>✅ ĐỦ HÀNG</v>
      </c>
    </row>
    <row r="635">
      <c r="A635" s="38" t="str">
        <f>IFERROR(__xludf.DUMMYFUNCTION("""COMPUTED_VALUE"""),"Vũ Thị Ngọc Châu")</f>
        <v>Vũ Thị Ngọc Châu</v>
      </c>
      <c r="B635" s="38">
        <v>2.0</v>
      </c>
      <c r="C635" s="38" t="str">
        <f>IFERROR(__xludf.DUMMYFUNCTION("""COMPUTED_VALUE"""),"✅ ĐỦ HÀNG")</f>
        <v>✅ ĐỦ HÀNG</v>
      </c>
    </row>
    <row r="636">
      <c r="A636" s="38" t="str">
        <f>IFERROR(__xludf.DUMMYFUNCTION("""COMPUTED_VALUE"""),"Cáo")</f>
        <v>Cáo</v>
      </c>
      <c r="B636" s="38">
        <v>4.0</v>
      </c>
      <c r="C636" s="38" t="str">
        <f>IFERROR(__xludf.DUMMYFUNCTION("""COMPUTED_VALUE"""),"✅ ĐỦ HÀNG")</f>
        <v>✅ ĐỦ HÀNG</v>
      </c>
    </row>
    <row r="637">
      <c r="A637" s="38" t="str">
        <f>IFERROR(__xludf.DUMMYFUNCTION("""COMPUTED_VALUE"""),"Trang Vu")</f>
        <v>Trang Vu</v>
      </c>
      <c r="B637" s="38">
        <v>7.0</v>
      </c>
      <c r="C637" s="38" t="str">
        <f>IFERROR(__xludf.DUMMYFUNCTION("""COMPUTED_VALUE"""),"✅ ĐỦ HÀNG")</f>
        <v>✅ ĐỦ HÀNG</v>
      </c>
    </row>
    <row r="638">
      <c r="A638" s="38" t="str">
        <f>IFERROR(__xludf.DUMMYFUNCTION("""COMPUTED_VALUE"""),"Trần Nhật Lệ")</f>
        <v>Trần Nhật Lệ</v>
      </c>
      <c r="B638" s="38">
        <v>5.0</v>
      </c>
      <c r="C638" s="38" t="str">
        <f>IFERROR(__xludf.DUMMYFUNCTION("""COMPUTED_VALUE"""),"✅ ĐỦ HÀNG")</f>
        <v>✅ ĐỦ HÀNG</v>
      </c>
    </row>
    <row r="639">
      <c r="A639" s="38" t="str">
        <f>IFERROR(__xludf.DUMMYFUNCTION("""COMPUTED_VALUE"""),"Min’s Nguyệt")</f>
        <v>Min’s Nguyệt</v>
      </c>
      <c r="B639" s="38">
        <v>2.0</v>
      </c>
      <c r="C639" s="38" t="str">
        <f>IFERROR(__xludf.DUMMYFUNCTION("""COMPUTED_VALUE"""),"✅ ĐỦ HÀNG")</f>
        <v>✅ ĐỦ HÀNG</v>
      </c>
    </row>
    <row r="640">
      <c r="A640" s="38" t="str">
        <f>IFERROR(__xludf.DUMMYFUNCTION("""COMPUTED_VALUE"""),"Bích Vũ")</f>
        <v>Bích Vũ</v>
      </c>
      <c r="B640" s="38">
        <v>4.0</v>
      </c>
      <c r="C640" s="38" t="str">
        <f>IFERROR(__xludf.DUMMYFUNCTION("""COMPUTED_VALUE"""),"✅ ĐỦ HÀNG")</f>
        <v>✅ ĐỦ HÀNG</v>
      </c>
    </row>
    <row r="641">
      <c r="A641" s="38" t="str">
        <f>IFERROR(__xludf.DUMMYFUNCTION("""COMPUTED_VALUE"""),"Trang Kiều")</f>
        <v>Trang Kiều</v>
      </c>
      <c r="B641" s="38">
        <v>2.0</v>
      </c>
      <c r="C641" s="38" t="str">
        <f>IFERROR(__xludf.DUMMYFUNCTION("""COMPUTED_VALUE"""),"✅ ĐỦ HÀNG")</f>
        <v>✅ ĐỦ HÀNG</v>
      </c>
    </row>
    <row r="642">
      <c r="A642" s="38" t="str">
        <f>IFERROR(__xludf.DUMMYFUNCTION("""COMPUTED_VALUE"""),"Tồ Mýt")</f>
        <v>Tồ Mýt</v>
      </c>
      <c r="B642" s="38">
        <v>3.0</v>
      </c>
      <c r="C642" s="38" t="str">
        <f>IFERROR(__xludf.DUMMYFUNCTION("""COMPUTED_VALUE"""),"✅ ĐỦ HÀNG")</f>
        <v>✅ ĐỦ HÀNG</v>
      </c>
    </row>
    <row r="643">
      <c r="A643" s="38" t="str">
        <f>IFERROR(__xludf.DUMMYFUNCTION("""COMPUTED_VALUE"""),"Bùi Quỳnh")</f>
        <v>Bùi Quỳnh</v>
      </c>
      <c r="B643" s="38">
        <v>2.0</v>
      </c>
      <c r="C643" s="38" t="str">
        <f>IFERROR(__xludf.DUMMYFUNCTION("""COMPUTED_VALUE"""),"✅ ĐỦ HÀNG")</f>
        <v>✅ ĐỦ HÀNG</v>
      </c>
    </row>
    <row r="644">
      <c r="A644" s="38" t="str">
        <f>IFERROR(__xludf.DUMMYFUNCTION("""COMPUTED_VALUE"""),"Thi Thi")</f>
        <v>Thi Thi</v>
      </c>
      <c r="B644" s="38">
        <v>2.0</v>
      </c>
      <c r="C644" s="38" t="str">
        <f>IFERROR(__xludf.DUMMYFUNCTION("""COMPUTED_VALUE"""),"✅ ĐỦ HÀNG")</f>
        <v>✅ ĐỦ HÀNG</v>
      </c>
    </row>
    <row r="645">
      <c r="A645" s="38" t="str">
        <f>IFERROR(__xludf.DUMMYFUNCTION("""COMPUTED_VALUE"""),"Minh Thư")</f>
        <v>Minh Thư</v>
      </c>
      <c r="B645" s="38">
        <v>3.0</v>
      </c>
      <c r="C645" s="38" t="str">
        <f>IFERROR(__xludf.DUMMYFUNCTION("""COMPUTED_VALUE"""),"✅ ĐỦ HÀNG")</f>
        <v>✅ ĐỦ HÀNG</v>
      </c>
    </row>
    <row r="646">
      <c r="A646" s="38" t="str">
        <f>IFERROR(__xludf.DUMMYFUNCTION("""COMPUTED_VALUE"""),"Hoàng Quyên")</f>
        <v>Hoàng Quyên</v>
      </c>
      <c r="B646" s="38">
        <v>2.0</v>
      </c>
      <c r="C646" s="38" t="str">
        <f>IFERROR(__xludf.DUMMYFUNCTION("""COMPUTED_VALUE"""),"✅ ĐỦ HÀNG")</f>
        <v>✅ ĐỦ HÀNG</v>
      </c>
    </row>
    <row r="647">
      <c r="A647" s="38" t="str">
        <f>IFERROR(__xludf.DUMMYFUNCTION("""COMPUTED_VALUE"""),"Thương Phạm")</f>
        <v>Thương Phạm</v>
      </c>
      <c r="B647" s="38">
        <v>1.0</v>
      </c>
      <c r="C647" s="38" t="str">
        <f>IFERROR(__xludf.DUMMYFUNCTION("""COMPUTED_VALUE"""),"✅ ĐỦ HÀNG")</f>
        <v>✅ ĐỦ HÀNG</v>
      </c>
    </row>
    <row r="648">
      <c r="A648" s="38" t="str">
        <f>IFERROR(__xludf.DUMMYFUNCTION("""COMPUTED_VALUE"""),"Nguyễn Thu Hà")</f>
        <v>Nguyễn Thu Hà</v>
      </c>
      <c r="B648" s="38">
        <v>3.0</v>
      </c>
      <c r="C648" s="38" t="str">
        <f>IFERROR(__xludf.DUMMYFUNCTION("""COMPUTED_VALUE"""),"✅ ĐỦ HÀNG")</f>
        <v>✅ ĐỦ HÀNG</v>
      </c>
    </row>
    <row r="649">
      <c r="A649" s="38" t="str">
        <f>IFERROR(__xludf.DUMMYFUNCTION("""COMPUTED_VALUE"""),"Tham Vu")</f>
        <v>Tham Vu</v>
      </c>
      <c r="B649" s="38">
        <v>2.0</v>
      </c>
      <c r="C649" s="38" t="str">
        <f>IFERROR(__xludf.DUMMYFUNCTION("""COMPUTED_VALUE"""),"✅ ĐỦ HÀNG")</f>
        <v>✅ ĐỦ HÀNG</v>
      </c>
    </row>
    <row r="650">
      <c r="A650" s="38" t="str">
        <f>IFERROR(__xludf.DUMMYFUNCTION("""COMPUTED_VALUE"""),"Nguyễn Mỹ Nhung")</f>
        <v>Nguyễn Mỹ Nhung</v>
      </c>
      <c r="B650" s="38">
        <v>1.0</v>
      </c>
      <c r="C650" s="38" t="str">
        <f>IFERROR(__xludf.DUMMYFUNCTION("""COMPUTED_VALUE"""),"✅ ĐỦ HÀNG")</f>
        <v>✅ ĐỦ HÀNG</v>
      </c>
    </row>
    <row r="651">
      <c r="A651" s="38" t="str">
        <f>IFERROR(__xludf.DUMMYFUNCTION("""COMPUTED_VALUE"""),"Nguyễn Phương Linh")</f>
        <v>Nguyễn Phương Linh</v>
      </c>
      <c r="B651" s="38">
        <v>3.0</v>
      </c>
      <c r="C651" s="38" t="str">
        <f>IFERROR(__xludf.DUMMYFUNCTION("""COMPUTED_VALUE"""),"✅ ĐỦ HÀNG")</f>
        <v>✅ ĐỦ HÀNG</v>
      </c>
    </row>
    <row r="652">
      <c r="A652" s="38" t="str">
        <f>IFERROR(__xludf.DUMMYFUNCTION("""COMPUTED_VALUE"""),"Hiền Anh")</f>
        <v>Hiền Anh</v>
      </c>
      <c r="B652" s="38">
        <v>2.0</v>
      </c>
      <c r="C652" s="38" t="str">
        <f>IFERROR(__xludf.DUMMYFUNCTION("""COMPUTED_VALUE"""),"✅ ĐỦ HÀNG")</f>
        <v>✅ ĐỦ HÀNG</v>
      </c>
    </row>
    <row r="653">
      <c r="A653" s="38" t="str">
        <f>IFERROR(__xludf.DUMMYFUNCTION("""COMPUTED_VALUE"""),"Lê Diễm")</f>
        <v>Lê Diễm</v>
      </c>
      <c r="B653" s="38">
        <v>3.0</v>
      </c>
      <c r="C653" s="38" t="str">
        <f>IFERROR(__xludf.DUMMYFUNCTION("""COMPUTED_VALUE"""),"✅ ĐỦ HÀNG")</f>
        <v>✅ ĐỦ HÀNG</v>
      </c>
    </row>
    <row r="654">
      <c r="A654" s="38" t="str">
        <f>IFERROR(__xludf.DUMMYFUNCTION("""COMPUTED_VALUE"""),"Thuý Hằng1")</f>
        <v>Thuý Hằng1</v>
      </c>
      <c r="B654" s="38">
        <v>1.0</v>
      </c>
      <c r="C654" s="38" t="str">
        <f>IFERROR(__xludf.DUMMYFUNCTION("""COMPUTED_VALUE"""),"✅ ĐỦ HÀNG")</f>
        <v>✅ ĐỦ HÀNG</v>
      </c>
    </row>
    <row r="655">
      <c r="A655" s="38" t="str">
        <f>IFERROR(__xludf.DUMMYFUNCTION("""COMPUTED_VALUE"""),"Thuỷ Ngọc’s")</f>
        <v>Thuỷ Ngọc’s</v>
      </c>
      <c r="B655" s="38">
        <v>7.0</v>
      </c>
      <c r="C655" s="38" t="str">
        <f>IFERROR(__xludf.DUMMYFUNCTION("""COMPUTED_VALUE"""),"✅ ĐỦ HÀNG")</f>
        <v>✅ ĐỦ HÀNG</v>
      </c>
    </row>
    <row r="656">
      <c r="A656" s="38" t="str">
        <f>IFERROR(__xludf.DUMMYFUNCTION("""COMPUTED_VALUE"""),"Lê Thị Thu Thảo")</f>
        <v>Lê Thị Thu Thảo</v>
      </c>
      <c r="B656" s="38">
        <v>14.0</v>
      </c>
      <c r="C656" s="38" t="str">
        <f>IFERROR(__xludf.DUMMYFUNCTION("""COMPUTED_VALUE"""),"✅ ĐỦ HÀNG")</f>
        <v>✅ ĐỦ HÀNG</v>
      </c>
    </row>
    <row r="657">
      <c r="A657" s="38" t="str">
        <f>IFERROR(__xludf.DUMMYFUNCTION("""COMPUTED_VALUE"""),"Hiềnn Lee")</f>
        <v>Hiềnn Lee</v>
      </c>
      <c r="B657" s="38">
        <v>2.0</v>
      </c>
      <c r="C657" s="38" t="str">
        <f>IFERROR(__xludf.DUMMYFUNCTION("""COMPUTED_VALUE"""),"✅ ĐỦ HÀNG")</f>
        <v>✅ ĐỦ HÀNG</v>
      </c>
    </row>
    <row r="658">
      <c r="A658" s="38" t="str">
        <f>IFERROR(__xludf.DUMMYFUNCTION("""COMPUTED_VALUE"""),"Ninh Hồng Thắm")</f>
        <v>Ninh Hồng Thắm</v>
      </c>
      <c r="B658" s="38">
        <v>4.0</v>
      </c>
      <c r="C658" s="38" t="str">
        <f>IFERROR(__xludf.DUMMYFUNCTION("""COMPUTED_VALUE"""),"✅ ĐỦ HÀNG")</f>
        <v>✅ ĐỦ HÀNG</v>
      </c>
    </row>
    <row r="659">
      <c r="A659" s="38" t="str">
        <f>IFERROR(__xludf.DUMMYFUNCTION("""COMPUTED_VALUE"""),"AnhThu Phann")</f>
        <v>AnhThu Phann</v>
      </c>
      <c r="B659" s="38">
        <v>7.0</v>
      </c>
      <c r="C659" s="38" t="str">
        <f>IFERROR(__xludf.DUMMYFUNCTION("""COMPUTED_VALUE"""),"✅ ĐỦ HÀNG")</f>
        <v>✅ ĐỦ HÀNG</v>
      </c>
    </row>
    <row r="660">
      <c r="A660" s="38" t="str">
        <f>IFERROR(__xludf.DUMMYFUNCTION("""COMPUTED_VALUE"""),"Thị Phuong Thanh")</f>
        <v>Thị Phuong Thanh</v>
      </c>
      <c r="B660" s="38">
        <v>1.0</v>
      </c>
      <c r="C660" s="38" t="str">
        <f>IFERROR(__xludf.DUMMYFUNCTION("""COMPUTED_VALUE"""),"✅ ĐỦ HÀNG")</f>
        <v>✅ ĐỦ HÀNG</v>
      </c>
    </row>
    <row r="661">
      <c r="A661" s="38" t="str">
        <f>IFERROR(__xludf.DUMMYFUNCTION("""COMPUTED_VALUE"""),"Chuột Chảnh")</f>
        <v>Chuột Chảnh</v>
      </c>
      <c r="B661" s="38">
        <v>2.0</v>
      </c>
      <c r="C661" s="38" t="str">
        <f>IFERROR(__xludf.DUMMYFUNCTION("""COMPUTED_VALUE"""),"✅ ĐỦ HÀNG")</f>
        <v>✅ ĐỦ HÀNG</v>
      </c>
    </row>
    <row r="662">
      <c r="A662" s="38" t="str">
        <f>IFERROR(__xludf.DUMMYFUNCTION("""COMPUTED_VALUE"""),"Trinh Trinh")</f>
        <v>Trinh Trinh</v>
      </c>
      <c r="B662" s="38">
        <v>3.0</v>
      </c>
      <c r="C662" s="38" t="str">
        <f>IFERROR(__xludf.DUMMYFUNCTION("""COMPUTED_VALUE"""),"✅ ĐỦ HÀNG")</f>
        <v>✅ ĐỦ HÀNG</v>
      </c>
    </row>
    <row r="663">
      <c r="A663" s="38" t="str">
        <f>IFERROR(__xludf.DUMMYFUNCTION("""COMPUTED_VALUE"""),"Nguyễn Duyên")</f>
        <v>Nguyễn Duyên</v>
      </c>
      <c r="B663" s="38">
        <v>6.0</v>
      </c>
      <c r="C663" s="38" t="str">
        <f>IFERROR(__xludf.DUMMYFUNCTION("""COMPUTED_VALUE"""),"✅ ĐỦ HÀNG")</f>
        <v>✅ ĐỦ HÀNG</v>
      </c>
    </row>
    <row r="664">
      <c r="A664" s="38" t="str">
        <f>IFERROR(__xludf.DUMMYFUNCTION("""COMPUTED_VALUE"""),"Lê Thị Kim Oanh")</f>
        <v>Lê Thị Kim Oanh</v>
      </c>
      <c r="B664" s="38">
        <v>2.0</v>
      </c>
      <c r="C664" s="38" t="str">
        <f>IFERROR(__xludf.DUMMYFUNCTION("""COMPUTED_VALUE"""),"✅ ĐỦ HÀNG")</f>
        <v>✅ ĐỦ HÀNG</v>
      </c>
    </row>
    <row r="665">
      <c r="A665" s="38" t="str">
        <f>IFERROR(__xludf.DUMMYFUNCTION("""COMPUTED_VALUE"""),"Huong Ly")</f>
        <v>Huong Ly</v>
      </c>
      <c r="B665" s="38">
        <v>1.0</v>
      </c>
      <c r="C665" s="38" t="str">
        <f>IFERROR(__xludf.DUMMYFUNCTION("""COMPUTED_VALUE"""),"✅ ĐỦ HÀNG")</f>
        <v>✅ ĐỦ HÀNG</v>
      </c>
    </row>
    <row r="666">
      <c r="A666" s="38" t="str">
        <f>IFERROR(__xludf.DUMMYFUNCTION("""COMPUTED_VALUE"""),"Thu Nguyen")</f>
        <v>Thu Nguyen</v>
      </c>
      <c r="B666" s="38">
        <v>2.0</v>
      </c>
      <c r="C666" s="38" t="str">
        <f>IFERROR(__xludf.DUMMYFUNCTION("""COMPUTED_VALUE"""),"✅ ĐỦ HÀNG")</f>
        <v>✅ ĐỦ HÀNG</v>
      </c>
    </row>
    <row r="667">
      <c r="A667" s="38" t="str">
        <f>IFERROR(__xludf.DUMMYFUNCTION("""COMPUTED_VALUE"""),"Bích Phượng")</f>
        <v>Bích Phượng</v>
      </c>
      <c r="B667" s="38">
        <v>5.0</v>
      </c>
      <c r="C667" s="38" t="str">
        <f>IFERROR(__xludf.DUMMYFUNCTION("""COMPUTED_VALUE"""),"✅ ĐỦ HÀNG")</f>
        <v>✅ ĐỦ HÀNG</v>
      </c>
    </row>
    <row r="668">
      <c r="A668" s="38" t="str">
        <f>IFERROR(__xludf.DUMMYFUNCTION("""COMPUTED_VALUE"""),"Huế Trình")</f>
        <v>Huế Trình</v>
      </c>
      <c r="B668" s="38">
        <v>1.0</v>
      </c>
      <c r="C668" s="38" t="str">
        <f>IFERROR(__xludf.DUMMYFUNCTION("""COMPUTED_VALUE"""),"✅ ĐỦ HÀNG")</f>
        <v>✅ ĐỦ HÀNG</v>
      </c>
    </row>
    <row r="669">
      <c r="A669" s="38" t="str">
        <f>IFERROR(__xludf.DUMMYFUNCTION("""COMPUTED_VALUE"""),"Dương Ngọc Thảo")</f>
        <v>Dương Ngọc Thảo</v>
      </c>
      <c r="B669" s="38">
        <v>2.0</v>
      </c>
      <c r="C669" s="38" t="str">
        <f>IFERROR(__xludf.DUMMYFUNCTION("""COMPUTED_VALUE"""),"✅ ĐỦ HÀNG")</f>
        <v>✅ ĐỦ HÀNG</v>
      </c>
    </row>
    <row r="670">
      <c r="A670" s="38" t="str">
        <f>IFERROR(__xludf.DUMMYFUNCTION("""COMPUTED_VALUE"""),"Thảo Yoon")</f>
        <v>Thảo Yoon</v>
      </c>
      <c r="B670" s="38">
        <v>1.0</v>
      </c>
      <c r="C670" s="38" t="str">
        <f>IFERROR(__xludf.DUMMYFUNCTION("""COMPUTED_VALUE"""),"✅ ĐỦ HÀNG")</f>
        <v>✅ ĐỦ HÀNG</v>
      </c>
    </row>
    <row r="671">
      <c r="A671" s="38" t="str">
        <f>IFERROR(__xludf.DUMMYFUNCTION("""COMPUTED_VALUE"""),"Phạm Thị Xuân Năm")</f>
        <v>Phạm Thị Xuân Năm</v>
      </c>
      <c r="B671" s="38">
        <v>1.0</v>
      </c>
      <c r="C671" s="38" t="str">
        <f>IFERROR(__xludf.DUMMYFUNCTION("""COMPUTED_VALUE"""),"✅ ĐỦ HÀNG")</f>
        <v>✅ ĐỦ HÀNG</v>
      </c>
    </row>
    <row r="672">
      <c r="A672" s="38" t="str">
        <f>IFERROR(__xludf.DUMMYFUNCTION("""COMPUTED_VALUE"""),"Sim Nguyen")</f>
        <v>Sim Nguyen</v>
      </c>
      <c r="B672" s="38">
        <v>4.0</v>
      </c>
      <c r="C672" s="38" t="str">
        <f>IFERROR(__xludf.DUMMYFUNCTION("""COMPUTED_VALUE"""),"✅ ĐỦ HÀNG")</f>
        <v>✅ ĐỦ HÀNG</v>
      </c>
    </row>
    <row r="673">
      <c r="A673" s="38" t="str">
        <f>IFERROR(__xludf.DUMMYFUNCTION("""COMPUTED_VALUE"""),"Phạm Huyền")</f>
        <v>Phạm Huyền</v>
      </c>
      <c r="B673" s="38">
        <v>2.0</v>
      </c>
      <c r="C673" s="38" t="str">
        <f>IFERROR(__xludf.DUMMYFUNCTION("""COMPUTED_VALUE"""),"✅ ĐỦ HÀNG")</f>
        <v>✅ ĐỦ HÀNG</v>
      </c>
    </row>
    <row r="674">
      <c r="A674" s="38" t="str">
        <f>IFERROR(__xludf.DUMMYFUNCTION("""COMPUTED_VALUE"""),"Hường Anh")</f>
        <v>Hường Anh</v>
      </c>
      <c r="B674" s="38">
        <v>3.0</v>
      </c>
      <c r="C674" s="38" t="str">
        <f>IFERROR(__xludf.DUMMYFUNCTION("""COMPUTED_VALUE"""),"✅ ĐỦ HÀNG")</f>
        <v>✅ ĐỦ HÀNG</v>
      </c>
    </row>
    <row r="675">
      <c r="A675" s="38" t="str">
        <f>IFERROR(__xludf.DUMMYFUNCTION("""COMPUTED_VALUE"""),"Thu Phương")</f>
        <v>Thu Phương</v>
      </c>
      <c r="B675" s="38">
        <v>1.0</v>
      </c>
      <c r="C675" s="38" t="str">
        <f>IFERROR(__xludf.DUMMYFUNCTION("""COMPUTED_VALUE"""),"✅ ĐỦ HÀNG")</f>
        <v>✅ ĐỦ HÀNG</v>
      </c>
    </row>
    <row r="676">
      <c r="A676" s="38" t="str">
        <f>IFERROR(__xludf.DUMMYFUNCTION("""COMPUTED_VALUE"""),"Thanh Chúc")</f>
        <v>Thanh Chúc</v>
      </c>
      <c r="B676" s="38">
        <v>3.0</v>
      </c>
      <c r="C676" s="38" t="str">
        <f>IFERROR(__xludf.DUMMYFUNCTION("""COMPUTED_VALUE"""),"✅ ĐỦ HÀNG")</f>
        <v>✅ ĐỦ HÀNG</v>
      </c>
    </row>
    <row r="677">
      <c r="A677" s="38" t="str">
        <f>IFERROR(__xludf.DUMMYFUNCTION("""COMPUTED_VALUE"""),"Gia Linh JP")</f>
        <v>Gia Linh JP</v>
      </c>
      <c r="B677" s="38">
        <v>1.0</v>
      </c>
      <c r="C677" s="38" t="str">
        <f>IFERROR(__xludf.DUMMYFUNCTION("""COMPUTED_VALUE"""),"✅ ĐỦ HÀNG")</f>
        <v>✅ ĐỦ HÀNG</v>
      </c>
    </row>
    <row r="678">
      <c r="A678" s="38" t="str">
        <f>IFERROR(__xludf.DUMMYFUNCTION("""COMPUTED_VALUE"""),"Hiếu Cọt")</f>
        <v>Hiếu Cọt</v>
      </c>
      <c r="B678" s="38">
        <v>1.0</v>
      </c>
      <c r="C678" s="38" t="str">
        <f>IFERROR(__xludf.DUMMYFUNCTION("""COMPUTED_VALUE"""),"✅ ĐỦ HÀNG")</f>
        <v>✅ ĐỦ HÀNG</v>
      </c>
    </row>
    <row r="679">
      <c r="A679" s="38" t="str">
        <f>IFERROR(__xludf.DUMMYFUNCTION("""COMPUTED_VALUE"""),"Đỗ Thị Thu Hà")</f>
        <v>Đỗ Thị Thu Hà</v>
      </c>
      <c r="B679" s="38">
        <v>1.0</v>
      </c>
      <c r="C679" s="38" t="str">
        <f>IFERROR(__xludf.DUMMYFUNCTION("""COMPUTED_VALUE"""),"✅ ĐỦ HÀNG")</f>
        <v>✅ ĐỦ HÀNG</v>
      </c>
    </row>
    <row r="680">
      <c r="A680" s="38" t="str">
        <f>IFERROR(__xludf.DUMMYFUNCTION("""COMPUTED_VALUE"""),"Ngân")</f>
        <v>Ngân</v>
      </c>
      <c r="B680" s="38">
        <v>1.0</v>
      </c>
      <c r="C680" s="38" t="str">
        <f>IFERROR(__xludf.DUMMYFUNCTION("""COMPUTED_VALUE"""),"✅ ĐỦ HÀNG")</f>
        <v>✅ ĐỦ HÀNG</v>
      </c>
    </row>
    <row r="681">
      <c r="A681" s="38" t="str">
        <f>IFERROR(__xludf.DUMMYFUNCTION("""COMPUTED_VALUE"""),"Tuyết’s")</f>
        <v>Tuyết’s</v>
      </c>
      <c r="B681" s="38">
        <v>1.0</v>
      </c>
      <c r="C681" s="38" t="str">
        <f>IFERROR(__xludf.DUMMYFUNCTION("""COMPUTED_VALUE"""),"✅ ĐỦ HÀNG")</f>
        <v>✅ ĐỦ HÀNG</v>
      </c>
    </row>
    <row r="682">
      <c r="A682" s="38" t="str">
        <f>IFERROR(__xludf.DUMMYFUNCTION("""COMPUTED_VALUE"""),"Hồ Thị Vân")</f>
        <v>Hồ Thị Vân</v>
      </c>
      <c r="B682" s="38">
        <v>1.0</v>
      </c>
      <c r="C682" s="38" t="str">
        <f>IFERROR(__xludf.DUMMYFUNCTION("""COMPUTED_VALUE"""),"✅ ĐỦ HÀNG")</f>
        <v>✅ ĐỦ HÀNG</v>
      </c>
    </row>
    <row r="683">
      <c r="A683" s="38" t="str">
        <f>IFERROR(__xludf.DUMMYFUNCTION("""COMPUTED_VALUE"""),"Suni Bobo")</f>
        <v>Suni Bobo</v>
      </c>
      <c r="B683" s="38">
        <v>4.0</v>
      </c>
      <c r="C683" s="38" t="str">
        <f>IFERROR(__xludf.DUMMYFUNCTION("""COMPUTED_VALUE"""),"✅ ĐỦ HÀNG")</f>
        <v>✅ ĐỦ HÀNG</v>
      </c>
    </row>
    <row r="684">
      <c r="A684" s="38" t="str">
        <f>IFERROR(__xludf.DUMMYFUNCTION("""COMPUTED_VALUE"""),"Nhung Mô Mô")</f>
        <v>Nhung Mô Mô</v>
      </c>
      <c r="B684" s="38">
        <v>2.0</v>
      </c>
      <c r="C684" s="38" t="str">
        <f>IFERROR(__xludf.DUMMYFUNCTION("""COMPUTED_VALUE"""),"✅ ĐỦ HÀNG")</f>
        <v>✅ ĐỦ HÀNG</v>
      </c>
    </row>
    <row r="685">
      <c r="A685" s="38" t="str">
        <f>IFERROR(__xludf.DUMMYFUNCTION("""COMPUTED_VALUE"""),"Didom")</f>
        <v>Didom</v>
      </c>
      <c r="B685" s="38">
        <v>6.0</v>
      </c>
      <c r="C685" s="38" t="str">
        <f>IFERROR(__xludf.DUMMYFUNCTION("""COMPUTED_VALUE"""),"✅ ĐỦ HÀNG")</f>
        <v>✅ ĐỦ HÀNG</v>
      </c>
    </row>
    <row r="686">
      <c r="A686" s="38" t="str">
        <f>IFERROR(__xludf.DUMMYFUNCTION("""COMPUTED_VALUE"""),"HuyenQuyen Nguyen")</f>
        <v>HuyenQuyen Nguyen</v>
      </c>
      <c r="B686" s="38">
        <v>1.0</v>
      </c>
      <c r="C686" s="38" t="str">
        <f>IFERROR(__xludf.DUMMYFUNCTION("""COMPUTED_VALUE"""),"✅ ĐỦ HÀNG")</f>
        <v>✅ ĐỦ HÀNG</v>
      </c>
    </row>
    <row r="687">
      <c r="A687" s="38" t="str">
        <f>IFERROR(__xludf.DUMMYFUNCTION("""COMPUTED_VALUE"""),"Mi Ly")</f>
        <v>Mi Ly</v>
      </c>
      <c r="B687" s="38">
        <v>1.0</v>
      </c>
      <c r="C687" s="38" t="str">
        <f>IFERROR(__xludf.DUMMYFUNCTION("""COMPUTED_VALUE"""),"✅ ĐỦ HÀNG")</f>
        <v>✅ ĐỦ HÀNG</v>
      </c>
    </row>
    <row r="688">
      <c r="A688" s="38" t="str">
        <f>IFERROR(__xludf.DUMMYFUNCTION("""COMPUTED_VALUE"""),"Thuy Dung")</f>
        <v>Thuy Dung</v>
      </c>
      <c r="B688" s="38">
        <v>4.0</v>
      </c>
      <c r="C688" s="38" t="str">
        <f>IFERROR(__xludf.DUMMYFUNCTION("""COMPUTED_VALUE"""),"✅ ĐỦ HÀNG")</f>
        <v>✅ ĐỦ HÀNG</v>
      </c>
    </row>
    <row r="689">
      <c r="A689" s="38" t="str">
        <f>IFERROR(__xludf.DUMMYFUNCTION("""COMPUTED_VALUE"""),"Hanhtrinh Moi")</f>
        <v>Hanhtrinh Moi</v>
      </c>
      <c r="B689" s="38">
        <v>6.0</v>
      </c>
      <c r="C689" s="38" t="str">
        <f>IFERROR(__xludf.DUMMYFUNCTION("""COMPUTED_VALUE"""),"✅ ĐỦ HÀNG")</f>
        <v>✅ ĐỦ HÀNG</v>
      </c>
    </row>
    <row r="690">
      <c r="A690" s="38" t="str">
        <f>IFERROR(__xludf.DUMMYFUNCTION("""COMPUTED_VALUE"""),"Ngọcc Linhh")</f>
        <v>Ngọcc Linhh</v>
      </c>
      <c r="B690" s="38">
        <v>1.0</v>
      </c>
      <c r="C690" s="38" t="str">
        <f>IFERROR(__xludf.DUMMYFUNCTION("""COMPUTED_VALUE"""),"✅ ĐỦ HÀNG")</f>
        <v>✅ ĐỦ HÀNG</v>
      </c>
    </row>
    <row r="691">
      <c r="A691" s="38" t="str">
        <f>IFERROR(__xludf.DUMMYFUNCTION("""COMPUTED_VALUE"""),"Thanh Nhàn")</f>
        <v>Thanh Nhàn</v>
      </c>
      <c r="B691" s="38">
        <v>2.0</v>
      </c>
      <c r="C691" s="38" t="str">
        <f>IFERROR(__xludf.DUMMYFUNCTION("""COMPUTED_VALUE"""),"✅ ĐỦ HÀNG")</f>
        <v>✅ ĐỦ HÀNG</v>
      </c>
    </row>
    <row r="692">
      <c r="A692" s="38" t="str">
        <f>IFERROR(__xludf.DUMMYFUNCTION("""COMPUTED_VALUE"""),"Hien Tieu")</f>
        <v>Hien Tieu</v>
      </c>
      <c r="B692" s="38">
        <v>2.0</v>
      </c>
      <c r="C692" s="38" t="str">
        <f>IFERROR(__xludf.DUMMYFUNCTION("""COMPUTED_VALUE"""),"✅ ĐỦ HÀNG")</f>
        <v>✅ ĐỦ HÀNG</v>
      </c>
    </row>
    <row r="693">
      <c r="A693" s="38" t="str">
        <f>IFERROR(__xludf.DUMMYFUNCTION("""COMPUTED_VALUE"""),"Anna Uyen Le")</f>
        <v>Anna Uyen Le</v>
      </c>
      <c r="B693" s="38">
        <v>1.0</v>
      </c>
      <c r="C693" s="38" t="str">
        <f>IFERROR(__xludf.DUMMYFUNCTION("""COMPUTED_VALUE"""),"✅ ĐỦ HÀNG")</f>
        <v>✅ ĐỦ HÀNG</v>
      </c>
    </row>
    <row r="694">
      <c r="A694" s="38" t="str">
        <f>IFERROR(__xludf.DUMMYFUNCTION("""COMPUTED_VALUE"""),"Thanh Do")</f>
        <v>Thanh Do</v>
      </c>
      <c r="B694" s="38">
        <v>1.0</v>
      </c>
      <c r="C694" s="38" t="str">
        <f>IFERROR(__xludf.DUMMYFUNCTION("""COMPUTED_VALUE"""),"✅ ĐỦ HÀNG")</f>
        <v>✅ ĐỦ HÀNG</v>
      </c>
    </row>
    <row r="695">
      <c r="A695" s="38" t="str">
        <f>IFERROR(__xludf.DUMMYFUNCTION("""COMPUTED_VALUE"""),"Kim Huệ")</f>
        <v>Kim Huệ</v>
      </c>
      <c r="B695" s="38">
        <v>3.0</v>
      </c>
      <c r="C695" s="38" t="str">
        <f>IFERROR(__xludf.DUMMYFUNCTION("""COMPUTED_VALUE"""),"✅ ĐỦ HÀNG")</f>
        <v>✅ ĐỦ HÀNG</v>
      </c>
    </row>
    <row r="696">
      <c r="A696" s="38" t="str">
        <f>IFERROR(__xludf.DUMMYFUNCTION("""COMPUTED_VALUE"""),"Le Ngoc Han")</f>
        <v>Le Ngoc Han</v>
      </c>
      <c r="B696" s="38">
        <v>2.0</v>
      </c>
      <c r="C696" s="38" t="str">
        <f>IFERROR(__xludf.DUMMYFUNCTION("""COMPUTED_VALUE"""),"✅ ĐỦ HÀNG")</f>
        <v>✅ ĐỦ HÀNG</v>
      </c>
    </row>
    <row r="697">
      <c r="A697" s="38" t="str">
        <f>IFERROR(__xludf.DUMMYFUNCTION("""COMPUTED_VALUE"""),"Phan Thắm")</f>
        <v>Phan Thắm</v>
      </c>
      <c r="B697" s="38">
        <v>1.0</v>
      </c>
      <c r="C697" s="38" t="str">
        <f>IFERROR(__xludf.DUMMYFUNCTION("""COMPUTED_VALUE"""),"✅ ĐỦ HÀNG")</f>
        <v>✅ ĐỦ HÀNG</v>
      </c>
    </row>
    <row r="698">
      <c r="A698" s="38" t="str">
        <f>IFERROR(__xludf.DUMMYFUNCTION("""COMPUTED_VALUE"""),"Minh Thuý Nguyễn")</f>
        <v>Minh Thuý Nguyễn</v>
      </c>
      <c r="B698" s="38">
        <v>1.0</v>
      </c>
      <c r="C698" s="38" t="str">
        <f>IFERROR(__xludf.DUMMYFUNCTION("""COMPUTED_VALUE"""),"✅ ĐỦ HÀNG")</f>
        <v>✅ ĐỦ HÀNG</v>
      </c>
    </row>
    <row r="699">
      <c r="A699" s="38" t="str">
        <f>IFERROR(__xludf.DUMMYFUNCTION("""COMPUTED_VALUE"""),"Lannie Vũ")</f>
        <v>Lannie Vũ</v>
      </c>
      <c r="B699" s="38">
        <v>2.0</v>
      </c>
      <c r="C699" s="38" t="str">
        <f>IFERROR(__xludf.DUMMYFUNCTION("""COMPUTED_VALUE"""),"✅ ĐỦ HÀNG")</f>
        <v>✅ ĐỦ HÀNG</v>
      </c>
    </row>
    <row r="700">
      <c r="A700" s="38" t="str">
        <f>IFERROR(__xludf.DUMMYFUNCTION("""COMPUTED_VALUE"""),"Hảo Nguyễ Thị")</f>
        <v>Hảo Nguyễ Thị</v>
      </c>
      <c r="B700" s="38">
        <v>2.0</v>
      </c>
      <c r="C700" s="38" t="str">
        <f>IFERROR(__xludf.DUMMYFUNCTION("""COMPUTED_VALUE"""),"✅ ĐỦ HÀNG")</f>
        <v>✅ ĐỦ HÀNG</v>
      </c>
    </row>
    <row r="701">
      <c r="A701" s="38" t="str">
        <f>IFERROR(__xludf.DUMMYFUNCTION("""COMPUTED_VALUE"""),"Hằng Min’s")</f>
        <v>Hằng Min’s</v>
      </c>
      <c r="B701" s="38">
        <v>1.0</v>
      </c>
      <c r="C701" s="38" t="str">
        <f>IFERROR(__xludf.DUMMYFUNCTION("""COMPUTED_VALUE"""),"✅ ĐỦ HÀNG")</f>
        <v>✅ ĐỦ HÀNG</v>
      </c>
    </row>
    <row r="702">
      <c r="A702" s="38" t="str">
        <f>IFERROR(__xludf.DUMMYFUNCTION("""COMPUTED_VALUE"""),"Hồng Nhung")</f>
        <v>Hồng Nhung</v>
      </c>
      <c r="B702" s="38">
        <v>6.0</v>
      </c>
      <c r="C702" s="38" t="str">
        <f>IFERROR(__xludf.DUMMYFUNCTION("""COMPUTED_VALUE"""),"✅ ĐỦ HÀNG")</f>
        <v>✅ ĐỦ HÀNG</v>
      </c>
    </row>
    <row r="703">
      <c r="A703" s="38" t="str">
        <f>IFERROR(__xludf.DUMMYFUNCTION("""COMPUTED_VALUE"""),"Trang Thu")</f>
        <v>Trang Thu</v>
      </c>
      <c r="B703" s="38">
        <v>5.0</v>
      </c>
      <c r="C703" s="38" t="str">
        <f>IFERROR(__xludf.DUMMYFUNCTION("""COMPUTED_VALUE"""),"✅ ĐỦ HÀNG")</f>
        <v>✅ ĐỦ HÀNG</v>
      </c>
    </row>
    <row r="704">
      <c r="A704" s="38" t="str">
        <f>IFERROR(__xludf.DUMMYFUNCTION("""COMPUTED_VALUE"""),"Hạ Hạ")</f>
        <v>Hạ Hạ</v>
      </c>
      <c r="B704" s="38">
        <v>3.0</v>
      </c>
      <c r="C704" s="38" t="str">
        <f>IFERROR(__xludf.DUMMYFUNCTION("""COMPUTED_VALUE"""),"✅ ĐỦ HÀNG")</f>
        <v>✅ ĐỦ HÀNG</v>
      </c>
    </row>
    <row r="705">
      <c r="A705" s="38" t="str">
        <f>IFERROR(__xludf.DUMMYFUNCTION("""COMPUTED_VALUE"""),"Lê Thị Hương Giang")</f>
        <v>Lê Thị Hương Giang</v>
      </c>
      <c r="B705" s="38">
        <v>2.0</v>
      </c>
      <c r="C705" s="38" t="str">
        <f>IFERROR(__xludf.DUMMYFUNCTION("""COMPUTED_VALUE"""),"✅ ĐỦ HÀNG")</f>
        <v>✅ ĐỦ HÀNG</v>
      </c>
    </row>
    <row r="706">
      <c r="A706" s="38" t="str">
        <f>IFERROR(__xludf.DUMMYFUNCTION("""COMPUTED_VALUE"""),"Thanh Khiết")</f>
        <v>Thanh Khiết</v>
      </c>
      <c r="B706" s="38">
        <v>1.0</v>
      </c>
      <c r="C706" s="38" t="str">
        <f>IFERROR(__xludf.DUMMYFUNCTION("""COMPUTED_VALUE"""),"✅ ĐỦ HÀNG")</f>
        <v>✅ ĐỦ HÀNG</v>
      </c>
    </row>
    <row r="707">
      <c r="A707" s="38" t="str">
        <f>IFERROR(__xludf.DUMMYFUNCTION("""COMPUTED_VALUE"""),"Lan Anh Hoàng")</f>
        <v>Lan Anh Hoàng</v>
      </c>
      <c r="B707" s="38">
        <v>2.0</v>
      </c>
      <c r="C707" s="38" t="str">
        <f>IFERROR(__xludf.DUMMYFUNCTION("""COMPUTED_VALUE"""),"✅ ĐỦ HÀNG")</f>
        <v>✅ ĐỦ HÀNG</v>
      </c>
    </row>
    <row r="708">
      <c r="A708" s="38" t="str">
        <f>IFERROR(__xludf.DUMMYFUNCTION("""COMPUTED_VALUE"""),"Thảo Nhi")</f>
        <v>Thảo Nhi</v>
      </c>
      <c r="B708" s="38">
        <v>4.0</v>
      </c>
      <c r="C708" s="38" t="str">
        <f>IFERROR(__xludf.DUMMYFUNCTION("""COMPUTED_VALUE"""),"✅ ĐỦ HÀNG")</f>
        <v>✅ ĐỦ HÀNG</v>
      </c>
    </row>
    <row r="709">
      <c r="A709" s="38" t="str">
        <f>IFERROR(__xludf.DUMMYFUNCTION("""COMPUTED_VALUE"""),"Mai Nguyễn")</f>
        <v>Mai Nguyễn</v>
      </c>
      <c r="B709" s="38">
        <v>1.0</v>
      </c>
      <c r="C709" s="38" t="str">
        <f>IFERROR(__xludf.DUMMYFUNCTION("""COMPUTED_VALUE"""),"✅ ĐỦ HÀNG")</f>
        <v>✅ ĐỦ HÀNG</v>
      </c>
    </row>
    <row r="710">
      <c r="A710" s="38" t="str">
        <f>IFERROR(__xludf.DUMMYFUNCTION("""COMPUTED_VALUE"""),"Nguyễn Thị Phương")</f>
        <v>Nguyễn Thị Phương</v>
      </c>
      <c r="B710" s="38">
        <v>2.0</v>
      </c>
      <c r="C710" s="38" t="str">
        <f>IFERROR(__xludf.DUMMYFUNCTION("""COMPUTED_VALUE"""),"✅ ĐỦ HÀNG")</f>
        <v>✅ ĐỦ HÀNG</v>
      </c>
    </row>
    <row r="711">
      <c r="A711" s="38" t="str">
        <f>IFERROR(__xludf.DUMMYFUNCTION("""COMPUTED_VALUE"""),"Lê Tuyết Như")</f>
        <v>Lê Tuyết Như</v>
      </c>
      <c r="B711" s="38">
        <v>1.0</v>
      </c>
      <c r="C711" s="38" t="str">
        <f>IFERROR(__xludf.DUMMYFUNCTION("""COMPUTED_VALUE"""),"✅ ĐỦ HÀNG")</f>
        <v>✅ ĐỦ HÀNG</v>
      </c>
    </row>
    <row r="712">
      <c r="A712" s="38" t="str">
        <f>IFERROR(__xludf.DUMMYFUNCTION("""COMPUTED_VALUE"""),"Phương Huyền")</f>
        <v>Phương Huyền</v>
      </c>
      <c r="B712" s="38">
        <v>1.0</v>
      </c>
      <c r="C712" s="38" t="str">
        <f>IFERROR(__xludf.DUMMYFUNCTION("""COMPUTED_VALUE"""),"✅ ĐỦ HÀNG")</f>
        <v>✅ ĐỦ HÀNG</v>
      </c>
    </row>
    <row r="713">
      <c r="A713" s="38" t="str">
        <f>IFERROR(__xludf.DUMMYFUNCTION("""COMPUTED_VALUE"""),"Hoàng Trang")</f>
        <v>Hoàng Trang</v>
      </c>
      <c r="B713" s="38">
        <v>3.0</v>
      </c>
      <c r="C713" s="38" t="str">
        <f>IFERROR(__xludf.DUMMYFUNCTION("""COMPUTED_VALUE"""),"✅ ĐỦ HÀNG")</f>
        <v>✅ ĐỦ HÀNG</v>
      </c>
    </row>
    <row r="714">
      <c r="A714" s="38" t="str">
        <f>IFERROR(__xludf.DUMMYFUNCTION("""COMPUTED_VALUE"""),"Lê Quỳnh Như")</f>
        <v>Lê Quỳnh Như</v>
      </c>
      <c r="B714" s="38">
        <v>2.0</v>
      </c>
      <c r="C714" s="38" t="str">
        <f>IFERROR(__xludf.DUMMYFUNCTION("""COMPUTED_VALUE"""),"✅ ĐỦ HÀNG")</f>
        <v>✅ ĐỦ HÀNG</v>
      </c>
    </row>
    <row r="715">
      <c r="A715" s="38" t="str">
        <f>IFERROR(__xludf.DUMMYFUNCTION("""COMPUTED_VALUE"""),"Tran Dang")</f>
        <v>Tran Dang</v>
      </c>
      <c r="B715" s="38">
        <v>3.0</v>
      </c>
      <c r="C715" s="38" t="str">
        <f>IFERROR(__xludf.DUMMYFUNCTION("""COMPUTED_VALUE"""),"✅ ĐỦ HÀNG")</f>
        <v>✅ ĐỦ HÀNG</v>
      </c>
    </row>
    <row r="716">
      <c r="A716" s="38" t="str">
        <f>IFERROR(__xludf.DUMMYFUNCTION("""COMPUTED_VALUE"""),"PhanThi Huyen")</f>
        <v>PhanThi Huyen</v>
      </c>
      <c r="B716" s="38">
        <v>3.0</v>
      </c>
      <c r="C716" s="38" t="str">
        <f>IFERROR(__xludf.DUMMYFUNCTION("""COMPUTED_VALUE"""),"✅ ĐỦ HÀNG")</f>
        <v>✅ ĐỦ HÀNG</v>
      </c>
    </row>
    <row r="717">
      <c r="A717" s="38" t="str">
        <f>IFERROR(__xludf.DUMMYFUNCTION("""COMPUTED_VALUE"""),"Đặng Ngọc Lan")</f>
        <v>Đặng Ngọc Lan</v>
      </c>
      <c r="B717" s="38">
        <v>3.0</v>
      </c>
      <c r="C717" s="38" t="str">
        <f>IFERROR(__xludf.DUMMYFUNCTION("""COMPUTED_VALUE"""),"✅ ĐỦ HÀNG")</f>
        <v>✅ ĐỦ HÀNG</v>
      </c>
    </row>
    <row r="718">
      <c r="A718" s="38" t="str">
        <f>IFERROR(__xludf.DUMMYFUNCTION("""COMPUTED_VALUE"""),"Trần Huệ")</f>
        <v>Trần Huệ</v>
      </c>
      <c r="B718" s="38">
        <v>5.0</v>
      </c>
      <c r="C718" s="38" t="str">
        <f>IFERROR(__xludf.DUMMYFUNCTION("""COMPUTED_VALUE"""),"✅ ĐỦ HÀNG")</f>
        <v>✅ ĐỦ HÀNG</v>
      </c>
    </row>
    <row r="719">
      <c r="A719" s="38" t="str">
        <f>IFERROR(__xludf.DUMMYFUNCTION("""COMPUTED_VALUE"""),"Tiên Tiênn")</f>
        <v>Tiên Tiênn</v>
      </c>
      <c r="B719" s="38">
        <v>1.0</v>
      </c>
      <c r="C719" s="38" t="str">
        <f>IFERROR(__xludf.DUMMYFUNCTION("""COMPUTED_VALUE"""),"✅ ĐỦ HÀNG")</f>
        <v>✅ ĐỦ HÀNG</v>
      </c>
    </row>
    <row r="720">
      <c r="A720" s="38" t="str">
        <f>IFERROR(__xludf.DUMMYFUNCTION("""COMPUTED_VALUE"""),"Thuỳ Linh Ốc Nhồi")</f>
        <v>Thuỳ Linh Ốc Nhồi</v>
      </c>
      <c r="B720" s="38">
        <v>1.0</v>
      </c>
      <c r="C720" s="38" t="str">
        <f>IFERROR(__xludf.DUMMYFUNCTION("""COMPUTED_VALUE"""),"✅ ĐỦ HÀNG")</f>
        <v>✅ ĐỦ HÀNG</v>
      </c>
    </row>
    <row r="721">
      <c r="A721" s="38" t="str">
        <f>IFERROR(__xludf.DUMMYFUNCTION("""COMPUTED_VALUE"""),"Daiichi Hà")</f>
        <v>Daiichi Hà</v>
      </c>
      <c r="B721" s="38">
        <v>2.0</v>
      </c>
      <c r="C721" s="38" t="str">
        <f>IFERROR(__xludf.DUMMYFUNCTION("""COMPUTED_VALUE"""),"✅ ĐỦ HÀNG")</f>
        <v>✅ ĐỦ HÀNG</v>
      </c>
    </row>
    <row r="722">
      <c r="A722" s="38" t="str">
        <f>IFERROR(__xludf.DUMMYFUNCTION("""COMPUTED_VALUE"""),"Bún Hà")</f>
        <v>Bún Hà</v>
      </c>
      <c r="B722" s="38">
        <v>1.0</v>
      </c>
      <c r="C722" s="38" t="str">
        <f>IFERROR(__xludf.DUMMYFUNCTION("""COMPUTED_VALUE"""),"✅ ĐỦ HÀNG")</f>
        <v>✅ ĐỦ HÀNG</v>
      </c>
    </row>
    <row r="723">
      <c r="A723" s="38" t="str">
        <f>IFERROR(__xludf.DUMMYFUNCTION("""COMPUTED_VALUE"""),"Ngoc Anh")</f>
        <v>Ngoc Anh</v>
      </c>
      <c r="B723" s="38">
        <v>1.0</v>
      </c>
      <c r="C723" s="38" t="str">
        <f>IFERROR(__xludf.DUMMYFUNCTION("""COMPUTED_VALUE"""),"✅ ĐỦ HÀNG")</f>
        <v>✅ ĐỦ HÀNG</v>
      </c>
    </row>
    <row r="724">
      <c r="A724" s="38" t="str">
        <f>IFERROR(__xludf.DUMMYFUNCTION("""COMPUTED_VALUE"""),"Ngọc Tẹt")</f>
        <v>Ngọc Tẹt</v>
      </c>
      <c r="B724" s="38">
        <v>1.0</v>
      </c>
      <c r="C724" s="38" t="str">
        <f>IFERROR(__xludf.DUMMYFUNCTION("""COMPUTED_VALUE"""),"✅ ĐỦ HÀNG")</f>
        <v>✅ ĐỦ HÀNG</v>
      </c>
    </row>
    <row r="725">
      <c r="A725" s="38" t="str">
        <f>IFERROR(__xludf.DUMMYFUNCTION("""COMPUTED_VALUE"""),"Thị Loan")</f>
        <v>Thị Loan</v>
      </c>
      <c r="B725" s="38">
        <v>1.0</v>
      </c>
      <c r="C725" s="38" t="str">
        <f>IFERROR(__xludf.DUMMYFUNCTION("""COMPUTED_VALUE"""),"✅ ĐỦ HÀNG")</f>
        <v>✅ ĐỦ HÀNG</v>
      </c>
    </row>
    <row r="726">
      <c r="A726" s="38" t="str">
        <f>IFERROR(__xludf.DUMMYFUNCTION("""COMPUTED_VALUE"""),"Lin Lin")</f>
        <v>Lin Lin</v>
      </c>
      <c r="B726" s="38">
        <v>1.0</v>
      </c>
      <c r="C726" s="38" t="str">
        <f>IFERROR(__xludf.DUMMYFUNCTION("""COMPUTED_VALUE"""),"✅ ĐỦ HÀNG")</f>
        <v>✅ ĐỦ HÀNG</v>
      </c>
    </row>
    <row r="727">
      <c r="A727" s="38" t="str">
        <f>IFERROR(__xludf.DUMMYFUNCTION("""COMPUTED_VALUE"""),"Tống Hiền")</f>
        <v>Tống Hiền</v>
      </c>
      <c r="B727" s="38">
        <v>1.0</v>
      </c>
      <c r="C727" s="38" t="str">
        <f>IFERROR(__xludf.DUMMYFUNCTION("""COMPUTED_VALUE"""),"✅ ĐỦ HÀNG")</f>
        <v>✅ ĐỦ HÀNG</v>
      </c>
    </row>
    <row r="728">
      <c r="A728" s="38" t="str">
        <f>IFERROR(__xludf.DUMMYFUNCTION("""COMPUTED_VALUE"""),"Lan Anhh")</f>
        <v>Lan Anhh</v>
      </c>
      <c r="B728" s="38">
        <v>1.0</v>
      </c>
      <c r="C728" s="38" t="str">
        <f>IFERROR(__xludf.DUMMYFUNCTION("""COMPUTED_VALUE"""),"✅ ĐỦ HÀNG")</f>
        <v>✅ ĐỦ HÀNG</v>
      </c>
    </row>
    <row r="729">
      <c r="A729" s="38" t="str">
        <f>IFERROR(__xludf.DUMMYFUNCTION("""COMPUTED_VALUE"""),"Hoàng Trang1")</f>
        <v>Hoàng Trang1</v>
      </c>
      <c r="B729" s="38">
        <v>1.0</v>
      </c>
      <c r="C729" s="38" t="str">
        <f>IFERROR(__xludf.DUMMYFUNCTION("""COMPUTED_VALUE"""),"✅ ĐỦ HÀNG")</f>
        <v>✅ ĐỦ HÀNG</v>
      </c>
    </row>
    <row r="730">
      <c r="A730" s="38" t="str">
        <f>IFERROR(__xludf.DUMMYFUNCTION("""COMPUTED_VALUE"""),"Yến Chíp")</f>
        <v>Yến Chíp</v>
      </c>
      <c r="B730" s="38">
        <v>2.0</v>
      </c>
      <c r="C730" s="38" t="str">
        <f>IFERROR(__xludf.DUMMYFUNCTION("""COMPUTED_VALUE"""),"✅ ĐỦ HÀNG")</f>
        <v>✅ ĐỦ HÀNG</v>
      </c>
    </row>
    <row r="731">
      <c r="A731" s="38" t="str">
        <f>IFERROR(__xludf.DUMMYFUNCTION("""COMPUTED_VALUE"""),"Phương Vũ")</f>
        <v>Phương Vũ</v>
      </c>
      <c r="B731" s="38">
        <v>2.0</v>
      </c>
      <c r="C731" s="38" t="str">
        <f>IFERROR(__xludf.DUMMYFUNCTION("""COMPUTED_VALUE"""),"✅ ĐỦ HÀNG")</f>
        <v>✅ ĐỦ HÀNG</v>
      </c>
    </row>
    <row r="732">
      <c r="A732" s="38" t="str">
        <f>IFERROR(__xludf.DUMMYFUNCTION("""COMPUTED_VALUE"""),"An An")</f>
        <v>An An</v>
      </c>
      <c r="B732" s="38">
        <v>3.0</v>
      </c>
      <c r="C732" s="38" t="str">
        <f>IFERROR(__xludf.DUMMYFUNCTION("""COMPUTED_VALUE"""),"✅ ĐỦ HÀNG")</f>
        <v>✅ ĐỦ HÀNG</v>
      </c>
    </row>
    <row r="733">
      <c r="A733" s="38" t="str">
        <f>IFERROR(__xludf.DUMMYFUNCTION("""COMPUTED_VALUE"""),"Hoàng Thu")</f>
        <v>Hoàng Thu</v>
      </c>
      <c r="B733" s="38">
        <v>1.0</v>
      </c>
      <c r="C733" s="38" t="str">
        <f>IFERROR(__xludf.DUMMYFUNCTION("""COMPUTED_VALUE"""),"✅ ĐỦ HÀNG")</f>
        <v>✅ ĐỦ HÀNG</v>
      </c>
    </row>
    <row r="734">
      <c r="A734" s="38" t="str">
        <f>IFERROR(__xludf.DUMMYFUNCTION("""COMPUTED_VALUE"""),"Kim Duyên")</f>
        <v>Kim Duyên</v>
      </c>
      <c r="B734" s="38">
        <v>5.0</v>
      </c>
      <c r="C734" s="38" t="str">
        <f>IFERROR(__xludf.DUMMYFUNCTION("""COMPUTED_VALUE"""),"✅ ĐỦ HÀNG")</f>
        <v>✅ ĐỦ HÀNG</v>
      </c>
    </row>
    <row r="735">
      <c r="A735" s="38" t="str">
        <f>IFERROR(__xludf.DUMMYFUNCTION("""COMPUTED_VALUE"""),"Kim Dunn")</f>
        <v>Kim Dunn</v>
      </c>
      <c r="B735" s="38">
        <v>1.0</v>
      </c>
      <c r="C735" s="38" t="str">
        <f>IFERROR(__xludf.DUMMYFUNCTION("""COMPUTED_VALUE"""),"✅ ĐỦ HÀNG")</f>
        <v>✅ ĐỦ HÀNG</v>
      </c>
    </row>
    <row r="736">
      <c r="A736" s="38" t="str">
        <f>IFERROR(__xludf.DUMMYFUNCTION("""COMPUTED_VALUE"""),"Trần Thuỷ Tiên")</f>
        <v>Trần Thuỷ Tiên</v>
      </c>
      <c r="B736" s="38">
        <v>1.0</v>
      </c>
      <c r="C736" s="38" t="str">
        <f>IFERROR(__xludf.DUMMYFUNCTION("""COMPUTED_VALUE"""),"✅ ĐỦ HÀNG")</f>
        <v>✅ ĐỦ HÀNG</v>
      </c>
    </row>
    <row r="737">
      <c r="A737" s="38" t="str">
        <f>IFERROR(__xludf.DUMMYFUNCTION("""COMPUTED_VALUE"""),"Thuỷ Rose")</f>
        <v>Thuỷ Rose</v>
      </c>
      <c r="B737" s="38">
        <v>1.0</v>
      </c>
      <c r="C737" s="38" t="str">
        <f>IFERROR(__xludf.DUMMYFUNCTION("""COMPUTED_VALUE"""),"✅ ĐỦ HÀNG")</f>
        <v>✅ ĐỦ HÀNG</v>
      </c>
    </row>
    <row r="738">
      <c r="A738" s="38" t="str">
        <f>IFERROR(__xludf.DUMMYFUNCTION("""COMPUTED_VALUE"""),"Giò Dăm Bông")</f>
        <v>Giò Dăm Bông</v>
      </c>
      <c r="B738" s="38">
        <v>1.0</v>
      </c>
      <c r="C738" s="38" t="str">
        <f>IFERROR(__xludf.DUMMYFUNCTION("""COMPUTED_VALUE"""),"✅ ĐỦ HÀNG")</f>
        <v>✅ ĐỦ HÀNG</v>
      </c>
    </row>
    <row r="739">
      <c r="A739" s="38" t="str">
        <f>IFERROR(__xludf.DUMMYFUNCTION("""COMPUTED_VALUE"""),"Nguyễn Ngọc")</f>
        <v>Nguyễn Ngọc</v>
      </c>
      <c r="B739" s="38">
        <v>1.0</v>
      </c>
      <c r="C739" s="38" t="str">
        <f>IFERROR(__xludf.DUMMYFUNCTION("""COMPUTED_VALUE"""),"✅ ĐỦ HÀNG")</f>
        <v>✅ ĐỦ HÀNG</v>
      </c>
    </row>
    <row r="740">
      <c r="A740" s="38" t="str">
        <f>IFERROR(__xludf.DUMMYFUNCTION("""COMPUTED_VALUE"""),"Hằng Nguyễn")</f>
        <v>Hằng Nguyễn</v>
      </c>
      <c r="B740" s="38">
        <v>1.0</v>
      </c>
      <c r="C740" s="38" t="str">
        <f>IFERROR(__xludf.DUMMYFUNCTION("""COMPUTED_VALUE"""),"✅ ĐỦ HÀNG")</f>
        <v>✅ ĐỦ HÀNG</v>
      </c>
    </row>
    <row r="741">
      <c r="A741" s="38" t="str">
        <f>IFERROR(__xludf.DUMMYFUNCTION("""COMPUTED_VALUE"""),"Hà Linh")</f>
        <v>Hà Linh</v>
      </c>
      <c r="B741" s="38">
        <v>1.0</v>
      </c>
      <c r="C741" s="38" t="str">
        <f>IFERROR(__xludf.DUMMYFUNCTION("""COMPUTED_VALUE"""),"✅ ĐỦ HÀNG")</f>
        <v>✅ ĐỦ HÀNG</v>
      </c>
    </row>
    <row r="742">
      <c r="A742" s="38" t="str">
        <f>IFERROR(__xludf.DUMMYFUNCTION("""COMPUTED_VALUE"""),"My Yu")</f>
        <v>My Yu</v>
      </c>
      <c r="B742" s="38">
        <v>6.0</v>
      </c>
      <c r="C742" s="38" t="str">
        <f>IFERROR(__xludf.DUMMYFUNCTION("""COMPUTED_VALUE"""),"✅ ĐỦ HÀNG")</f>
        <v>✅ ĐỦ HÀNG</v>
      </c>
    </row>
    <row r="743">
      <c r="A743" s="38" t="str">
        <f>IFERROR(__xludf.DUMMYFUNCTION("""COMPUTED_VALUE"""),"Van Anh")</f>
        <v>Van Anh</v>
      </c>
      <c r="B743" s="38">
        <v>1.0</v>
      </c>
      <c r="C743" s="38" t="str">
        <f>IFERROR(__xludf.DUMMYFUNCTION("""COMPUTED_VALUE"""),"✅ ĐỦ HÀNG")</f>
        <v>✅ ĐỦ HÀNG</v>
      </c>
    </row>
    <row r="744">
      <c r="A744" s="38" t="str">
        <f>IFERROR(__xludf.DUMMYFUNCTION("""COMPUTED_VALUE"""),"Hồ Trọng Lưu")</f>
        <v>Hồ Trọng Lưu</v>
      </c>
      <c r="B744" s="38">
        <v>1.0</v>
      </c>
      <c r="C744" s="38" t="str">
        <f>IFERROR(__xludf.DUMMYFUNCTION("""COMPUTED_VALUE"""),"✅ ĐỦ HÀNG")</f>
        <v>✅ ĐỦ HÀNG</v>
      </c>
    </row>
    <row r="745">
      <c r="A745" s="38" t="str">
        <f>IFERROR(__xludf.DUMMYFUNCTION("""COMPUTED_VALUE"""),"Hà V. Điệp")</f>
        <v>Hà V. Điệp</v>
      </c>
      <c r="B745" s="38">
        <v>1.0</v>
      </c>
      <c r="C745" s="38" t="str">
        <f>IFERROR(__xludf.DUMMYFUNCTION("""COMPUTED_VALUE"""),"✅ ĐỦ HÀNG")</f>
        <v>✅ ĐỦ HÀNG</v>
      </c>
    </row>
    <row r="746">
      <c r="A746" s="38" t="str">
        <f>IFERROR(__xludf.DUMMYFUNCTION("""COMPUTED_VALUE"""),"Nguyễn Nga")</f>
        <v>Nguyễn Nga</v>
      </c>
      <c r="B746" s="38">
        <v>2.0</v>
      </c>
      <c r="C746" s="38" t="str">
        <f>IFERROR(__xludf.DUMMYFUNCTION("""COMPUTED_VALUE"""),"✅ ĐỦ HÀNG")</f>
        <v>✅ ĐỦ HÀNG</v>
      </c>
    </row>
    <row r="747">
      <c r="A747" s="38" t="str">
        <f>IFERROR(__xludf.DUMMYFUNCTION("""COMPUTED_VALUE"""),"Bé Tí Teo")</f>
        <v>Bé Tí Teo</v>
      </c>
      <c r="B747" s="38">
        <v>1.0</v>
      </c>
      <c r="C747" s="38" t="str">
        <f>IFERROR(__xludf.DUMMYFUNCTION("""COMPUTED_VALUE"""),"✅ ĐỦ HÀNG")</f>
        <v>✅ ĐỦ HÀNG</v>
      </c>
    </row>
    <row r="748">
      <c r="A748" s="38" t="str">
        <f>IFERROR(__xludf.DUMMYFUNCTION("""COMPUTED_VALUE"""),"Thảo Thảo")</f>
        <v>Thảo Thảo</v>
      </c>
      <c r="B748" s="38">
        <v>1.0</v>
      </c>
      <c r="C748" s="38" t="str">
        <f>IFERROR(__xludf.DUMMYFUNCTION("""COMPUTED_VALUE"""),"✅ ĐỦ HÀNG")</f>
        <v>✅ ĐỦ HÀNG</v>
      </c>
    </row>
    <row r="749">
      <c r="A749" s="38" t="str">
        <f>IFERROR(__xludf.DUMMYFUNCTION("""COMPUTED_VALUE"""),"Như Thảo")</f>
        <v>Như Thảo</v>
      </c>
      <c r="B749" s="38">
        <v>2.0</v>
      </c>
      <c r="C749" s="38" t="str">
        <f>IFERROR(__xludf.DUMMYFUNCTION("""COMPUTED_VALUE"""),"✅ ĐỦ HÀNG")</f>
        <v>✅ ĐỦ HÀNG</v>
      </c>
    </row>
    <row r="750">
      <c r="A750" s="38" t="str">
        <f>IFERROR(__xludf.DUMMYFUNCTION("""COMPUTED_VALUE"""),"Hậu Nguyễnn")</f>
        <v>Hậu Nguyễnn</v>
      </c>
      <c r="B750" s="38">
        <v>2.0</v>
      </c>
      <c r="C750" s="38" t="str">
        <f>IFERROR(__xludf.DUMMYFUNCTION("""COMPUTED_VALUE"""),"✅ ĐỦ HÀNG")</f>
        <v>✅ ĐỦ HÀNG</v>
      </c>
    </row>
    <row r="751">
      <c r="A751" s="38" t="str">
        <f>IFERROR(__xludf.DUMMYFUNCTION("""COMPUTED_VALUE"""),"Thanh Thuý")</f>
        <v>Thanh Thuý</v>
      </c>
      <c r="B751" s="38">
        <v>1.0</v>
      </c>
      <c r="C751" s="38" t="str">
        <f>IFERROR(__xludf.DUMMYFUNCTION("""COMPUTED_VALUE"""),"✅ ĐỦ HÀNG")</f>
        <v>✅ ĐỦ HÀNG</v>
      </c>
    </row>
    <row r="752">
      <c r="A752" s="38" t="str">
        <f>IFERROR(__xludf.DUMMYFUNCTION("""COMPUTED_VALUE"""),"Hoa Nắng")</f>
        <v>Hoa Nắng</v>
      </c>
      <c r="B752" s="38">
        <v>1.0</v>
      </c>
      <c r="C752" s="38" t="str">
        <f>IFERROR(__xludf.DUMMYFUNCTION("""COMPUTED_VALUE"""),"✅ ĐỦ HÀNG")</f>
        <v>✅ ĐỦ HÀNG</v>
      </c>
    </row>
    <row r="753">
      <c r="A753" s="38" t="str">
        <f>IFERROR(__xludf.DUMMYFUNCTION("""COMPUTED_VALUE"""),"Nguyễn Thị Thanh Hương")</f>
        <v>Nguyễn Thị Thanh Hương</v>
      </c>
      <c r="B753" s="38">
        <v>1.0</v>
      </c>
      <c r="C753" s="38" t="str">
        <f>IFERROR(__xludf.DUMMYFUNCTION("""COMPUTED_VALUE"""),"✅ ĐỦ HÀNG")</f>
        <v>✅ ĐỦ HÀNG</v>
      </c>
    </row>
    <row r="754">
      <c r="A754" s="38" t="str">
        <f>IFERROR(__xludf.DUMMYFUNCTION("""COMPUTED_VALUE"""),"Han Lee")</f>
        <v>Han Lee</v>
      </c>
      <c r="B754" s="38">
        <v>2.0</v>
      </c>
      <c r="C754" s="38" t="str">
        <f>IFERROR(__xludf.DUMMYFUNCTION("""COMPUTED_VALUE"""),"✅ ĐỦ HÀNG")</f>
        <v>✅ ĐỦ HÀNG</v>
      </c>
    </row>
    <row r="755">
      <c r="A755" s="38" t="str">
        <f>IFERROR(__xludf.DUMMYFUNCTION("""COMPUTED_VALUE"""),"Nguyễn Thị Hà Trang")</f>
        <v>Nguyễn Thị Hà Trang</v>
      </c>
      <c r="B755" s="38">
        <v>1.0</v>
      </c>
      <c r="C755" s="38" t="str">
        <f>IFERROR(__xludf.DUMMYFUNCTION("""COMPUTED_VALUE"""),"✅ ĐỦ HÀNG")</f>
        <v>✅ ĐỦ HÀNG</v>
      </c>
    </row>
    <row r="756">
      <c r="A756" s="38" t="str">
        <f>IFERROR(__xludf.DUMMYFUNCTION("""COMPUTED_VALUE"""),"Mỹ Linh")</f>
        <v>Mỹ Linh</v>
      </c>
      <c r="B756" s="38">
        <v>1.0</v>
      </c>
      <c r="C756" s="38" t="str">
        <f>IFERROR(__xludf.DUMMYFUNCTION("""COMPUTED_VALUE"""),"✅ ĐỦ HÀNG")</f>
        <v>✅ ĐỦ HÀNG</v>
      </c>
    </row>
    <row r="757">
      <c r="A757" s="38" t="str">
        <f>IFERROR(__xludf.DUMMYFUNCTION("""COMPUTED_VALUE"""),"Anh Kieu Bảo")</f>
        <v>Anh Kieu Bảo</v>
      </c>
      <c r="B757" s="38">
        <v>1.0</v>
      </c>
      <c r="C757" s="38" t="str">
        <f>IFERROR(__xludf.DUMMYFUNCTION("""COMPUTED_VALUE"""),"✅ ĐỦ HÀNG")</f>
        <v>✅ ĐỦ HÀNG</v>
      </c>
    </row>
    <row r="758">
      <c r="A758" s="38" t="str">
        <f>IFERROR(__xludf.DUMMYFUNCTION("""COMPUTED_VALUE"""),"Thu Hồng")</f>
        <v>Thu Hồng</v>
      </c>
      <c r="B758" s="38">
        <v>1.0</v>
      </c>
      <c r="C758" s="38" t="str">
        <f>IFERROR(__xludf.DUMMYFUNCTION("""COMPUTED_VALUE"""),"✅ ĐỦ HÀNG")</f>
        <v>✅ ĐỦ HÀNG</v>
      </c>
    </row>
    <row r="759">
      <c r="A759" s="38" t="str">
        <f>IFERROR(__xludf.DUMMYFUNCTION("""COMPUTED_VALUE"""),"Mili Ket")</f>
        <v>Mili Ket</v>
      </c>
      <c r="B759" s="38">
        <v>1.0</v>
      </c>
      <c r="C759" s="38" t="str">
        <f>IFERROR(__xludf.DUMMYFUNCTION("""COMPUTED_VALUE"""),"✅ ĐỦ HÀNG")</f>
        <v>✅ ĐỦ HÀNG</v>
      </c>
    </row>
    <row r="760">
      <c r="A760" s="38" t="str">
        <f>IFERROR(__xludf.DUMMYFUNCTION("""COMPUTED_VALUE"""),"Thu Vui")</f>
        <v>Thu Vui</v>
      </c>
      <c r="B760" s="38">
        <v>2.0</v>
      </c>
      <c r="C760" s="38" t="str">
        <f>IFERROR(__xludf.DUMMYFUNCTION("""COMPUTED_VALUE"""),"✅ ĐỦ HÀNG")</f>
        <v>✅ ĐỦ HÀNG</v>
      </c>
    </row>
    <row r="761">
      <c r="A761" s="38" t="str">
        <f>IFERROR(__xludf.DUMMYFUNCTION("""COMPUTED_VALUE"""),"Mei Mei")</f>
        <v>Mei Mei</v>
      </c>
      <c r="B761" s="38">
        <v>1.0</v>
      </c>
      <c r="C761" s="38" t="str">
        <f>IFERROR(__xludf.DUMMYFUNCTION("""COMPUTED_VALUE"""),"✅ ĐỦ HÀNG")</f>
        <v>✅ ĐỦ HÀNG</v>
      </c>
    </row>
    <row r="762">
      <c r="A762" s="38" t="str">
        <f>IFERROR(__xludf.DUMMYFUNCTION("""COMPUTED_VALUE"""),"Đặng Kiều")</f>
        <v>Đặng Kiều</v>
      </c>
      <c r="B762" s="38">
        <v>1.0</v>
      </c>
      <c r="C762" s="38" t="str">
        <f>IFERROR(__xludf.DUMMYFUNCTION("""COMPUTED_VALUE"""),"✅ ĐỦ HÀNG")</f>
        <v>✅ ĐỦ HÀNG</v>
      </c>
    </row>
    <row r="763">
      <c r="A763" s="38" t="str">
        <f>IFERROR(__xludf.DUMMYFUNCTION("""COMPUTED_VALUE"""),"Nguyễn Bích Phương")</f>
        <v>Nguyễn Bích Phương</v>
      </c>
      <c r="B763" s="38">
        <v>1.0</v>
      </c>
      <c r="C763" s="38" t="str">
        <f>IFERROR(__xludf.DUMMYFUNCTION("""COMPUTED_VALUE"""),"✅ ĐỦ HÀNG")</f>
        <v>✅ ĐỦ HÀNG</v>
      </c>
    </row>
    <row r="764">
      <c r="A764" s="38" t="str">
        <f>IFERROR(__xludf.DUMMYFUNCTION("""COMPUTED_VALUE"""),"Hương Nguyễn")</f>
        <v>Hương Nguyễn</v>
      </c>
      <c r="B764" s="38">
        <v>2.0</v>
      </c>
      <c r="C764" s="38" t="str">
        <f>IFERROR(__xludf.DUMMYFUNCTION("""COMPUTED_VALUE"""),"✅ ĐỦ HÀNG")</f>
        <v>✅ ĐỦ HÀNG</v>
      </c>
    </row>
    <row r="765">
      <c r="A765" s="38" t="str">
        <f>IFERROR(__xludf.DUMMYFUNCTION("""COMPUTED_VALUE"""),"Phuongloan Pham")</f>
        <v>Phuongloan Pham</v>
      </c>
      <c r="B765" s="38">
        <v>2.0</v>
      </c>
      <c r="C765" s="38" t="str">
        <f>IFERROR(__xludf.DUMMYFUNCTION("""COMPUTED_VALUE"""),"✅ ĐỦ HÀNG")</f>
        <v>✅ ĐỦ HÀNG</v>
      </c>
    </row>
    <row r="766">
      <c r="A766" s="38" t="str">
        <f>IFERROR(__xludf.DUMMYFUNCTION("""COMPUTED_VALUE"""),"Trương Thị Lan")</f>
        <v>Trương Thị Lan</v>
      </c>
      <c r="B766" s="38">
        <v>1.0</v>
      </c>
      <c r="C766" s="38" t="str">
        <f>IFERROR(__xludf.DUMMYFUNCTION("""COMPUTED_VALUE"""),"✅ ĐỦ HÀNG")</f>
        <v>✅ ĐỦ HÀNG</v>
      </c>
    </row>
    <row r="767">
      <c r="A767" s="38" t="str">
        <f>IFERROR(__xludf.DUMMYFUNCTION("""COMPUTED_VALUE"""),"Huyền Thu")</f>
        <v>Huyền Thu</v>
      </c>
      <c r="B767" s="38">
        <v>1.0</v>
      </c>
      <c r="C767" s="38" t="str">
        <f>IFERROR(__xludf.DUMMYFUNCTION("""COMPUTED_VALUE"""),"✅ ĐỦ HÀNG")</f>
        <v>✅ ĐỦ HÀNG</v>
      </c>
    </row>
    <row r="768">
      <c r="A768" s="38" t="str">
        <f>IFERROR(__xludf.DUMMYFUNCTION("""COMPUTED_VALUE"""),"Hồng Nhung Nguyễn")</f>
        <v>Hồng Nhung Nguyễn</v>
      </c>
      <c r="B768" s="38">
        <v>2.0</v>
      </c>
      <c r="C768" s="38" t="str">
        <f>IFERROR(__xludf.DUMMYFUNCTION("""COMPUTED_VALUE"""),"✅ ĐỦ HÀNG")</f>
        <v>✅ ĐỦ HÀNG</v>
      </c>
    </row>
    <row r="769">
      <c r="A769" s="38" t="str">
        <f>IFERROR(__xludf.DUMMYFUNCTION("""COMPUTED_VALUE"""),"Bùi Thị Hoài Thu")</f>
        <v>Bùi Thị Hoài Thu</v>
      </c>
      <c r="B769" s="38">
        <v>1.0</v>
      </c>
      <c r="C769" s="38" t="str">
        <f>IFERROR(__xludf.DUMMYFUNCTION("""COMPUTED_VALUE"""),"✅ ĐỦ HÀNG")</f>
        <v>✅ ĐỦ HÀNG</v>
      </c>
    </row>
    <row r="770">
      <c r="A770" s="38" t="str">
        <f>IFERROR(__xludf.DUMMYFUNCTION("""COMPUTED_VALUE"""),"Ly Ly")</f>
        <v>Ly Ly</v>
      </c>
      <c r="B770" s="38">
        <v>7.0</v>
      </c>
      <c r="C770" s="38" t="str">
        <f>IFERROR(__xludf.DUMMYFUNCTION("""COMPUTED_VALUE"""),"✅ ĐỦ HÀNG")</f>
        <v>✅ ĐỦ HÀNG</v>
      </c>
    </row>
    <row r="771">
      <c r="A771" s="38" t="str">
        <f>IFERROR(__xludf.DUMMYFUNCTION("""COMPUTED_VALUE"""),"Nguyễn Thuý Hiền")</f>
        <v>Nguyễn Thuý Hiền</v>
      </c>
      <c r="B771" s="38">
        <v>1.0</v>
      </c>
      <c r="C771" s="38" t="str">
        <f>IFERROR(__xludf.DUMMYFUNCTION("""COMPUTED_VALUE"""),"✅ ĐỦ HÀNG")</f>
        <v>✅ ĐỦ HÀNG</v>
      </c>
    </row>
    <row r="772">
      <c r="A772" s="38" t="str">
        <f>IFERROR(__xludf.DUMMYFUNCTION("""COMPUTED_VALUE"""),"Do Hoang Yen")</f>
        <v>Do Hoang Yen</v>
      </c>
      <c r="B772" s="38">
        <v>3.0</v>
      </c>
      <c r="C772" s="38" t="str">
        <f>IFERROR(__xludf.DUMMYFUNCTION("""COMPUTED_VALUE"""),"✅ ĐỦ HÀNG")</f>
        <v>✅ ĐỦ HÀNG</v>
      </c>
    </row>
    <row r="773">
      <c r="A773" s="38" t="str">
        <f>IFERROR(__xludf.DUMMYFUNCTION("""COMPUTED_VALUE"""),"Huong Bui")</f>
        <v>Huong Bui</v>
      </c>
      <c r="B773" s="38">
        <v>1.0</v>
      </c>
      <c r="C773" s="38" t="str">
        <f>IFERROR(__xludf.DUMMYFUNCTION("""COMPUTED_VALUE"""),"✅ ĐỦ HÀNG")</f>
        <v>✅ ĐỦ HÀNG</v>
      </c>
    </row>
    <row r="774">
      <c r="A774" s="38" t="str">
        <f>IFERROR(__xludf.DUMMYFUNCTION("""COMPUTED_VALUE"""),"Hanhchan Võ")</f>
        <v>Hanhchan Võ</v>
      </c>
      <c r="B774" s="38">
        <v>3.0</v>
      </c>
      <c r="C774" s="38" t="str">
        <f>IFERROR(__xludf.DUMMYFUNCTION("""COMPUTED_VALUE"""),"✅ ĐỦ HÀNG")</f>
        <v>✅ ĐỦ HÀNG</v>
      </c>
    </row>
    <row r="775">
      <c r="A775" s="38" t="str">
        <f>IFERROR(__xludf.DUMMYFUNCTION("""COMPUTED_VALUE"""),"Trang Thiệu")</f>
        <v>Trang Thiệu</v>
      </c>
      <c r="B775" s="38">
        <v>3.0</v>
      </c>
      <c r="C775" s="38" t="str">
        <f>IFERROR(__xludf.DUMMYFUNCTION("""COMPUTED_VALUE"""),"✅ ĐỦ HÀNG")</f>
        <v>✅ ĐỦ HÀNG</v>
      </c>
    </row>
    <row r="776">
      <c r="A776" s="38" t="str">
        <f>IFERROR(__xludf.DUMMYFUNCTION("""COMPUTED_VALUE"""),"Trần T.Thu")</f>
        <v>Trần T.Thu</v>
      </c>
      <c r="B776" s="38">
        <v>3.0</v>
      </c>
      <c r="C776" s="38" t="str">
        <f>IFERROR(__xludf.DUMMYFUNCTION("""COMPUTED_VALUE"""),"✅ ĐỦ HÀNG")</f>
        <v>✅ ĐỦ HÀNG</v>
      </c>
    </row>
    <row r="777">
      <c r="A777" s="38" t="str">
        <f>IFERROR(__xludf.DUMMYFUNCTION("""COMPUTED_VALUE"""),"Nguyễn Thị Kiều Oanh")</f>
        <v>Nguyễn Thị Kiều Oanh</v>
      </c>
      <c r="B777" s="38">
        <v>1.0</v>
      </c>
      <c r="C777" s="38" t="str">
        <f>IFERROR(__xludf.DUMMYFUNCTION("""COMPUTED_VALUE"""),"✅ ĐỦ HÀNG")</f>
        <v>✅ ĐỦ HÀNG</v>
      </c>
    </row>
    <row r="778">
      <c r="A778" s="38" t="str">
        <f>IFERROR(__xludf.DUMMYFUNCTION("""COMPUTED_VALUE"""),"Nguyễn Bích Ngọc")</f>
        <v>Nguyễn Bích Ngọc</v>
      </c>
      <c r="B778" s="38">
        <v>4.0</v>
      </c>
      <c r="C778" s="38" t="str">
        <f>IFERROR(__xludf.DUMMYFUNCTION("""COMPUTED_VALUE"""),"✅ ĐỦ HÀNG")</f>
        <v>✅ ĐỦ HÀNG</v>
      </c>
    </row>
    <row r="779">
      <c r="A779" s="38" t="str">
        <f>IFERROR(__xludf.DUMMYFUNCTION("""COMPUTED_VALUE"""),"Huyền Trang2")</f>
        <v>Huyền Trang2</v>
      </c>
      <c r="B779" s="38">
        <v>3.0</v>
      </c>
      <c r="C779" s="38" t="str">
        <f>IFERROR(__xludf.DUMMYFUNCTION("""COMPUTED_VALUE"""),"✅ ĐỦ HÀNG")</f>
        <v>✅ ĐỦ HÀNG</v>
      </c>
    </row>
    <row r="780">
      <c r="A780" s="38" t="str">
        <f>IFERROR(__xludf.DUMMYFUNCTION("""COMPUTED_VALUE"""),"Phạm Tân TLinh")</f>
        <v>Phạm Tân TLinh</v>
      </c>
      <c r="B780" s="38">
        <v>4.0</v>
      </c>
      <c r="C780" s="38" t="str">
        <f>IFERROR(__xludf.DUMMYFUNCTION("""COMPUTED_VALUE"""),"✅ ĐỦ HÀNG")</f>
        <v>✅ ĐỦ HÀNG</v>
      </c>
    </row>
    <row r="781">
      <c r="A781" s="38" t="str">
        <f>IFERROR(__xludf.DUMMYFUNCTION("""COMPUTED_VALUE"""),"Hồ Hoài Tú")</f>
        <v>Hồ Hoài Tú</v>
      </c>
      <c r="B781" s="38">
        <v>5.0</v>
      </c>
      <c r="C781" s="38" t="str">
        <f>IFERROR(__xludf.DUMMYFUNCTION("""COMPUTED_VALUE"""),"✅ ĐỦ HÀNG")</f>
        <v>✅ ĐỦ HÀNG</v>
      </c>
    </row>
    <row r="782">
      <c r="A782" s="38" t="str">
        <f>IFERROR(__xludf.DUMMYFUNCTION("""COMPUTED_VALUE"""),"Cêcilia Hiền")</f>
        <v>Cêcilia Hiền</v>
      </c>
      <c r="B782" s="38">
        <v>3.0</v>
      </c>
      <c r="C782" s="38" t="str">
        <f>IFERROR(__xludf.DUMMYFUNCTION("""COMPUTED_VALUE"""),"✅ ĐỦ HÀNG")</f>
        <v>✅ ĐỦ HÀNG</v>
      </c>
    </row>
    <row r="783">
      <c r="A783" s="38" t="str">
        <f>IFERROR(__xludf.DUMMYFUNCTION("""COMPUTED_VALUE"""),"Phạm Hương")</f>
        <v>Phạm Hương</v>
      </c>
      <c r="B783" s="38">
        <v>1.0</v>
      </c>
      <c r="C783" s="38" t="str">
        <f>IFERROR(__xludf.DUMMYFUNCTION("""COMPUTED_VALUE"""),"✅ ĐỦ HÀNG")</f>
        <v>✅ ĐỦ HÀNG</v>
      </c>
    </row>
    <row r="784">
      <c r="A784" s="38" t="str">
        <f>IFERROR(__xludf.DUMMYFUNCTION("""COMPUTED_VALUE"""),"Gia Hân")</f>
        <v>Gia Hân</v>
      </c>
      <c r="B784" s="38">
        <v>1.0</v>
      </c>
      <c r="C784" s="38" t="str">
        <f>IFERROR(__xludf.DUMMYFUNCTION("""COMPUTED_VALUE"""),"✅ ĐỦ HÀNG")</f>
        <v>✅ ĐỦ HÀNG</v>
      </c>
    </row>
    <row r="785">
      <c r="A785" s="38" t="str">
        <f>IFERROR(__xludf.DUMMYFUNCTION("""COMPUTED_VALUE"""),"Đinh Ngọc Anh")</f>
        <v>Đinh Ngọc Anh</v>
      </c>
      <c r="B785" s="38">
        <v>1.0</v>
      </c>
      <c r="C785" s="38" t="str">
        <f>IFERROR(__xludf.DUMMYFUNCTION("""COMPUTED_VALUE"""),"✅ ĐỦ HÀNG")</f>
        <v>✅ ĐỦ HÀNG</v>
      </c>
    </row>
    <row r="786">
      <c r="A786" s="38" t="str">
        <f>IFERROR(__xludf.DUMMYFUNCTION("""COMPUTED_VALUE"""),"Duyen Le")</f>
        <v>Duyen Le</v>
      </c>
      <c r="B786" s="38">
        <v>2.0</v>
      </c>
      <c r="C786" s="38" t="str">
        <f>IFERROR(__xludf.DUMMYFUNCTION("""COMPUTED_VALUE"""),"✅ ĐỦ HÀNG")</f>
        <v>✅ ĐỦ HÀNG</v>
      </c>
    </row>
    <row r="787">
      <c r="A787" s="38" t="str">
        <f>IFERROR(__xludf.DUMMYFUNCTION("""COMPUTED_VALUE"""),"Duyên Nguyễn")</f>
        <v>Duyên Nguyễn</v>
      </c>
      <c r="B787" s="38">
        <v>1.0</v>
      </c>
      <c r="C787" s="38" t="str">
        <f>IFERROR(__xludf.DUMMYFUNCTION("""COMPUTED_VALUE"""),"✅ ĐỦ HÀNG")</f>
        <v>✅ ĐỦ HÀNG</v>
      </c>
    </row>
    <row r="788">
      <c r="A788" s="38" t="str">
        <f>IFERROR(__xludf.DUMMYFUNCTION("""COMPUTED_VALUE"""),"Thanh Nga")</f>
        <v>Thanh Nga</v>
      </c>
      <c r="B788" s="38">
        <v>8.0</v>
      </c>
      <c r="C788" s="38" t="str">
        <f>IFERROR(__xludf.DUMMYFUNCTION("""COMPUTED_VALUE"""),"✅ ĐỦ HÀNG")</f>
        <v>✅ ĐỦ HÀNG</v>
      </c>
    </row>
    <row r="789">
      <c r="A789" s="38" t="str">
        <f>IFERROR(__xludf.DUMMYFUNCTION("""COMPUTED_VALUE"""),"An Thuý")</f>
        <v>An Thuý</v>
      </c>
      <c r="B789" s="38">
        <v>2.0</v>
      </c>
      <c r="C789" s="38" t="str">
        <f>IFERROR(__xludf.DUMMYFUNCTION("""COMPUTED_VALUE"""),"✅ ĐỦ HÀNG")</f>
        <v>✅ ĐỦ HÀNG</v>
      </c>
    </row>
    <row r="790">
      <c r="A790" s="38" t="str">
        <f>IFERROR(__xludf.DUMMYFUNCTION("""COMPUTED_VALUE"""),"Nguyễn Uyên")</f>
        <v>Nguyễn Uyên</v>
      </c>
      <c r="B790" s="38">
        <v>1.0</v>
      </c>
      <c r="C790" s="38" t="str">
        <f>IFERROR(__xludf.DUMMYFUNCTION("""COMPUTED_VALUE"""),"✅ ĐỦ HÀNG")</f>
        <v>✅ ĐỦ HÀNG</v>
      </c>
    </row>
    <row r="791">
      <c r="A791" s="38" t="str">
        <f>IFERROR(__xludf.DUMMYFUNCTION("""COMPUTED_VALUE"""),"Ngô Hiền")</f>
        <v>Ngô Hiền</v>
      </c>
      <c r="B791" s="38">
        <v>6.0</v>
      </c>
      <c r="C791" s="38" t="str">
        <f>IFERROR(__xludf.DUMMYFUNCTION("""COMPUTED_VALUE"""),"✅ ĐỦ HÀNG")</f>
        <v>✅ ĐỦ HÀNG</v>
      </c>
    </row>
    <row r="792">
      <c r="A792" s="38" t="str">
        <f>IFERROR(__xludf.DUMMYFUNCTION("""COMPUTED_VALUE"""),"Thanh Nguyen")</f>
        <v>Thanh Nguyen</v>
      </c>
      <c r="B792" s="38">
        <v>3.0</v>
      </c>
      <c r="C792" s="38" t="str">
        <f>IFERROR(__xludf.DUMMYFUNCTION("""COMPUTED_VALUE"""),"✅ ĐỦ HÀNG")</f>
        <v>✅ ĐỦ HÀNG</v>
      </c>
    </row>
    <row r="793">
      <c r="A793" s="38" t="str">
        <f>IFERROR(__xludf.DUMMYFUNCTION("""COMPUTED_VALUE"""),"Khánh Huyền")</f>
        <v>Khánh Huyền</v>
      </c>
      <c r="B793" s="38">
        <v>4.0</v>
      </c>
      <c r="C793" s="38" t="str">
        <f>IFERROR(__xludf.DUMMYFUNCTION("""COMPUTED_VALUE"""),"✅ ĐỦ HÀNG")</f>
        <v>✅ ĐỦ HÀNG</v>
      </c>
    </row>
    <row r="794">
      <c r="A794" s="38" t="str">
        <f>IFERROR(__xludf.DUMMYFUNCTION("""COMPUTED_VALUE"""),"Nguyễn Thương")</f>
        <v>Nguyễn Thương</v>
      </c>
      <c r="B794" s="38">
        <v>2.0</v>
      </c>
      <c r="C794" s="38" t="str">
        <f>IFERROR(__xludf.DUMMYFUNCTION("""COMPUTED_VALUE"""),"✅ ĐỦ HÀNG")</f>
        <v>✅ ĐỦ HÀNG</v>
      </c>
    </row>
    <row r="795">
      <c r="A795" s="38" t="str">
        <f>IFERROR(__xludf.DUMMYFUNCTION("""COMPUTED_VALUE"""),"Phương Nguyễn")</f>
        <v>Phương Nguyễn</v>
      </c>
      <c r="B795" s="38">
        <v>2.0</v>
      </c>
      <c r="C795" s="38" t="str">
        <f>IFERROR(__xludf.DUMMYFUNCTION("""COMPUTED_VALUE"""),"✅ ĐỦ HÀNG")</f>
        <v>✅ ĐỦ HÀNG</v>
      </c>
    </row>
    <row r="796">
      <c r="A796" s="38" t="str">
        <f>IFERROR(__xludf.DUMMYFUNCTION("""COMPUTED_VALUE"""),"Thảo Nguyên")</f>
        <v>Thảo Nguyên</v>
      </c>
      <c r="B796" s="38">
        <v>2.0</v>
      </c>
      <c r="C796" s="38" t="str">
        <f>IFERROR(__xludf.DUMMYFUNCTION("""COMPUTED_VALUE"""),"✅ ĐỦ HÀNG")</f>
        <v>✅ ĐỦ HÀNG</v>
      </c>
    </row>
    <row r="797">
      <c r="A797" s="38" t="str">
        <f>IFERROR(__xludf.DUMMYFUNCTION("""COMPUTED_VALUE"""),"Trần Thị Hồng Thuý")</f>
        <v>Trần Thị Hồng Thuý</v>
      </c>
      <c r="B797" s="38">
        <v>1.0</v>
      </c>
      <c r="C797" s="38" t="str">
        <f>IFERROR(__xludf.DUMMYFUNCTION("""COMPUTED_VALUE"""),"✅ ĐỦ HÀNG")</f>
        <v>✅ ĐỦ HÀNG</v>
      </c>
    </row>
    <row r="798">
      <c r="A798" s="38" t="str">
        <f>IFERROR(__xludf.DUMMYFUNCTION("""COMPUTED_VALUE"""),"Nguyễn Hương Lan")</f>
        <v>Nguyễn Hương Lan</v>
      </c>
      <c r="B798" s="38">
        <v>2.0</v>
      </c>
      <c r="C798" s="38" t="str">
        <f>IFERROR(__xludf.DUMMYFUNCTION("""COMPUTED_VALUE"""),"✅ ĐỦ HÀNG")</f>
        <v>✅ ĐỦ HÀNG</v>
      </c>
    </row>
    <row r="799">
      <c r="A799" s="38" t="str">
        <f>IFERROR(__xludf.DUMMYFUNCTION("""COMPUTED_VALUE"""),"Chuot Chuot")</f>
        <v>Chuot Chuot</v>
      </c>
      <c r="B799" s="38">
        <v>1.0</v>
      </c>
      <c r="C799" s="38" t="str">
        <f>IFERROR(__xludf.DUMMYFUNCTION("""COMPUTED_VALUE"""),"✅ ĐỦ HÀNG")</f>
        <v>✅ ĐỦ HÀNG</v>
      </c>
    </row>
    <row r="800">
      <c r="A800" s="38" t="str">
        <f>IFERROR(__xludf.DUMMYFUNCTION("""COMPUTED_VALUE"""),"QuỳnhAnh Lê")</f>
        <v>QuỳnhAnh Lê</v>
      </c>
      <c r="B800" s="38">
        <v>2.0</v>
      </c>
      <c r="C800" s="38" t="str">
        <f>IFERROR(__xludf.DUMMYFUNCTION("""COMPUTED_VALUE"""),"✅ ĐỦ HÀNG")</f>
        <v>✅ ĐỦ HÀNG</v>
      </c>
    </row>
    <row r="801">
      <c r="A801" s="38" t="str">
        <f>IFERROR(__xludf.DUMMYFUNCTION("""COMPUTED_VALUE"""),"Hoang Thu")</f>
        <v>Hoang Thu</v>
      </c>
      <c r="B801" s="38">
        <v>3.0</v>
      </c>
      <c r="C801" s="38" t="str">
        <f>IFERROR(__xludf.DUMMYFUNCTION("""COMPUTED_VALUE"""),"✅ ĐỦ HÀNG")</f>
        <v>✅ ĐỦ HÀNG</v>
      </c>
    </row>
    <row r="802">
      <c r="A802" s="38" t="str">
        <f>IFERROR(__xludf.DUMMYFUNCTION("""COMPUTED_VALUE"""),"Hải Yến1")</f>
        <v>Hải Yến1</v>
      </c>
      <c r="B802" s="38">
        <v>2.0</v>
      </c>
      <c r="C802" s="38" t="str">
        <f>IFERROR(__xludf.DUMMYFUNCTION("""COMPUTED_VALUE"""),"✅ ĐỦ HÀNG")</f>
        <v>✅ ĐỦ HÀNG</v>
      </c>
    </row>
    <row r="803">
      <c r="A803" s="38" t="str">
        <f>IFERROR(__xludf.DUMMYFUNCTION("""COMPUTED_VALUE"""),"Minh Nguyệt1")</f>
        <v>Minh Nguyệt1</v>
      </c>
      <c r="B803" s="38">
        <v>4.0</v>
      </c>
      <c r="C803" s="38" t="str">
        <f>IFERROR(__xludf.DUMMYFUNCTION("""COMPUTED_VALUE"""),"✅ ĐỦ HÀNG")</f>
        <v>✅ ĐỦ HÀNG</v>
      </c>
    </row>
    <row r="804">
      <c r="A804" s="38" t="str">
        <f>IFERROR(__xludf.DUMMYFUNCTION("""COMPUTED_VALUE"""),"Hoàng Bảo Ngọc")</f>
        <v>Hoàng Bảo Ngọc</v>
      </c>
      <c r="B804" s="38">
        <v>3.0</v>
      </c>
      <c r="C804" s="38" t="str">
        <f>IFERROR(__xludf.DUMMYFUNCTION("""COMPUTED_VALUE"""),"✅ ĐỦ HÀNG")</f>
        <v>✅ ĐỦ HÀNG</v>
      </c>
    </row>
    <row r="805">
      <c r="A805" s="38" t="str">
        <f>IFERROR(__xludf.DUMMYFUNCTION("""COMPUTED_VALUE"""),"Hoa Hướng Dương")</f>
        <v>Hoa Hướng Dương</v>
      </c>
      <c r="B805" s="38">
        <v>2.0</v>
      </c>
      <c r="C805" s="38" t="str">
        <f>IFERROR(__xludf.DUMMYFUNCTION("""COMPUTED_VALUE"""),"✅ ĐỦ HÀNG")</f>
        <v>✅ ĐỦ HÀNG</v>
      </c>
    </row>
    <row r="806">
      <c r="A806" s="38" t="str">
        <f>IFERROR(__xludf.DUMMYFUNCTION("""COMPUTED_VALUE"""),"Nguyễn Bảo Trân")</f>
        <v>Nguyễn Bảo Trân</v>
      </c>
      <c r="B806" s="38">
        <v>2.0</v>
      </c>
      <c r="C806" s="38" t="str">
        <f>IFERROR(__xludf.DUMMYFUNCTION("""COMPUTED_VALUE"""),"✅ ĐỦ HÀNG")</f>
        <v>✅ ĐỦ HÀNG</v>
      </c>
    </row>
    <row r="807">
      <c r="A807" s="38" t="str">
        <f>IFERROR(__xludf.DUMMYFUNCTION("""COMPUTED_VALUE"""),"Chít Tiên")</f>
        <v>Chít Tiên</v>
      </c>
      <c r="B807" s="38">
        <v>4.0</v>
      </c>
      <c r="C807" s="38" t="str">
        <f>IFERROR(__xludf.DUMMYFUNCTION("""COMPUTED_VALUE"""),"✅ ĐỦ HÀNG")</f>
        <v>✅ ĐỦ HÀNG</v>
      </c>
    </row>
    <row r="808">
      <c r="A808" s="38" t="str">
        <f>IFERROR(__xludf.DUMMYFUNCTION("""COMPUTED_VALUE"""),"Huyền Học Xinh")</f>
        <v>Huyền Học Xinh</v>
      </c>
      <c r="B808" s="38">
        <v>1.0</v>
      </c>
      <c r="C808" s="38" t="str">
        <f>IFERROR(__xludf.DUMMYFUNCTION("""COMPUTED_VALUE"""),"✅ ĐỦ HÀNG")</f>
        <v>✅ ĐỦ HÀNG</v>
      </c>
    </row>
    <row r="809">
      <c r="A809" s="38" t="str">
        <f>IFERROR(__xludf.DUMMYFUNCTION("""COMPUTED_VALUE"""),"Thảo Nheo")</f>
        <v>Thảo Nheo</v>
      </c>
      <c r="B809" s="38">
        <v>1.0</v>
      </c>
      <c r="C809" s="38" t="str">
        <f>IFERROR(__xludf.DUMMYFUNCTION("""COMPUTED_VALUE"""),"✅ ĐỦ HÀNG")</f>
        <v>✅ ĐỦ HÀNG</v>
      </c>
    </row>
    <row r="810">
      <c r="A810" s="38" t="str">
        <f>IFERROR(__xludf.DUMMYFUNCTION("""COMPUTED_VALUE"""),"Phạm Minh Ánh")</f>
        <v>Phạm Minh Ánh</v>
      </c>
      <c r="B810" s="38">
        <v>1.0</v>
      </c>
      <c r="C810" s="38" t="str">
        <f>IFERROR(__xludf.DUMMYFUNCTION("""COMPUTED_VALUE"""),"✅ ĐỦ HÀNG")</f>
        <v>✅ ĐỦ HÀNG</v>
      </c>
    </row>
    <row r="811">
      <c r="A811" s="38" t="str">
        <f>IFERROR(__xludf.DUMMYFUNCTION("""COMPUTED_VALUE"""),"Jolly Bùu")</f>
        <v>Jolly Bùu</v>
      </c>
      <c r="B811" s="38">
        <v>2.0</v>
      </c>
      <c r="C811" s="38" t="str">
        <f>IFERROR(__xludf.DUMMYFUNCTION("""COMPUTED_VALUE"""),"✅ ĐỦ HÀNG")</f>
        <v>✅ ĐỦ HÀNG</v>
      </c>
    </row>
    <row r="812">
      <c r="A812" s="38" t="str">
        <f>IFERROR(__xludf.DUMMYFUNCTION("""COMPUTED_VALUE"""),"Thuỷ Đặng")</f>
        <v>Thuỷ Đặng</v>
      </c>
      <c r="B812" s="38">
        <v>1.0</v>
      </c>
      <c r="C812" s="38" t="str">
        <f>IFERROR(__xludf.DUMMYFUNCTION("""COMPUTED_VALUE"""),"✅ ĐỦ HÀNG")</f>
        <v>✅ ĐỦ HÀNG</v>
      </c>
    </row>
    <row r="813">
      <c r="A813" s="38" t="str">
        <f>IFERROR(__xludf.DUMMYFUNCTION("""COMPUTED_VALUE"""),"Đặng Thuỳ")</f>
        <v>Đặng Thuỳ</v>
      </c>
      <c r="B813" s="38">
        <v>10.0</v>
      </c>
      <c r="C813" s="38" t="str">
        <f>IFERROR(__xludf.DUMMYFUNCTION("""COMPUTED_VALUE"""),"✅ ĐỦ HÀNG")</f>
        <v>✅ ĐỦ HÀNG</v>
      </c>
    </row>
    <row r="814">
      <c r="A814" s="38" t="str">
        <f>IFERROR(__xludf.DUMMYFUNCTION("""COMPUTED_VALUE"""),"Phạm Kiều Linh")</f>
        <v>Phạm Kiều Linh</v>
      </c>
      <c r="B814" s="38">
        <v>3.0</v>
      </c>
      <c r="C814" s="38" t="str">
        <f>IFERROR(__xludf.DUMMYFUNCTION("""COMPUTED_VALUE"""),"✅ ĐỦ HÀNG")</f>
        <v>✅ ĐỦ HÀNG</v>
      </c>
    </row>
    <row r="815">
      <c r="A815" s="38" t="str">
        <f>IFERROR(__xludf.DUMMYFUNCTION("""COMPUTED_VALUE"""),"Nguyễn Huệ Tatto")</f>
        <v>Nguyễn Huệ Tatto</v>
      </c>
      <c r="B815" s="38">
        <v>1.0</v>
      </c>
      <c r="C815" s="38" t="str">
        <f>IFERROR(__xludf.DUMMYFUNCTION("""COMPUTED_VALUE"""),"✅ ĐỦ HÀNG")</f>
        <v>✅ ĐỦ HÀNG</v>
      </c>
    </row>
    <row r="816">
      <c r="A816" s="38" t="str">
        <f>IFERROR(__xludf.DUMMYFUNCTION("""COMPUTED_VALUE"""),"Huyền Trang3")</f>
        <v>Huyền Trang3</v>
      </c>
      <c r="B816" s="38">
        <v>2.0</v>
      </c>
      <c r="C816" s="38" t="str">
        <f>IFERROR(__xludf.DUMMYFUNCTION("""COMPUTED_VALUE"""),"✅ ĐỦ HÀNG")</f>
        <v>✅ ĐỦ HÀNG</v>
      </c>
    </row>
    <row r="817">
      <c r="A817" s="38" t="str">
        <f>IFERROR(__xludf.DUMMYFUNCTION("""COMPUTED_VALUE"""),"Đinh Ánh Tuyết")</f>
        <v>Đinh Ánh Tuyết</v>
      </c>
      <c r="B817" s="38">
        <v>1.0</v>
      </c>
      <c r="C817" s="38" t="str">
        <f>IFERROR(__xludf.DUMMYFUNCTION("""COMPUTED_VALUE"""),"✅ ĐỦ HÀNG")</f>
        <v>✅ ĐỦ HÀNG</v>
      </c>
    </row>
    <row r="818">
      <c r="A818" s="38" t="str">
        <f>IFERROR(__xludf.DUMMYFUNCTION("""COMPUTED_VALUE"""),"Nguyễn VanAnh")</f>
        <v>Nguyễn VanAnh</v>
      </c>
      <c r="B818" s="38">
        <v>1.0</v>
      </c>
      <c r="C818" s="38" t="str">
        <f>IFERROR(__xludf.DUMMYFUNCTION("""COMPUTED_VALUE"""),"✅ ĐỦ HÀNG")</f>
        <v>✅ ĐỦ HÀNG</v>
      </c>
    </row>
    <row r="819">
      <c r="A819" s="38" t="str">
        <f>IFERROR(__xludf.DUMMYFUNCTION("""COMPUTED_VALUE"""),"Linh Chi ")</f>
        <v>Linh Chi </v>
      </c>
      <c r="B819" s="38">
        <v>2.0</v>
      </c>
      <c r="C819" s="38" t="str">
        <f>IFERROR(__xludf.DUMMYFUNCTION("""COMPUTED_VALUE"""),"✅ ĐỦ HÀNG")</f>
        <v>✅ ĐỦ HÀNG</v>
      </c>
    </row>
    <row r="820">
      <c r="A820" s="38" t="str">
        <f>IFERROR(__xludf.DUMMYFUNCTION("""COMPUTED_VALUE"""),"Thái Lễ")</f>
        <v>Thái Lễ</v>
      </c>
      <c r="B820" s="38">
        <v>2.0</v>
      </c>
      <c r="C820" s="38" t="str">
        <f>IFERROR(__xludf.DUMMYFUNCTION("""COMPUTED_VALUE"""),"✅ ĐỦ HÀNG")</f>
        <v>✅ ĐỦ HÀNG</v>
      </c>
    </row>
    <row r="821">
      <c r="A821" s="38" t="str">
        <f>IFERROR(__xludf.DUMMYFUNCTION("""COMPUTED_VALUE"""),"Tâm Giang")</f>
        <v>Tâm Giang</v>
      </c>
      <c r="B821" s="38">
        <v>1.0</v>
      </c>
      <c r="C821" s="38" t="str">
        <f>IFERROR(__xludf.DUMMYFUNCTION("""COMPUTED_VALUE"""),"✅ ĐỦ HÀNG")</f>
        <v>✅ ĐỦ HÀNG</v>
      </c>
    </row>
    <row r="822">
      <c r="A822" s="38" t="str">
        <f>IFERROR(__xludf.DUMMYFUNCTION("""COMPUTED_VALUE"""),"Vũ Thị Kim Dung")</f>
        <v>Vũ Thị Kim Dung</v>
      </c>
      <c r="B822" s="38">
        <v>8.0</v>
      </c>
      <c r="C822" s="38" t="str">
        <f>IFERROR(__xludf.DUMMYFUNCTION("""COMPUTED_VALUE"""),"✅ ĐỦ HÀNG")</f>
        <v>✅ ĐỦ HÀNG</v>
      </c>
    </row>
    <row r="823">
      <c r="A823" s="38" t="str">
        <f>IFERROR(__xludf.DUMMYFUNCTION("""COMPUTED_VALUE"""),"An Hy")</f>
        <v>An Hy</v>
      </c>
      <c r="B823" s="38">
        <v>1.0</v>
      </c>
      <c r="C823" s="38" t="str">
        <f>IFERROR(__xludf.DUMMYFUNCTION("""COMPUTED_VALUE"""),"✅ ĐỦ HÀNG")</f>
        <v>✅ ĐỦ HÀNG</v>
      </c>
    </row>
    <row r="824">
      <c r="A824" s="38" t="str">
        <f>IFERROR(__xludf.DUMMYFUNCTION("""COMPUTED_VALUE"""),"Hợi Hoàng")</f>
        <v>Hợi Hoàng</v>
      </c>
      <c r="B824" s="38">
        <v>1.0</v>
      </c>
      <c r="C824" s="38" t="str">
        <f>IFERROR(__xludf.DUMMYFUNCTION("""COMPUTED_VALUE"""),"✅ ĐỦ HÀNG")</f>
        <v>✅ ĐỦ HÀNG</v>
      </c>
    </row>
    <row r="825">
      <c r="A825" s="38" t="str">
        <f>IFERROR(__xludf.DUMMYFUNCTION("""COMPUTED_VALUE"""),"Linh Khiet")</f>
        <v>Linh Khiet</v>
      </c>
      <c r="B825" s="38">
        <v>1.0</v>
      </c>
      <c r="C825" s="38" t="str">
        <f>IFERROR(__xludf.DUMMYFUNCTION("""COMPUTED_VALUE"""),"✅ ĐỦ HÀNG")</f>
        <v>✅ ĐỦ HÀNG</v>
      </c>
    </row>
    <row r="826">
      <c r="A826" s="38" t="str">
        <f>IFERROR(__xludf.DUMMYFUNCTION("""COMPUTED_VALUE"""),"Cicih")</f>
        <v>Cicih</v>
      </c>
      <c r="B826" s="38">
        <v>1.0</v>
      </c>
      <c r="C826" s="38" t="str">
        <f>IFERROR(__xludf.DUMMYFUNCTION("""COMPUTED_VALUE"""),"✅ ĐỦ HÀNG")</f>
        <v>✅ ĐỦ HÀNG</v>
      </c>
    </row>
    <row r="827">
      <c r="A827" s="38" t="str">
        <f>IFERROR(__xludf.DUMMYFUNCTION("""COMPUTED_VALUE"""),"Quyen Tran")</f>
        <v>Quyen Tran</v>
      </c>
      <c r="B827" s="38">
        <v>4.0</v>
      </c>
      <c r="C827" s="38" t="str">
        <f>IFERROR(__xludf.DUMMYFUNCTION("""COMPUTED_VALUE"""),"✅ ĐỦ HÀNG")</f>
        <v>✅ ĐỦ HÀNG</v>
      </c>
    </row>
    <row r="828">
      <c r="A828" s="38" t="str">
        <f>IFERROR(__xludf.DUMMYFUNCTION("""COMPUTED_VALUE"""),"Trần Phương Trang")</f>
        <v>Trần Phương Trang</v>
      </c>
      <c r="B828" s="38">
        <v>1.0</v>
      </c>
      <c r="C828" s="38" t="str">
        <f>IFERROR(__xludf.DUMMYFUNCTION("""COMPUTED_VALUE"""),"✅ ĐỦ HÀNG")</f>
        <v>✅ ĐỦ HÀNG</v>
      </c>
    </row>
    <row r="829">
      <c r="A829" s="38" t="str">
        <f>IFERROR(__xludf.DUMMYFUNCTION("""COMPUTED_VALUE"""),"Nguyễn T.Thu Hoài")</f>
        <v>Nguyễn T.Thu Hoài</v>
      </c>
      <c r="B829" s="38">
        <v>1.0</v>
      </c>
      <c r="C829" s="38" t="str">
        <f>IFERROR(__xludf.DUMMYFUNCTION("""COMPUTED_VALUE"""),"✅ ĐỦ HÀNG")</f>
        <v>✅ ĐỦ HÀNG</v>
      </c>
    </row>
    <row r="830">
      <c r="A830" s="38" t="str">
        <f>IFERROR(__xludf.DUMMYFUNCTION("""COMPUTED_VALUE"""),"Ánh Xuân")</f>
        <v>Ánh Xuân</v>
      </c>
      <c r="B830" s="38">
        <v>1.0</v>
      </c>
      <c r="C830" s="38" t="str">
        <f>IFERROR(__xludf.DUMMYFUNCTION("""COMPUTED_VALUE"""),"✅ ĐỦ HÀNG")</f>
        <v>✅ ĐỦ HÀNG</v>
      </c>
    </row>
    <row r="831">
      <c r="A831" s="38" t="str">
        <f>IFERROR(__xludf.DUMMYFUNCTION("""COMPUTED_VALUE"""),"Hoàng Thị Ngọc")</f>
        <v>Hoàng Thị Ngọc</v>
      </c>
      <c r="B831" s="38">
        <v>1.0</v>
      </c>
      <c r="C831" s="38" t="str">
        <f>IFERROR(__xludf.DUMMYFUNCTION("""COMPUTED_VALUE"""),"✅ ĐỦ HÀNG")</f>
        <v>✅ ĐỦ HÀNG</v>
      </c>
    </row>
    <row r="832">
      <c r="A832" s="38" t="str">
        <f>IFERROR(__xludf.DUMMYFUNCTION("""COMPUTED_VALUE"""),"Nhat Ha Tran Le ")</f>
        <v>Nhat Ha Tran Le </v>
      </c>
      <c r="B832" s="38">
        <v>1.0</v>
      </c>
      <c r="C832" s="38" t="str">
        <f>IFERROR(__xludf.DUMMYFUNCTION("""COMPUTED_VALUE"""),"✅ ĐỦ HÀNG")</f>
        <v>✅ ĐỦ HÀNG</v>
      </c>
    </row>
    <row r="833">
      <c r="A833" s="38" t="str">
        <f>IFERROR(__xludf.DUMMYFUNCTION("""COMPUTED_VALUE"""),"Ngà Mina")</f>
        <v>Ngà Mina</v>
      </c>
      <c r="B833" s="38">
        <v>1.0</v>
      </c>
      <c r="C833" s="38" t="str">
        <f>IFERROR(__xludf.DUMMYFUNCTION("""COMPUTED_VALUE"""),"✅ ĐỦ HÀNG")</f>
        <v>✅ ĐỦ HÀNG</v>
      </c>
    </row>
    <row r="834">
      <c r="A834" s="38" t="str">
        <f>IFERROR(__xludf.DUMMYFUNCTION("""COMPUTED_VALUE"""),"Thu Quỳnh ")</f>
        <v>Thu Quỳnh </v>
      </c>
      <c r="B834" s="38">
        <v>1.0</v>
      </c>
      <c r="C834" s="38" t="str">
        <f>IFERROR(__xludf.DUMMYFUNCTION("""COMPUTED_VALUE"""),"✅ ĐỦ HÀNG")</f>
        <v>✅ ĐỦ HÀNG</v>
      </c>
    </row>
    <row r="835">
      <c r="A835" s="38" t="str">
        <f>IFERROR(__xludf.DUMMYFUNCTION("""COMPUTED_VALUE"""),"Nhung Đỗ1")</f>
        <v>Nhung Đỗ1</v>
      </c>
      <c r="B835" s="38">
        <v>3.0</v>
      </c>
      <c r="C835" s="38" t="str">
        <f>IFERROR(__xludf.DUMMYFUNCTION("""COMPUTED_VALUE"""),"✅ ĐỦ HÀNG")</f>
        <v>✅ ĐỦ HÀNG</v>
      </c>
    </row>
    <row r="836">
      <c r="A836" s="38" t="str">
        <f>IFERROR(__xludf.DUMMYFUNCTION("""COMPUTED_VALUE"""),"Tran Lan Huong")</f>
        <v>Tran Lan Huong</v>
      </c>
      <c r="B836" s="38">
        <v>1.0</v>
      </c>
      <c r="C836" s="38" t="str">
        <f>IFERROR(__xludf.DUMMYFUNCTION("""COMPUTED_VALUE"""),"✅ ĐỦ HÀNG")</f>
        <v>✅ ĐỦ HÀNG</v>
      </c>
    </row>
    <row r="837">
      <c r="A837" s="38" t="str">
        <f>IFERROR(__xludf.DUMMYFUNCTION("""COMPUTED_VALUE"""),"Minh Khánh")</f>
        <v>Minh Khánh</v>
      </c>
      <c r="B837" s="38">
        <v>1.0</v>
      </c>
      <c r="C837" s="38" t="str">
        <f>IFERROR(__xludf.DUMMYFUNCTION("""COMPUTED_VALUE"""),"✅ ĐỦ HÀNG")</f>
        <v>✅ ĐỦ HÀNG</v>
      </c>
    </row>
    <row r="838">
      <c r="A838" s="38" t="str">
        <f>IFERROR(__xludf.DUMMYFUNCTION("""COMPUTED_VALUE"""),"Hoàng Hương")</f>
        <v>Hoàng Hương</v>
      </c>
      <c r="B838" s="38">
        <v>3.0</v>
      </c>
      <c r="C838" s="38" t="str">
        <f>IFERROR(__xludf.DUMMYFUNCTION("""COMPUTED_VALUE"""),"✅ ĐỦ HÀNG")</f>
        <v>✅ ĐỦ HÀNG</v>
      </c>
    </row>
    <row r="839">
      <c r="A839" s="38" t="str">
        <f>IFERROR(__xludf.DUMMYFUNCTION("""COMPUTED_VALUE"""),"Khánh Phínhh")</f>
        <v>Khánh Phínhh</v>
      </c>
      <c r="B839" s="38">
        <v>1.0</v>
      </c>
      <c r="C839" s="38" t="str">
        <f>IFERROR(__xludf.DUMMYFUNCTION("""COMPUTED_VALUE"""),"✅ ĐỦ HÀNG")</f>
        <v>✅ ĐỦ HÀNG</v>
      </c>
    </row>
    <row r="840">
      <c r="A840" s="38" t="str">
        <f>IFERROR(__xludf.DUMMYFUNCTION("""COMPUTED_VALUE"""),"Kiều Linh")</f>
        <v>Kiều Linh</v>
      </c>
      <c r="B840" s="38">
        <v>2.0</v>
      </c>
      <c r="C840" s="38" t="str">
        <f>IFERROR(__xludf.DUMMYFUNCTION("""COMPUTED_VALUE"""),"✅ ĐỦ HÀNG")</f>
        <v>✅ ĐỦ HÀNG</v>
      </c>
    </row>
    <row r="841">
      <c r="A841" s="38" t="str">
        <f>IFERROR(__xludf.DUMMYFUNCTION("""COMPUTED_VALUE"""),"Ng Yenn")</f>
        <v>Ng Yenn</v>
      </c>
      <c r="B841" s="38">
        <v>2.0</v>
      </c>
      <c r="C841" s="38" t="str">
        <f>IFERROR(__xludf.DUMMYFUNCTION("""COMPUTED_VALUE"""),"✅ ĐỦ HÀNG")</f>
        <v>✅ ĐỦ HÀNG</v>
      </c>
    </row>
    <row r="842">
      <c r="A842" s="38" t="str">
        <f>IFERROR(__xludf.DUMMYFUNCTION("""COMPUTED_VALUE"""),"Phạm Ngân")</f>
        <v>Phạm Ngân</v>
      </c>
      <c r="B842" s="38">
        <v>2.0</v>
      </c>
      <c r="C842" s="38" t="str">
        <f>IFERROR(__xludf.DUMMYFUNCTION("""COMPUTED_VALUE"""),"✅ ĐỦ HÀNG")</f>
        <v>✅ ĐỦ HÀNG</v>
      </c>
    </row>
    <row r="843">
      <c r="A843" s="38" t="str">
        <f>IFERROR(__xludf.DUMMYFUNCTION("""COMPUTED_VALUE"""),"Angelia Tran")</f>
        <v>Angelia Tran</v>
      </c>
      <c r="B843" s="38">
        <v>2.0</v>
      </c>
      <c r="C843" s="38" t="str">
        <f>IFERROR(__xludf.DUMMYFUNCTION("""COMPUTED_VALUE"""),"✅ ĐỦ HÀNG")</f>
        <v>✅ ĐỦ HÀNG</v>
      </c>
    </row>
    <row r="844">
      <c r="A844" s="38" t="str">
        <f>IFERROR(__xludf.DUMMYFUNCTION("""COMPUTED_VALUE"""),"Ka Xu")</f>
        <v>Ka Xu</v>
      </c>
      <c r="B844" s="38">
        <v>1.0</v>
      </c>
      <c r="C844" s="38" t="str">
        <f>IFERROR(__xludf.DUMMYFUNCTION("""COMPUTED_VALUE"""),"✅ ĐỦ HÀNG")</f>
        <v>✅ ĐỦ HÀNG</v>
      </c>
    </row>
    <row r="845">
      <c r="A845" s="38" t="str">
        <f>IFERROR(__xludf.DUMMYFUNCTION("""COMPUTED_VALUE"""),"Trần Thanh Nhi Bình")</f>
        <v>Trần Thanh Nhi Bình</v>
      </c>
      <c r="B845" s="38">
        <v>8.0</v>
      </c>
      <c r="C845" s="38" t="str">
        <f>IFERROR(__xludf.DUMMYFUNCTION("""COMPUTED_VALUE"""),"✅ ĐỦ HÀNG")</f>
        <v>✅ ĐỦ HÀNG</v>
      </c>
    </row>
    <row r="846">
      <c r="A846" s="38" t="str">
        <f>IFERROR(__xludf.DUMMYFUNCTION("""COMPUTED_VALUE"""),"Voi Conn")</f>
        <v>Voi Conn</v>
      </c>
      <c r="B846" s="38">
        <v>2.0</v>
      </c>
      <c r="C846" s="38" t="str">
        <f>IFERROR(__xludf.DUMMYFUNCTION("""COMPUTED_VALUE"""),"✅ ĐỦ HÀNG")</f>
        <v>✅ ĐỦ HÀNG</v>
      </c>
    </row>
    <row r="847">
      <c r="A847" s="38" t="str">
        <f>IFERROR(__xludf.DUMMYFUNCTION("""COMPUTED_VALUE"""),"Trần T. Thuỳ")</f>
        <v>Trần T. Thuỳ</v>
      </c>
      <c r="B847" s="38">
        <v>2.0</v>
      </c>
      <c r="C847" s="38" t="str">
        <f>IFERROR(__xludf.DUMMYFUNCTION("""COMPUTED_VALUE"""),"✅ ĐỦ HÀNG")</f>
        <v>✅ ĐỦ HÀNG</v>
      </c>
    </row>
    <row r="848">
      <c r="A848" s="38" t="str">
        <f>IFERROR(__xludf.DUMMYFUNCTION("""COMPUTED_VALUE"""),"Lương Như Quỳnh")</f>
        <v>Lương Như Quỳnh</v>
      </c>
      <c r="B848" s="38">
        <v>1.0</v>
      </c>
      <c r="C848" s="38" t="str">
        <f>IFERROR(__xludf.DUMMYFUNCTION("""COMPUTED_VALUE"""),"✅ ĐỦ HÀNG")</f>
        <v>✅ ĐỦ HÀNG</v>
      </c>
    </row>
    <row r="849">
      <c r="A849" s="38" t="str">
        <f>IFERROR(__xludf.DUMMYFUNCTION("""COMPUTED_VALUE"""),"Đỗ Thị Ngọc Liên")</f>
        <v>Đỗ Thị Ngọc Liên</v>
      </c>
      <c r="B849" s="38">
        <v>2.0</v>
      </c>
      <c r="C849" s="38" t="str">
        <f>IFERROR(__xludf.DUMMYFUNCTION("""COMPUTED_VALUE"""),"✅ ĐỦ HÀNG")</f>
        <v>✅ ĐỦ HÀNG</v>
      </c>
    </row>
    <row r="850">
      <c r="A850" s="38" t="str">
        <f>IFERROR(__xludf.DUMMYFUNCTION("""COMPUTED_VALUE"""),"Hoa Bich")</f>
        <v>Hoa Bich</v>
      </c>
      <c r="B850" s="38">
        <v>1.0</v>
      </c>
      <c r="C850" s="38" t="str">
        <f>IFERROR(__xludf.DUMMYFUNCTION("""COMPUTED_VALUE"""),"✅ ĐỦ HÀNG")</f>
        <v>✅ ĐỦ HÀNG</v>
      </c>
    </row>
    <row r="851">
      <c r="A851" s="38" t="str">
        <f>IFERROR(__xludf.DUMMYFUNCTION("""COMPUTED_VALUE"""),"Dương Lê Khang Trang")</f>
        <v>Dương Lê Khang Trang</v>
      </c>
      <c r="B851" s="38">
        <v>3.0</v>
      </c>
      <c r="C851" s="38" t="str">
        <f>IFERROR(__xludf.DUMMYFUNCTION("""COMPUTED_VALUE"""),"✅ ĐỦ HÀNG")</f>
        <v>✅ ĐỦ HÀNG</v>
      </c>
    </row>
    <row r="852">
      <c r="A852" s="38" t="str">
        <f>IFERROR(__xludf.DUMMYFUNCTION("""COMPUTED_VALUE"""),"Hoahonggai thon")</f>
        <v>Hoahonggai thon</v>
      </c>
      <c r="B852" s="38">
        <v>6.0</v>
      </c>
      <c r="C852" s="38" t="str">
        <f>IFERROR(__xludf.DUMMYFUNCTION("""COMPUTED_VALUE"""),"✅ ĐỦ HÀNG")</f>
        <v>✅ ĐỦ HÀNG</v>
      </c>
    </row>
    <row r="853">
      <c r="A853" s="38" t="str">
        <f>IFERROR(__xludf.DUMMYFUNCTION("""COMPUTED_VALUE"""),"Phùng Hậu")</f>
        <v>Phùng Hậu</v>
      </c>
      <c r="B853" s="38">
        <v>2.0</v>
      </c>
      <c r="C853" s="38" t="str">
        <f>IFERROR(__xludf.DUMMYFUNCTION("""COMPUTED_VALUE"""),"✅ ĐỦ HÀNG")</f>
        <v>✅ ĐỦ HÀNG</v>
      </c>
    </row>
    <row r="854">
      <c r="A854" s="38" t="str">
        <f>IFERROR(__xludf.DUMMYFUNCTION("""COMPUTED_VALUE"""),"Bích Du Vũ Thị")</f>
        <v>Bích Du Vũ Thị</v>
      </c>
      <c r="B854" s="38">
        <v>2.0</v>
      </c>
      <c r="C854" s="38" t="str">
        <f>IFERROR(__xludf.DUMMYFUNCTION("""COMPUTED_VALUE"""),"✅ ĐỦ HÀNG")</f>
        <v>✅ ĐỦ HÀNG</v>
      </c>
    </row>
    <row r="855">
      <c r="A855" s="38" t="str">
        <f>IFERROR(__xludf.DUMMYFUNCTION("""COMPUTED_VALUE"""),"Minihon Chan")</f>
        <v>Minihon Chan</v>
      </c>
      <c r="B855" s="38">
        <v>1.0</v>
      </c>
      <c r="C855" s="38" t="str">
        <f>IFERROR(__xludf.DUMMYFUNCTION("""COMPUTED_VALUE"""),"✅ ĐỦ HÀNG")</f>
        <v>✅ ĐỦ HÀNG</v>
      </c>
    </row>
    <row r="856">
      <c r="A856" s="38" t="str">
        <f>IFERROR(__xludf.DUMMYFUNCTION("""COMPUTED_VALUE"""),"San Bao")</f>
        <v>San Bao</v>
      </c>
      <c r="B856" s="38">
        <v>1.0</v>
      </c>
      <c r="C856" s="38" t="str">
        <f>IFERROR(__xludf.DUMMYFUNCTION("""COMPUTED_VALUE"""),"✅ ĐỦ HÀNG")</f>
        <v>✅ ĐỦ HÀNG</v>
      </c>
    </row>
    <row r="857">
      <c r="A857" s="38" t="str">
        <f>IFERROR(__xludf.DUMMYFUNCTION("""COMPUTED_VALUE"""),"Hương Hương")</f>
        <v>Hương Hương</v>
      </c>
      <c r="B857" s="38">
        <v>1.0</v>
      </c>
      <c r="C857" s="38" t="str">
        <f>IFERROR(__xludf.DUMMYFUNCTION("""COMPUTED_VALUE"""),"✅ ĐỦ HÀNG")</f>
        <v>✅ ĐỦ HÀNG</v>
      </c>
    </row>
    <row r="858">
      <c r="A858" s="38" t="str">
        <f>IFERROR(__xludf.DUMMYFUNCTION("""COMPUTED_VALUE"""),"Bảo Ngọc")</f>
        <v>Bảo Ngọc</v>
      </c>
      <c r="B858" s="38">
        <v>1.0</v>
      </c>
      <c r="C858" s="38" t="str">
        <f>IFERROR(__xludf.DUMMYFUNCTION("""COMPUTED_VALUE"""),"✅ ĐỦ HÀNG")</f>
        <v>✅ ĐỦ HÀNG</v>
      </c>
    </row>
    <row r="859">
      <c r="A859" s="38" t="str">
        <f>IFERROR(__xludf.DUMMYFUNCTION("""COMPUTED_VALUE"""),"Thuý Huỳnh")</f>
        <v>Thuý Huỳnh</v>
      </c>
      <c r="B859" s="38">
        <v>1.0</v>
      </c>
      <c r="C859" s="38" t="str">
        <f>IFERROR(__xludf.DUMMYFUNCTION("""COMPUTED_VALUE"""),"✅ ĐỦ HÀNG")</f>
        <v>✅ ĐỦ HÀNG</v>
      </c>
    </row>
    <row r="860">
      <c r="A860" s="38" t="str">
        <f>IFERROR(__xludf.DUMMYFUNCTION("""COMPUTED_VALUE"""),"Kim Thư")</f>
        <v>Kim Thư</v>
      </c>
      <c r="B860" s="38">
        <v>1.0</v>
      </c>
      <c r="C860" s="38" t="str">
        <f>IFERROR(__xludf.DUMMYFUNCTION("""COMPUTED_VALUE"""),"✅ ĐỦ HÀNG")</f>
        <v>✅ ĐỦ HÀNG</v>
      </c>
    </row>
    <row r="861">
      <c r="A861" s="38" t="str">
        <f>IFERROR(__xludf.DUMMYFUNCTION("""COMPUTED_VALUE"""),"Luỹ Phấn")</f>
        <v>Luỹ Phấn</v>
      </c>
      <c r="B861" s="38">
        <v>2.0</v>
      </c>
      <c r="C861" s="38" t="str">
        <f>IFERROR(__xludf.DUMMYFUNCTION("""COMPUTED_VALUE"""),"✅ ĐỦ HÀNG")</f>
        <v>✅ ĐỦ HÀNG</v>
      </c>
    </row>
    <row r="862">
      <c r="A862" s="38" t="str">
        <f>IFERROR(__xludf.DUMMYFUNCTION("""COMPUTED_VALUE"""),"My Nguyễn ")</f>
        <v>My Nguyễn </v>
      </c>
      <c r="B862" s="38">
        <v>1.0</v>
      </c>
      <c r="C862" s="38" t="str">
        <f>IFERROR(__xludf.DUMMYFUNCTION("""COMPUTED_VALUE"""),"✅ ĐỦ HÀNG")</f>
        <v>✅ ĐỦ HÀNG</v>
      </c>
    </row>
    <row r="863">
      <c r="A863" s="38" t="str">
        <f>IFERROR(__xludf.DUMMYFUNCTION("""COMPUTED_VALUE"""),"Huyền Diệu")</f>
        <v>Huyền Diệu</v>
      </c>
      <c r="B863" s="38">
        <v>1.0</v>
      </c>
      <c r="C863" s="38" t="str">
        <f>IFERROR(__xludf.DUMMYFUNCTION("""COMPUTED_VALUE"""),"✅ ĐỦ HÀNG")</f>
        <v>✅ ĐỦ HÀNG</v>
      </c>
    </row>
    <row r="864">
      <c r="A864" s="38" t="str">
        <f>IFERROR(__xludf.DUMMYFUNCTION("""COMPUTED_VALUE"""),"Ngo Thuy Anh")</f>
        <v>Ngo Thuy Anh</v>
      </c>
      <c r="B864" s="38">
        <v>1.0</v>
      </c>
      <c r="C864" s="38" t="str">
        <f>IFERROR(__xludf.DUMMYFUNCTION("""COMPUTED_VALUE"""),"✅ ĐỦ HÀNG")</f>
        <v>✅ ĐỦ HÀNG</v>
      </c>
    </row>
    <row r="865">
      <c r="A865" s="38" t="str">
        <f>IFERROR(__xludf.DUMMYFUNCTION("""COMPUTED_VALUE"""),"Nguyễn Oanh1")</f>
        <v>Nguyễn Oanh1</v>
      </c>
      <c r="B865" s="38">
        <v>1.0</v>
      </c>
      <c r="C865" s="38" t="str">
        <f>IFERROR(__xludf.DUMMYFUNCTION("""COMPUTED_VALUE"""),"✅ ĐỦ HÀNG")</f>
        <v>✅ ĐỦ HÀNG</v>
      </c>
    </row>
    <row r="866">
      <c r="A866" s="38" t="str">
        <f>IFERROR(__xludf.DUMMYFUNCTION("""COMPUTED_VALUE"""),"Linh Đỗ")</f>
        <v>Linh Đỗ</v>
      </c>
      <c r="B866" s="38">
        <v>2.0</v>
      </c>
      <c r="C866" s="38" t="str">
        <f>IFERROR(__xludf.DUMMYFUNCTION("""COMPUTED_VALUE"""),"✅ ĐỦ HÀNG")</f>
        <v>✅ ĐỦ HÀNG</v>
      </c>
    </row>
    <row r="867">
      <c r="A867" s="38" t="str">
        <f>IFERROR(__xludf.DUMMYFUNCTION("""COMPUTED_VALUE"""),"Yến Chip")</f>
        <v>Yến Chip</v>
      </c>
      <c r="B867" s="38">
        <v>2.0</v>
      </c>
      <c r="C867" s="38" t="str">
        <f>IFERROR(__xludf.DUMMYFUNCTION("""COMPUTED_VALUE"""),"✅ ĐỦ HÀNG")</f>
        <v>✅ ĐỦ HÀNG</v>
      </c>
    </row>
    <row r="868">
      <c r="A868" s="38" t="str">
        <f>IFERROR(__xludf.DUMMYFUNCTION("""COMPUTED_VALUE"""),"Tây Phàm")</f>
        <v>Tây Phàm</v>
      </c>
      <c r="B868" s="38">
        <v>1.0</v>
      </c>
      <c r="C868" s="38" t="str">
        <f>IFERROR(__xludf.DUMMYFUNCTION("""COMPUTED_VALUE"""),"✅ ĐỦ HÀNG")</f>
        <v>✅ ĐỦ HÀNG</v>
      </c>
    </row>
    <row r="869">
      <c r="A869" s="38" t="str">
        <f>IFERROR(__xludf.DUMMYFUNCTION("""COMPUTED_VALUE"""),"Vân Cherry")</f>
        <v>Vân Cherry</v>
      </c>
      <c r="B869" s="38">
        <v>3.0</v>
      </c>
      <c r="C869" s="38" t="str">
        <f>IFERROR(__xludf.DUMMYFUNCTION("""COMPUTED_VALUE"""),"✅ ĐỦ HÀNG")</f>
        <v>✅ ĐỦ HÀNG</v>
      </c>
    </row>
    <row r="870">
      <c r="A870" s="38" t="str">
        <f>IFERROR(__xludf.DUMMYFUNCTION("""COMPUTED_VALUE"""),"Mỹ Anh Yini")</f>
        <v>Mỹ Anh Yini</v>
      </c>
      <c r="B870" s="38">
        <v>2.0</v>
      </c>
      <c r="C870" s="38" t="str">
        <f>IFERROR(__xludf.DUMMYFUNCTION("""COMPUTED_VALUE"""),"✅ ĐỦ HÀNG")</f>
        <v>✅ ĐỦ HÀNG</v>
      </c>
    </row>
    <row r="871">
      <c r="A871" s="38" t="str">
        <f>IFERROR(__xludf.DUMMYFUNCTION("""COMPUTED_VALUE"""),"Phạm Lê")</f>
        <v>Phạm Lê</v>
      </c>
      <c r="B871" s="38">
        <v>5.0</v>
      </c>
      <c r="C871" s="38" t="str">
        <f>IFERROR(__xludf.DUMMYFUNCTION("""COMPUTED_VALUE"""),"✅ ĐỦ HÀNG")</f>
        <v>✅ ĐỦ HÀNG</v>
      </c>
    </row>
    <row r="872">
      <c r="A872" s="38" t="str">
        <f>IFERROR(__xludf.DUMMYFUNCTION("""COMPUTED_VALUE"""),"Lường Thị Hiếm")</f>
        <v>Lường Thị Hiếm</v>
      </c>
      <c r="B872" s="38">
        <v>1.0</v>
      </c>
      <c r="C872" s="38" t="str">
        <f>IFERROR(__xludf.DUMMYFUNCTION("""COMPUTED_VALUE"""),"✅ ĐỦ HÀNG")</f>
        <v>✅ ĐỦ HÀNG</v>
      </c>
    </row>
    <row r="873">
      <c r="A873" s="38" t="str">
        <f>IFERROR(__xludf.DUMMYFUNCTION("""COMPUTED_VALUE"""),"Nguyễn Huyền1")</f>
        <v>Nguyễn Huyền1</v>
      </c>
      <c r="B873" s="38">
        <v>2.0</v>
      </c>
      <c r="C873" s="38" t="str">
        <f>IFERROR(__xludf.DUMMYFUNCTION("""COMPUTED_VALUE"""),"✅ ĐỦ HÀNG")</f>
        <v>✅ ĐỦ HÀNG</v>
      </c>
    </row>
    <row r="874">
      <c r="A874" s="38" t="str">
        <f>IFERROR(__xludf.DUMMYFUNCTION("""COMPUTED_VALUE"""),"Điệp Thảo")</f>
        <v>Điệp Thảo</v>
      </c>
      <c r="B874" s="38">
        <v>2.0</v>
      </c>
      <c r="C874" s="38" t="str">
        <f>IFERROR(__xludf.DUMMYFUNCTION("""COMPUTED_VALUE"""),"✅ ĐỦ HÀNG")</f>
        <v>✅ ĐỦ HÀNG</v>
      </c>
    </row>
    <row r="875">
      <c r="A875" s="38" t="str">
        <f>IFERROR(__xludf.DUMMYFUNCTION("""COMPUTED_VALUE"""),"Bùi Thị Khánh Linh")</f>
        <v>Bùi Thị Khánh Linh</v>
      </c>
      <c r="B875" s="38">
        <v>2.0</v>
      </c>
      <c r="C875" s="38" t="str">
        <f>IFERROR(__xludf.DUMMYFUNCTION("""COMPUTED_VALUE"""),"✅ ĐỦ HÀNG")</f>
        <v>✅ ĐỦ HÀNG</v>
      </c>
    </row>
    <row r="876">
      <c r="A876" s="38" t="str">
        <f>IFERROR(__xludf.DUMMYFUNCTION("""COMPUTED_VALUE"""),"Linh Babie")</f>
        <v>Linh Babie</v>
      </c>
      <c r="B876" s="38">
        <v>1.0</v>
      </c>
      <c r="C876" s="38" t="str">
        <f>IFERROR(__xludf.DUMMYFUNCTION("""COMPUTED_VALUE"""),"✅ ĐỦ HÀNG")</f>
        <v>✅ ĐỦ HÀNG</v>
      </c>
    </row>
    <row r="877">
      <c r="A877" s="38" t="str">
        <f>IFERROR(__xludf.DUMMYFUNCTION("""COMPUTED_VALUE"""),"Triệu T.Hà")</f>
        <v>Triệu T.Hà</v>
      </c>
      <c r="B877" s="38">
        <v>2.0</v>
      </c>
      <c r="C877" s="38" t="str">
        <f>IFERROR(__xludf.DUMMYFUNCTION("""COMPUTED_VALUE"""),"✅ ĐỦ HÀNG")</f>
        <v>✅ ĐỦ HÀNG</v>
      </c>
    </row>
    <row r="878">
      <c r="A878" s="38" t="str">
        <f>IFERROR(__xludf.DUMMYFUNCTION("""COMPUTED_VALUE"""),"Nguyễn Thị Tuyết Kha")</f>
        <v>Nguyễn Thị Tuyết Kha</v>
      </c>
      <c r="B878" s="38">
        <v>1.0</v>
      </c>
      <c r="C878" s="38" t="str">
        <f>IFERROR(__xludf.DUMMYFUNCTION("""COMPUTED_VALUE"""),"✅ ĐỦ HÀNG")</f>
        <v>✅ ĐỦ HÀNG</v>
      </c>
    </row>
    <row r="879">
      <c r="A879" s="38" t="str">
        <f>IFERROR(__xludf.DUMMYFUNCTION("""COMPUTED_VALUE"""),"Hương AKi")</f>
        <v>Hương AKi</v>
      </c>
      <c r="B879" s="38">
        <v>2.0</v>
      </c>
      <c r="C879" s="38" t="str">
        <f>IFERROR(__xludf.DUMMYFUNCTION("""COMPUTED_VALUE"""),"✅ ĐỦ HÀNG")</f>
        <v>✅ ĐỦ HÀNG</v>
      </c>
    </row>
    <row r="880">
      <c r="A880" s="38" t="str">
        <f>IFERROR(__xludf.DUMMYFUNCTION("""COMPUTED_VALUE""")," Hảo Nguyễn")</f>
        <v> Hảo Nguyễn</v>
      </c>
      <c r="B880" s="38">
        <v>1.0</v>
      </c>
      <c r="C880" s="38" t="str">
        <f>IFERROR(__xludf.DUMMYFUNCTION("""COMPUTED_VALUE"""),"✅ ĐỦ HÀNG")</f>
        <v>✅ ĐỦ HÀNG</v>
      </c>
    </row>
    <row r="881">
      <c r="A881" s="38" t="str">
        <f>IFERROR(__xludf.DUMMYFUNCTION("""COMPUTED_VALUE"""),"Cỏ")</f>
        <v>Cỏ</v>
      </c>
      <c r="B881" s="38">
        <v>1.0</v>
      </c>
      <c r="C881" s="38" t="str">
        <f>IFERROR(__xludf.DUMMYFUNCTION("""COMPUTED_VALUE"""),"✅ ĐỦ HÀNG")</f>
        <v>✅ ĐỦ HÀNG</v>
      </c>
    </row>
    <row r="882">
      <c r="A882" s="38" t="str">
        <f>IFERROR(__xludf.DUMMYFUNCTION("""COMPUTED_VALUE"""),"Nguyễn hoàng")</f>
        <v>Nguyễn hoàng</v>
      </c>
      <c r="B882" s="38">
        <v>2.0</v>
      </c>
      <c r="C882" s="38" t="str">
        <f>IFERROR(__xludf.DUMMYFUNCTION("""COMPUTED_VALUE"""),"✅ ĐỦ HÀNG")</f>
        <v>✅ ĐỦ HÀNG</v>
      </c>
    </row>
    <row r="883">
      <c r="A883" s="38" t="str">
        <f>IFERROR(__xludf.DUMMYFUNCTION("""COMPUTED_VALUE"""),"Phạm Minh")</f>
        <v>Phạm Minh</v>
      </c>
      <c r="B883" s="38">
        <v>1.0</v>
      </c>
      <c r="C883" s="38" t="str">
        <f>IFERROR(__xludf.DUMMYFUNCTION("""COMPUTED_VALUE"""),"✅ ĐỦ HÀNG")</f>
        <v>✅ ĐỦ HÀNG</v>
      </c>
    </row>
    <row r="884">
      <c r="A884" s="38" t="str">
        <f>IFERROR(__xludf.DUMMYFUNCTION("""COMPUTED_VALUE"""),"Tam Thanh Nguyen")</f>
        <v>Tam Thanh Nguyen</v>
      </c>
      <c r="B884" s="38">
        <v>1.0</v>
      </c>
      <c r="C884" s="38" t="str">
        <f>IFERROR(__xludf.DUMMYFUNCTION("""COMPUTED_VALUE"""),"✅ ĐỦ HÀNG")</f>
        <v>✅ ĐỦ HÀNG</v>
      </c>
    </row>
    <row r="885">
      <c r="A885" s="38" t="str">
        <f>IFERROR(__xludf.DUMMYFUNCTION("""COMPUTED_VALUE"""),"Nguyễn Thị Ánh")</f>
        <v>Nguyễn Thị Ánh</v>
      </c>
      <c r="B885" s="38">
        <v>1.0</v>
      </c>
      <c r="C885" s="38" t="str">
        <f>IFERROR(__xludf.DUMMYFUNCTION("""COMPUTED_VALUE"""),"✅ ĐỦ HÀNG")</f>
        <v>✅ ĐỦ HÀNG</v>
      </c>
    </row>
    <row r="886">
      <c r="A886" s="38" t="str">
        <f>IFERROR(__xludf.DUMMYFUNCTION("""COMPUTED_VALUE"""),"Sáu Dollars")</f>
        <v>Sáu Dollars</v>
      </c>
      <c r="B886" s="38">
        <v>1.0</v>
      </c>
      <c r="C886" s="38" t="str">
        <f>IFERROR(__xludf.DUMMYFUNCTION("""COMPUTED_VALUE"""),"✅ ĐỦ HÀNG")</f>
        <v>✅ ĐỦ HÀNG</v>
      </c>
    </row>
    <row r="887">
      <c r="A887" s="38" t="str">
        <f>IFERROR(__xludf.DUMMYFUNCTION("""COMPUTED_VALUE"""),"Đoàn Khánh Chi")</f>
        <v>Đoàn Khánh Chi</v>
      </c>
      <c r="B887" s="38">
        <v>1.0</v>
      </c>
      <c r="C887" s="38" t="str">
        <f>IFERROR(__xludf.DUMMYFUNCTION("""COMPUTED_VALUE"""),"✅ ĐỦ HÀNG")</f>
        <v>✅ ĐỦ HÀNG</v>
      </c>
    </row>
    <row r="888">
      <c r="A888" s="38" t="str">
        <f>IFERROR(__xludf.DUMMYFUNCTION("""COMPUTED_VALUE"""),"Dương Như Mơ")</f>
        <v>Dương Như Mơ</v>
      </c>
      <c r="B888" s="38">
        <v>3.0</v>
      </c>
      <c r="C888" s="38" t="str">
        <f>IFERROR(__xludf.DUMMYFUNCTION("""COMPUTED_VALUE"""),"✅ ĐỦ HÀNG")</f>
        <v>✅ ĐỦ HÀNG</v>
      </c>
    </row>
    <row r="889">
      <c r="A889" s="38" t="str">
        <f>IFERROR(__xludf.DUMMYFUNCTION("""COMPUTED_VALUE"""),"Đỗ Kim Nữ")</f>
        <v>Đỗ Kim Nữ</v>
      </c>
      <c r="B889" s="38">
        <v>1.0</v>
      </c>
      <c r="C889" s="38" t="str">
        <f>IFERROR(__xludf.DUMMYFUNCTION("""COMPUTED_VALUE"""),"✅ ĐỦ HÀNG")</f>
        <v>✅ ĐỦ HÀNG</v>
      </c>
    </row>
    <row r="890">
      <c r="A890" s="38" t="str">
        <f>IFERROR(__xludf.DUMMYFUNCTION("""COMPUTED_VALUE"""),"Linh Linh")</f>
        <v>Linh Linh</v>
      </c>
      <c r="B890" s="38">
        <v>1.0</v>
      </c>
      <c r="C890" s="38" t="str">
        <f>IFERROR(__xludf.DUMMYFUNCTION("""COMPUTED_VALUE"""),"✅ ĐỦ HÀNG")</f>
        <v>✅ ĐỦ HÀNG</v>
      </c>
    </row>
    <row r="891">
      <c r="A891" s="38" t="str">
        <f>IFERROR(__xludf.DUMMYFUNCTION("""COMPUTED_VALUE"""),"Linh Anh")</f>
        <v>Linh Anh</v>
      </c>
      <c r="B891" s="38">
        <v>1.0</v>
      </c>
      <c r="C891" s="38" t="str">
        <f>IFERROR(__xludf.DUMMYFUNCTION("""COMPUTED_VALUE"""),"✅ ĐỦ HÀNG")</f>
        <v>✅ ĐỦ HÀNG</v>
      </c>
    </row>
    <row r="892">
      <c r="A892" s="38" t="str">
        <f>IFERROR(__xludf.DUMMYFUNCTION("""COMPUTED_VALUE"""),"Tú Nguyễn")</f>
        <v>Tú Nguyễn</v>
      </c>
      <c r="B892" s="38">
        <v>1.0</v>
      </c>
      <c r="C892" s="38" t="str">
        <f>IFERROR(__xludf.DUMMYFUNCTION("""COMPUTED_VALUE"""),"✅ ĐỦ HÀNG")</f>
        <v>✅ ĐỦ HÀNG</v>
      </c>
    </row>
    <row r="893">
      <c r="A893" s="38" t="str">
        <f>IFERROR(__xludf.DUMMYFUNCTION("""COMPUTED_VALUE"""),"Nhàn Nhàn")</f>
        <v>Nhàn Nhàn</v>
      </c>
      <c r="B893" s="38">
        <v>1.0</v>
      </c>
      <c r="C893" s="38" t="str">
        <f>IFERROR(__xludf.DUMMYFUNCTION("""COMPUTED_VALUE"""),"✅ ĐỦ HÀNG")</f>
        <v>✅ ĐỦ HÀNG</v>
      </c>
    </row>
    <row r="894">
      <c r="A894" s="38" t="str">
        <f>IFERROR(__xludf.DUMMYFUNCTION("""COMPUTED_VALUE"""),"Dinh Thuy Dung")</f>
        <v>Dinh Thuy Dung</v>
      </c>
      <c r="B894" s="38">
        <v>2.0</v>
      </c>
      <c r="C894" s="38" t="str">
        <f>IFERROR(__xludf.DUMMYFUNCTION("""COMPUTED_VALUE"""),"✅ ĐỦ HÀNG")</f>
        <v>✅ ĐỦ HÀNG</v>
      </c>
    </row>
    <row r="895">
      <c r="A895" s="38" t="str">
        <f>IFERROR(__xludf.DUMMYFUNCTION("""COMPUTED_VALUE"""),"Trần T. Thu")</f>
        <v>Trần T. Thu</v>
      </c>
      <c r="B895" s="38">
        <v>2.0</v>
      </c>
      <c r="C895" s="38" t="str">
        <f>IFERROR(__xludf.DUMMYFUNCTION("""COMPUTED_VALUE"""),"✅ ĐỦ HÀNG")</f>
        <v>✅ ĐỦ HÀNG</v>
      </c>
    </row>
    <row r="896">
      <c r="A896" s="38" t="str">
        <f>IFERROR(__xludf.DUMMYFUNCTION("""COMPUTED_VALUE"""),"Thắm Nguyễn")</f>
        <v>Thắm Nguyễn</v>
      </c>
      <c r="B896" s="38">
        <v>2.0</v>
      </c>
      <c r="C896" s="38" t="str">
        <f>IFERROR(__xludf.DUMMYFUNCTION("""COMPUTED_VALUE"""),"✅ ĐỦ HÀNG")</f>
        <v>✅ ĐỦ HÀNG</v>
      </c>
    </row>
    <row r="897">
      <c r="A897" s="38" t="str">
        <f>IFERROR(__xludf.DUMMYFUNCTION("""COMPUTED_VALUE"""),"Trần Ngọc")</f>
        <v>Trần Ngọc</v>
      </c>
      <c r="B897" s="38">
        <v>2.0</v>
      </c>
      <c r="C897" s="38" t="str">
        <f>IFERROR(__xludf.DUMMYFUNCTION("""COMPUTED_VALUE"""),"✅ ĐỦ HÀNG")</f>
        <v>✅ ĐỦ HÀNG</v>
      </c>
    </row>
    <row r="898">
      <c r="A898" s="38" t="str">
        <f>IFERROR(__xludf.DUMMYFUNCTION("""COMPUTED_VALUE"""),"Nguyễn Phươnganh")</f>
        <v>Nguyễn Phươnganh</v>
      </c>
      <c r="B898" s="38">
        <v>2.0</v>
      </c>
      <c r="C898" s="38" t="str">
        <f>IFERROR(__xludf.DUMMYFUNCTION("""COMPUTED_VALUE"""),"✅ ĐỦ HÀNG")</f>
        <v>✅ ĐỦ HÀNG</v>
      </c>
    </row>
    <row r="899">
      <c r="A899" s="38" t="str">
        <f>IFERROR(__xludf.DUMMYFUNCTION("""COMPUTED_VALUE"""),"Dạ Thảo")</f>
        <v>Dạ Thảo</v>
      </c>
      <c r="B899" s="38">
        <v>2.0</v>
      </c>
      <c r="C899" s="38" t="str">
        <f>IFERROR(__xludf.DUMMYFUNCTION("""COMPUTED_VALUE"""),"✅ ĐỦ HÀNG")</f>
        <v>✅ ĐỦ HÀNG</v>
      </c>
    </row>
    <row r="900">
      <c r="A900" s="38" t="str">
        <f>IFERROR(__xludf.DUMMYFUNCTION("""COMPUTED_VALUE"""),"Huỳnh Thư")</f>
        <v>Huỳnh Thư</v>
      </c>
      <c r="B900" s="38">
        <v>2.0</v>
      </c>
      <c r="C900" s="38" t="str">
        <f>IFERROR(__xludf.DUMMYFUNCTION("""COMPUTED_VALUE"""),"✅ ĐỦ HÀNG")</f>
        <v>✅ ĐỦ HÀNG</v>
      </c>
    </row>
    <row r="901">
      <c r="A901" s="38" t="str">
        <f>IFERROR(__xludf.DUMMYFUNCTION("""COMPUTED_VALUE"""),"Nhậtt Quyên")</f>
        <v>Nhậtt Quyên</v>
      </c>
      <c r="B901" s="38">
        <v>3.0</v>
      </c>
      <c r="C901" s="38" t="str">
        <f>IFERROR(__xludf.DUMMYFUNCTION("""COMPUTED_VALUE"""),"✅ ĐỦ HÀNG")</f>
        <v>✅ ĐỦ HÀNG</v>
      </c>
    </row>
    <row r="902">
      <c r="A902" s="38" t="str">
        <f>IFERROR(__xludf.DUMMYFUNCTION("""COMPUTED_VALUE"""),"Cao Khạn Uyen")</f>
        <v>Cao Khạn Uyen</v>
      </c>
      <c r="B902" s="38">
        <v>4.0</v>
      </c>
      <c r="C902" s="38" t="str">
        <f>IFERROR(__xludf.DUMMYFUNCTION("""COMPUTED_VALUE"""),"✅ ĐỦ HÀNG")</f>
        <v>✅ ĐỦ HÀNG</v>
      </c>
    </row>
    <row r="903">
      <c r="A903" s="38" t="str">
        <f>IFERROR(__xludf.DUMMYFUNCTION("""COMPUTED_VALUE"""),"Huỳnh Thị Chúc Ly")</f>
        <v>Huỳnh Thị Chúc Ly</v>
      </c>
      <c r="B903" s="38">
        <v>2.0</v>
      </c>
      <c r="C903" s="38" t="str">
        <f>IFERROR(__xludf.DUMMYFUNCTION("""COMPUTED_VALUE"""),"✅ ĐỦ HÀNG")</f>
        <v>✅ ĐỦ HÀNG</v>
      </c>
    </row>
    <row r="904">
      <c r="A904" s="38" t="str">
        <f>IFERROR(__xludf.DUMMYFUNCTION("""COMPUTED_VALUE"""),"Min Lê")</f>
        <v>Min Lê</v>
      </c>
      <c r="B904" s="38">
        <v>2.0</v>
      </c>
      <c r="C904" s="38" t="str">
        <f>IFERROR(__xludf.DUMMYFUNCTION("""COMPUTED_VALUE"""),"✅ ĐỦ HÀNG")</f>
        <v>✅ ĐỦ HÀNG</v>
      </c>
    </row>
    <row r="905">
      <c r="A905" s="38" t="str">
        <f>IFERROR(__xludf.DUMMYFUNCTION("""COMPUTED_VALUE"""),"Khánh Ly")</f>
        <v>Khánh Ly</v>
      </c>
      <c r="B905" s="38">
        <v>1.0</v>
      </c>
      <c r="C905" s="38" t="str">
        <f>IFERROR(__xludf.DUMMYFUNCTION("""COMPUTED_VALUE"""),"✅ ĐỦ HÀNG")</f>
        <v>✅ ĐỦ HÀNG</v>
      </c>
    </row>
    <row r="906">
      <c r="A906" s="38" t="str">
        <f>IFERROR(__xludf.DUMMYFUNCTION("""COMPUTED_VALUE"""),"Thuỳ Bt")</f>
        <v>Thuỳ Bt</v>
      </c>
      <c r="B906" s="38">
        <v>2.0</v>
      </c>
      <c r="C906" s="38" t="str">
        <f>IFERROR(__xludf.DUMMYFUNCTION("""COMPUTED_VALUE"""),"✅ ĐỦ HÀNG")</f>
        <v>✅ ĐỦ HÀNG</v>
      </c>
    </row>
    <row r="907">
      <c r="A907" s="38" t="str">
        <f>IFERROR(__xludf.DUMMYFUNCTION("""COMPUTED_VALUE"""),"Lê Cẩm Ly")</f>
        <v>Lê Cẩm Ly</v>
      </c>
      <c r="B907" s="38">
        <v>2.0</v>
      </c>
      <c r="C907" s="38" t="str">
        <f>IFERROR(__xludf.DUMMYFUNCTION("""COMPUTED_VALUE"""),"✅ ĐỦ HÀNG")</f>
        <v>✅ ĐỦ HÀNG</v>
      </c>
    </row>
    <row r="908">
      <c r="A908" s="38" t="str">
        <f>IFERROR(__xludf.DUMMYFUNCTION("""COMPUTED_VALUE"""),"Huyền My")</f>
        <v>Huyền My</v>
      </c>
      <c r="B908" s="38">
        <v>2.0</v>
      </c>
      <c r="C908" s="38" t="str">
        <f>IFERROR(__xludf.DUMMYFUNCTION("""COMPUTED_VALUE"""),"✅ ĐỦ HÀNG")</f>
        <v>✅ ĐỦ HÀNG</v>
      </c>
    </row>
    <row r="909">
      <c r="A909" s="38" t="str">
        <f>IFERROR(__xludf.DUMMYFUNCTION("""COMPUTED_VALUE"""),"Ngát Suri")</f>
        <v>Ngát Suri</v>
      </c>
      <c r="B909" s="38">
        <v>1.0</v>
      </c>
      <c r="C909" s="38" t="str">
        <f>IFERROR(__xludf.DUMMYFUNCTION("""COMPUTED_VALUE"""),"✅ ĐỦ HÀNG")</f>
        <v>✅ ĐỦ HÀNG</v>
      </c>
    </row>
    <row r="910">
      <c r="A910" s="38" t="str">
        <f>IFERROR(__xludf.DUMMYFUNCTION("""COMPUTED_VALUE"""),"Bảo Bảo")</f>
        <v>Bảo Bảo</v>
      </c>
      <c r="B910" s="38">
        <v>1.0</v>
      </c>
      <c r="C910" s="38" t="str">
        <f>IFERROR(__xludf.DUMMYFUNCTION("""COMPUTED_VALUE"""),"✅ ĐỦ HÀNG")</f>
        <v>✅ ĐỦ HÀNG</v>
      </c>
    </row>
    <row r="911">
      <c r="A911" s="38" t="str">
        <f>IFERROR(__xludf.DUMMYFUNCTION("""COMPUTED_VALUE"""),"Huế ")</f>
        <v>Huế </v>
      </c>
      <c r="B911" s="38">
        <v>1.0</v>
      </c>
      <c r="C911" s="38" t="str">
        <f>IFERROR(__xludf.DUMMYFUNCTION("""COMPUTED_VALUE"""),"✅ ĐỦ HÀNG")</f>
        <v>✅ ĐỦ HÀNG</v>
      </c>
    </row>
    <row r="912">
      <c r="A912" s="38" t="str">
        <f>IFERROR(__xludf.DUMMYFUNCTION("""COMPUTED_VALUE"""),"Nhã Trang")</f>
        <v>Nhã Trang</v>
      </c>
      <c r="B912" s="38">
        <v>2.0</v>
      </c>
      <c r="C912" s="38" t="str">
        <f>IFERROR(__xludf.DUMMYFUNCTION("""COMPUTED_VALUE"""),"✅ ĐỦ HÀNG")</f>
        <v>✅ ĐỦ HÀNG</v>
      </c>
    </row>
    <row r="913">
      <c r="A913" s="38" t="str">
        <f>IFERROR(__xludf.DUMMYFUNCTION("""COMPUTED_VALUE"""),"Trang Tũnn")</f>
        <v>Trang Tũnn</v>
      </c>
      <c r="B913" s="38">
        <v>1.0</v>
      </c>
      <c r="C913" s="38" t="str">
        <f>IFERROR(__xludf.DUMMYFUNCTION("""COMPUTED_VALUE"""),"✅ ĐỦ HÀNG")</f>
        <v>✅ ĐỦ HÀNG</v>
      </c>
    </row>
    <row r="914">
      <c r="A914" s="38" t="str">
        <f>IFERROR(__xludf.DUMMYFUNCTION("""COMPUTED_VALUE"""),"Phạm Thị Thuỳ Linh")</f>
        <v>Phạm Thị Thuỳ Linh</v>
      </c>
      <c r="B914" s="38">
        <v>1.0</v>
      </c>
      <c r="C914" s="38" t="str">
        <f>IFERROR(__xludf.DUMMYFUNCTION("""COMPUTED_VALUE"""),"✅ ĐỦ HÀNG")</f>
        <v>✅ ĐỦ HÀNG</v>
      </c>
    </row>
    <row r="915">
      <c r="A915" s="38" t="str">
        <f>IFERROR(__xludf.DUMMYFUNCTION("""COMPUTED_VALUE"""),"Võ Thị Kiều Oanh")</f>
        <v>Võ Thị Kiều Oanh</v>
      </c>
      <c r="B915" s="38">
        <v>2.0</v>
      </c>
      <c r="C915" s="38" t="str">
        <f>IFERROR(__xludf.DUMMYFUNCTION("""COMPUTED_VALUE"""),"✅ ĐỦ HÀNG")</f>
        <v>✅ ĐỦ HÀNG</v>
      </c>
    </row>
    <row r="916">
      <c r="A916" s="38" t="str">
        <f>IFERROR(__xludf.DUMMYFUNCTION("""COMPUTED_VALUE"""),"Bùi Thị Nhung")</f>
        <v>Bùi Thị Nhung</v>
      </c>
      <c r="B916" s="38">
        <v>1.0</v>
      </c>
      <c r="C916" s="38" t="str">
        <f>IFERROR(__xludf.DUMMYFUNCTION("""COMPUTED_VALUE"""),"✅ ĐỦ HÀNG")</f>
        <v>✅ ĐỦ HÀNG</v>
      </c>
    </row>
    <row r="917">
      <c r="A917" s="38" t="str">
        <f>IFERROR(__xludf.DUMMYFUNCTION("""COMPUTED_VALUE"""),"Mỹ Duyên")</f>
        <v>Mỹ Duyên</v>
      </c>
      <c r="B917" s="38">
        <v>1.0</v>
      </c>
      <c r="C917" s="38" t="str">
        <f>IFERROR(__xludf.DUMMYFUNCTION("""COMPUTED_VALUE"""),"✅ ĐỦ HÀNG")</f>
        <v>✅ ĐỦ HÀNG</v>
      </c>
    </row>
    <row r="918">
      <c r="A918" s="38" t="str">
        <f>IFERROR(__xludf.DUMMYFUNCTION("""COMPUTED_VALUE"""),"Yến Peach")</f>
        <v>Yến Peach</v>
      </c>
      <c r="B918" s="38">
        <v>1.0</v>
      </c>
      <c r="C918" s="38" t="str">
        <f>IFERROR(__xludf.DUMMYFUNCTION("""COMPUTED_VALUE"""),"✅ ĐỦ HÀNG")</f>
        <v>✅ ĐỦ HÀNG</v>
      </c>
    </row>
    <row r="919">
      <c r="A919" s="38" t="str">
        <f>IFERROR(__xludf.DUMMYFUNCTION("""COMPUTED_VALUE"""),"Hiền Lương")</f>
        <v>Hiền Lương</v>
      </c>
      <c r="B919" s="38">
        <v>1.0</v>
      </c>
      <c r="C919" s="38" t="str">
        <f>IFERROR(__xludf.DUMMYFUNCTION("""COMPUTED_VALUE"""),"✅ ĐỦ HÀNG")</f>
        <v>✅ ĐỦ HÀNG</v>
      </c>
    </row>
    <row r="920">
      <c r="A920" s="38" t="str">
        <f>IFERROR(__xludf.DUMMYFUNCTION("""COMPUTED_VALUE"""),"Quynh kani")</f>
        <v>Quynh kani</v>
      </c>
      <c r="B920" s="38">
        <v>1.0</v>
      </c>
      <c r="C920" s="38" t="str">
        <f>IFERROR(__xludf.DUMMYFUNCTION("""COMPUTED_VALUE"""),"✅ ĐỦ HÀNG")</f>
        <v>✅ ĐỦ HÀNG</v>
      </c>
    </row>
    <row r="921">
      <c r="A921" s="38" t="str">
        <f>IFERROR(__xludf.DUMMYFUNCTION("""COMPUTED_VALUE"""),"Vương Minh")</f>
        <v>Vương Minh</v>
      </c>
      <c r="B921" s="38">
        <v>1.0</v>
      </c>
      <c r="C921" s="38" t="str">
        <f>IFERROR(__xludf.DUMMYFUNCTION("""COMPUTED_VALUE"""),"✅ ĐỦ HÀNG")</f>
        <v>✅ ĐỦ HÀNG</v>
      </c>
    </row>
    <row r="922">
      <c r="A922" s="38" t="str">
        <f>IFERROR(__xludf.DUMMYFUNCTION("""COMPUTED_VALUE"""),"Đinh Thị Mai Lan")</f>
        <v>Đinh Thị Mai Lan</v>
      </c>
      <c r="B922" s="38">
        <v>1.0</v>
      </c>
      <c r="C922" s="38" t="str">
        <f>IFERROR(__xludf.DUMMYFUNCTION("""COMPUTED_VALUE"""),"✅ ĐỦ HÀNG")</f>
        <v>✅ ĐỦ HÀNG</v>
      </c>
    </row>
    <row r="923">
      <c r="A923" s="38" t="str">
        <f>IFERROR(__xludf.DUMMYFUNCTION("""COMPUTED_VALUE"""),"Phạm Trang")</f>
        <v>Phạm Trang</v>
      </c>
      <c r="B923" s="38">
        <v>1.0</v>
      </c>
      <c r="C923" s="38" t="str">
        <f>IFERROR(__xludf.DUMMYFUNCTION("""COMPUTED_VALUE"""),"✅ ĐỦ HÀNG")</f>
        <v>✅ ĐỦ HÀNG</v>
      </c>
    </row>
    <row r="924">
      <c r="A924" s="38" t="str">
        <f>IFERROR(__xludf.DUMMYFUNCTION("""COMPUTED_VALUE"""),"Mai Thương")</f>
        <v>Mai Thương</v>
      </c>
      <c r="B924" s="38">
        <v>1.0</v>
      </c>
      <c r="C924" s="38" t="str">
        <f>IFERROR(__xludf.DUMMYFUNCTION("""COMPUTED_VALUE"""),"✅ ĐỦ HÀNG")</f>
        <v>✅ ĐỦ HÀNG</v>
      </c>
    </row>
    <row r="925">
      <c r="A925" s="38" t="str">
        <f>IFERROR(__xludf.DUMMYFUNCTION("""COMPUTED_VALUE"""),"Nguyễn Thị Tuyết")</f>
        <v>Nguyễn Thị Tuyết</v>
      </c>
      <c r="B925" s="38">
        <v>1.0</v>
      </c>
      <c r="C925" s="38" t="str">
        <f>IFERROR(__xludf.DUMMYFUNCTION("""COMPUTED_VALUE"""),"✅ ĐỦ HÀNG")</f>
        <v>✅ ĐỦ HÀNG</v>
      </c>
    </row>
    <row r="926">
      <c r="A926" s="38" t="str">
        <f>IFERROR(__xludf.DUMMYFUNCTION("""COMPUTED_VALUE"""),"Hoàii Thươngg")</f>
        <v>Hoàii Thươngg</v>
      </c>
      <c r="B926" s="38">
        <v>1.0</v>
      </c>
      <c r="C926" s="38" t="str">
        <f>IFERROR(__xludf.DUMMYFUNCTION("""COMPUTED_VALUE"""),"✅ ĐỦ HÀNG")</f>
        <v>✅ ĐỦ HÀNG</v>
      </c>
    </row>
    <row r="927">
      <c r="A927" s="38" t="str">
        <f>IFERROR(__xludf.DUMMYFUNCTION("""COMPUTED_VALUE"""),"Phượng Phạm")</f>
        <v>Phượng Phạm</v>
      </c>
      <c r="B927" s="38">
        <v>1.0</v>
      </c>
      <c r="C927" s="38" t="str">
        <f>IFERROR(__xludf.DUMMYFUNCTION("""COMPUTED_VALUE"""),"✅ ĐỦ HÀNG")</f>
        <v>✅ ĐỦ HÀNG</v>
      </c>
    </row>
    <row r="928">
      <c r="A928" s="38" t="str">
        <f>IFERROR(__xludf.DUMMYFUNCTION("""COMPUTED_VALUE"""),"Bông Thành Trần")</f>
        <v>Bông Thành Trần</v>
      </c>
      <c r="B928" s="38">
        <v>1.0</v>
      </c>
      <c r="C928" s="38" t="str">
        <f>IFERROR(__xludf.DUMMYFUNCTION("""COMPUTED_VALUE"""),"✅ ĐỦ HÀNG")</f>
        <v>✅ ĐỦ HÀNG</v>
      </c>
    </row>
    <row r="929">
      <c r="A929" s="38" t="str">
        <f>IFERROR(__xludf.DUMMYFUNCTION("""COMPUTED_VALUE"""),"Nguyễn Thị Thuý")</f>
        <v>Nguyễn Thị Thuý</v>
      </c>
      <c r="B929" s="38">
        <v>1.0</v>
      </c>
      <c r="C929" s="38" t="str">
        <f>IFERROR(__xludf.DUMMYFUNCTION("""COMPUTED_VALUE"""),"✅ ĐỦ HÀNG")</f>
        <v>✅ ĐỦ HÀNG</v>
      </c>
    </row>
    <row r="930">
      <c r="A930" s="38" t="str">
        <f>IFERROR(__xludf.DUMMYFUNCTION("""COMPUTED_VALUE"""),"Mỹ Chi")</f>
        <v>Mỹ Chi</v>
      </c>
      <c r="B930" s="38">
        <v>1.0</v>
      </c>
      <c r="C930" s="38" t="str">
        <f>IFERROR(__xludf.DUMMYFUNCTION("""COMPUTED_VALUE"""),"✅ ĐỦ HÀNG")</f>
        <v>✅ ĐỦ HÀNG</v>
      </c>
    </row>
    <row r="931">
      <c r="A931" s="38" t="str">
        <f>IFERROR(__xludf.DUMMYFUNCTION("""COMPUTED_VALUE"""),"Mei Chan")</f>
        <v>Mei Chan</v>
      </c>
      <c r="B931" s="38">
        <v>1.0</v>
      </c>
      <c r="C931" s="38" t="str">
        <f>IFERROR(__xludf.DUMMYFUNCTION("""COMPUTED_VALUE"""),"✅ ĐỦ HÀNG")</f>
        <v>✅ ĐỦ HÀNG</v>
      </c>
    </row>
    <row r="932">
      <c r="A932" s="38" t="str">
        <f>IFERROR(__xludf.DUMMYFUNCTION("""COMPUTED_VALUE"""),"Nguyễn Trang")</f>
        <v>Nguyễn Trang</v>
      </c>
      <c r="B932" s="38">
        <v>1.0</v>
      </c>
      <c r="C932" s="38" t="str">
        <f>IFERROR(__xludf.DUMMYFUNCTION("""COMPUTED_VALUE"""),"✅ ĐỦ HÀNG")</f>
        <v>✅ ĐỦ HÀNG</v>
      </c>
    </row>
    <row r="933">
      <c r="A933" s="38" t="str">
        <f>IFERROR(__xludf.DUMMYFUNCTION("""COMPUTED_VALUE"""),"Cải Thảo")</f>
        <v>Cải Thảo</v>
      </c>
      <c r="B933" s="38">
        <v>1.0</v>
      </c>
      <c r="C933" s="38" t="str">
        <f>IFERROR(__xludf.DUMMYFUNCTION("""COMPUTED_VALUE"""),"✅ ĐỦ HÀNG")</f>
        <v>✅ ĐỦ HÀNG</v>
      </c>
    </row>
    <row r="934">
      <c r="A934" s="38" t="str">
        <f>IFERROR(__xludf.DUMMYFUNCTION("""COMPUTED_VALUE"""),"Nguyễn T. Hồng")</f>
        <v>Nguyễn T. Hồng</v>
      </c>
      <c r="B934" s="38">
        <v>1.0</v>
      </c>
      <c r="C934" s="38" t="str">
        <f>IFERROR(__xludf.DUMMYFUNCTION("""COMPUTED_VALUE"""),"✅ ĐỦ HÀNG")</f>
        <v>✅ ĐỦ HÀNG</v>
      </c>
    </row>
    <row r="935">
      <c r="A935" s="38" t="str">
        <f>IFERROR(__xludf.DUMMYFUNCTION("""COMPUTED_VALUE"""),"Diệu Thuỳ Linh")</f>
        <v>Diệu Thuỳ Linh</v>
      </c>
      <c r="B935" s="38">
        <v>1.0</v>
      </c>
      <c r="C935" s="38" t="str">
        <f>IFERROR(__xludf.DUMMYFUNCTION("""COMPUTED_VALUE"""),"✅ ĐỦ HÀNG")</f>
        <v>✅ ĐỦ HÀNG</v>
      </c>
    </row>
    <row r="936">
      <c r="A936" s="38" t="str">
        <f>IFERROR(__xludf.DUMMYFUNCTION("""COMPUTED_VALUE"""),"Hà Đoàn")</f>
        <v>Hà Đoàn</v>
      </c>
      <c r="B936" s="38">
        <v>1.0</v>
      </c>
      <c r="C936" s="38" t="str">
        <f>IFERROR(__xludf.DUMMYFUNCTION("""COMPUTED_VALUE"""),"✅ ĐỦ HÀNG")</f>
        <v>✅ ĐỦ HÀNG</v>
      </c>
    </row>
    <row r="937">
      <c r="A937" s="38" t="str">
        <f>IFERROR(__xludf.DUMMYFUNCTION("""COMPUTED_VALUE"""),"LinLa Sa")</f>
        <v>LinLa Sa</v>
      </c>
      <c r="B937" s="38">
        <v>1.0</v>
      </c>
      <c r="C937" s="38" t="str">
        <f>IFERROR(__xludf.DUMMYFUNCTION("""COMPUTED_VALUE"""),"✅ ĐỦ HÀNG")</f>
        <v>✅ ĐỦ HÀNG</v>
      </c>
    </row>
    <row r="938">
      <c r="A938" s="38" t="str">
        <f>IFERROR(__xludf.DUMMYFUNCTION("""COMPUTED_VALUE"""),"Ngoc LH")</f>
        <v>Ngoc LH</v>
      </c>
      <c r="B938" s="38">
        <v>1.0</v>
      </c>
      <c r="C938" s="38" t="str">
        <f>IFERROR(__xludf.DUMMYFUNCTION("""COMPUTED_VALUE"""),"✅ ĐỦ HÀNG")</f>
        <v>✅ ĐỦ HÀNG</v>
      </c>
    </row>
    <row r="939">
      <c r="A939" s="38" t="str">
        <f>IFERROR(__xludf.DUMMYFUNCTION("""COMPUTED_VALUE"""),"Trang Karry")</f>
        <v>Trang Karry</v>
      </c>
      <c r="B939" s="38">
        <v>1.0</v>
      </c>
      <c r="C939" s="38" t="str">
        <f>IFERROR(__xludf.DUMMYFUNCTION("""COMPUTED_VALUE"""),"✅ ĐỦ HÀNG")</f>
        <v>✅ ĐỦ HÀNG</v>
      </c>
    </row>
    <row r="940">
      <c r="A940" s="38" t="str">
        <f>IFERROR(__xludf.DUMMYFUNCTION("""COMPUTED_VALUE"""),"Nguyễn Linhh")</f>
        <v>Nguyễn Linhh</v>
      </c>
      <c r="B940" s="38">
        <v>1.0</v>
      </c>
      <c r="C940" s="38" t="str">
        <f>IFERROR(__xludf.DUMMYFUNCTION("""COMPUTED_VALUE"""),"✅ ĐỦ HÀNG")</f>
        <v>✅ ĐỦ HÀNG</v>
      </c>
    </row>
    <row r="941">
      <c r="A941" s="38" t="str">
        <f>IFERROR(__xludf.DUMMYFUNCTION("""COMPUTED_VALUE"""),"Nguyễn Kim Anh")</f>
        <v>Nguyễn Kim Anh</v>
      </c>
      <c r="B941" s="38">
        <v>1.0</v>
      </c>
      <c r="C941" s="38" t="str">
        <f>IFERROR(__xludf.DUMMYFUNCTION("""COMPUTED_VALUE"""),"✅ ĐỦ HÀNG")</f>
        <v>✅ ĐỦ HÀNG</v>
      </c>
    </row>
    <row r="942">
      <c r="A942" s="38" t="str">
        <f>IFERROR(__xludf.DUMMYFUNCTION("""COMPUTED_VALUE"""),"Hoàng Thu Diễm")</f>
        <v>Hoàng Thu Diễm</v>
      </c>
      <c r="B942" s="38">
        <v>4.0</v>
      </c>
      <c r="C942" s="38" t="str">
        <f>IFERROR(__xludf.DUMMYFUNCTION("""COMPUTED_VALUE"""),"✅ ĐỦ HÀNG")</f>
        <v>✅ ĐỦ HÀNG</v>
      </c>
    </row>
    <row r="943">
      <c r="A943" s="38" t="str">
        <f>IFERROR(__xludf.DUMMYFUNCTION("""COMPUTED_VALUE"""),"Thuý Thuý")</f>
        <v>Thuý Thuý</v>
      </c>
      <c r="B943" s="38">
        <v>5.0</v>
      </c>
      <c r="C943" s="38" t="str">
        <f>IFERROR(__xludf.DUMMYFUNCTION("""COMPUTED_VALUE"""),"✅ ĐỦ HÀNG")</f>
        <v>✅ ĐỦ HÀNG</v>
      </c>
    </row>
    <row r="944">
      <c r="A944" s="38" t="str">
        <f>IFERROR(__xludf.DUMMYFUNCTION("""COMPUTED_VALUE"""),"Yến Phi")</f>
        <v>Yến Phi</v>
      </c>
      <c r="B944" s="38">
        <v>2.0</v>
      </c>
      <c r="C944" s="38" t="str">
        <f>IFERROR(__xludf.DUMMYFUNCTION("""COMPUTED_VALUE"""),"✅ ĐỦ HÀNG")</f>
        <v>✅ ĐỦ HÀNG</v>
      </c>
    </row>
    <row r="945">
      <c r="A945" s="38" t="str">
        <f>IFERROR(__xludf.DUMMYFUNCTION("""COMPUTED_VALUE"""),"Đinh Phương")</f>
        <v>Đinh Phương</v>
      </c>
      <c r="B945" s="38">
        <v>1.0</v>
      </c>
      <c r="C945" s="38" t="str">
        <f>IFERROR(__xludf.DUMMYFUNCTION("""COMPUTED_VALUE"""),"✅ ĐỦ HÀNG")</f>
        <v>✅ ĐỦ HÀNG</v>
      </c>
    </row>
    <row r="946">
      <c r="A946" s="38" t="str">
        <f>IFERROR(__xludf.DUMMYFUNCTION("""COMPUTED_VALUE"""),"Trang Bống")</f>
        <v>Trang Bống</v>
      </c>
      <c r="B946" s="38">
        <v>2.0</v>
      </c>
      <c r="C946" s="38" t="str">
        <f>IFERROR(__xludf.DUMMYFUNCTION("""COMPUTED_VALUE"""),"✅ ĐỦ HÀNG")</f>
        <v>✅ ĐỦ HÀNG</v>
      </c>
    </row>
    <row r="947">
      <c r="A947" s="38" t="str">
        <f>IFERROR(__xludf.DUMMYFUNCTION("""COMPUTED_VALUE"""),"Triệu Thị Hậu")</f>
        <v>Triệu Thị Hậu</v>
      </c>
      <c r="B947" s="38">
        <v>1.0</v>
      </c>
      <c r="C947" s="38" t="str">
        <f>IFERROR(__xludf.DUMMYFUNCTION("""COMPUTED_VALUE"""),"✅ ĐỦ HÀNG")</f>
        <v>✅ ĐỦ HÀNG</v>
      </c>
    </row>
    <row r="948">
      <c r="A948" s="38" t="str">
        <f>IFERROR(__xludf.DUMMYFUNCTION("""COMPUTED_VALUE"""),"Linh Hoàng")</f>
        <v>Linh Hoàng</v>
      </c>
      <c r="B948" s="38">
        <v>1.0</v>
      </c>
      <c r="C948" s="38" t="str">
        <f>IFERROR(__xludf.DUMMYFUNCTION("""COMPUTED_VALUE"""),"✅ ĐỦ HÀNG")</f>
        <v>✅ ĐỦ HÀNG</v>
      </c>
    </row>
    <row r="949">
      <c r="A949" s="38" t="str">
        <f>IFERROR(__xludf.DUMMYFUNCTION("""COMPUTED_VALUE"""),"Công Dăng")</f>
        <v>Công Dăng</v>
      </c>
      <c r="B949" s="38">
        <v>1.0</v>
      </c>
      <c r="C949" s="38" t="str">
        <f>IFERROR(__xludf.DUMMYFUNCTION("""COMPUTED_VALUE"""),"✅ ĐỦ HÀNG")</f>
        <v>✅ ĐỦ HÀNG</v>
      </c>
    </row>
    <row r="950">
      <c r="A950" s="38" t="str">
        <f>IFERROR(__xludf.DUMMYFUNCTION("""COMPUTED_VALUE"""),"Ngô Thu Uyên")</f>
        <v>Ngô Thu Uyên</v>
      </c>
      <c r="B950" s="38">
        <v>1.0</v>
      </c>
      <c r="C950" s="38" t="str">
        <f>IFERROR(__xludf.DUMMYFUNCTION("""COMPUTED_VALUE"""),"✅ ĐỦ HÀNG")</f>
        <v>✅ ĐỦ HÀNG</v>
      </c>
    </row>
    <row r="951">
      <c r="A951" s="38" t="str">
        <f>IFERROR(__xludf.DUMMYFUNCTION("""COMPUTED_VALUE"""),"Nt Hoa")</f>
        <v>Nt Hoa</v>
      </c>
      <c r="B951" s="38">
        <v>1.0</v>
      </c>
      <c r="C951" s="38" t="str">
        <f>IFERROR(__xludf.DUMMYFUNCTION("""COMPUTED_VALUE"""),"✅ ĐỦ HÀNG")</f>
        <v>✅ ĐỦ HÀNG</v>
      </c>
    </row>
    <row r="952">
      <c r="A952" s="38" t="str">
        <f>IFERROR(__xludf.DUMMYFUNCTION("""COMPUTED_VALUE"""),"Vũ Quỳnh Nhung")</f>
        <v>Vũ Quỳnh Nhung</v>
      </c>
      <c r="B952" s="38">
        <v>1.0</v>
      </c>
      <c r="C952" s="38" t="str">
        <f>IFERROR(__xludf.DUMMYFUNCTION("""COMPUTED_VALUE"""),"✅ ĐỦ HÀNG")</f>
        <v>✅ ĐỦ HÀNG</v>
      </c>
    </row>
    <row r="953">
      <c r="A953" s="38" t="str">
        <f>IFERROR(__xludf.DUMMYFUNCTION("""COMPUTED_VALUE"""),"Linh Chi")</f>
        <v>Linh Chi</v>
      </c>
      <c r="B953" s="38">
        <v>1.0</v>
      </c>
      <c r="C953" s="38" t="str">
        <f>IFERROR(__xludf.DUMMYFUNCTION("""COMPUTED_VALUE"""),"✅ ĐỦ HÀNG")</f>
        <v>✅ ĐỦ HÀNG</v>
      </c>
    </row>
    <row r="954">
      <c r="A954" s="38" t="str">
        <f>IFERROR(__xludf.DUMMYFUNCTION("""COMPUTED_VALUE"""),"Ng Ngọc Hân")</f>
        <v>Ng Ngọc Hân</v>
      </c>
      <c r="B954" s="38">
        <v>1.0</v>
      </c>
      <c r="C954" s="38" t="str">
        <f>IFERROR(__xludf.DUMMYFUNCTION("""COMPUTED_VALUE"""),"✅ ĐỦ HÀNG")</f>
        <v>✅ ĐỦ HÀNG</v>
      </c>
    </row>
    <row r="955">
      <c r="A955" s="38" t="str">
        <f>IFERROR(__xludf.DUMMYFUNCTION("""COMPUTED_VALUE"""),"Trịnh Tân")</f>
        <v>Trịnh Tân</v>
      </c>
      <c r="B955" s="38">
        <v>1.0</v>
      </c>
      <c r="C955" s="38" t="str">
        <f>IFERROR(__xludf.DUMMYFUNCTION("""COMPUTED_VALUE"""),"✅ ĐỦ HÀNG")</f>
        <v>✅ ĐỦ HÀNG</v>
      </c>
    </row>
    <row r="956">
      <c r="A956" s="38" t="str">
        <f>IFERROR(__xludf.DUMMYFUNCTION("""COMPUTED_VALUE"""),"Bé Nhỏ")</f>
        <v>Bé Nhỏ</v>
      </c>
      <c r="B956" s="38">
        <v>1.0</v>
      </c>
      <c r="C956" s="38" t="str">
        <f>IFERROR(__xludf.DUMMYFUNCTION("""COMPUTED_VALUE"""),"✅ ĐỦ HÀNG")</f>
        <v>✅ ĐỦ HÀNG</v>
      </c>
    </row>
    <row r="957">
      <c r="A957" s="38" t="str">
        <f>IFERROR(__xludf.DUMMYFUNCTION("""COMPUTED_VALUE"""),"Bích Hiệp")</f>
        <v>Bích Hiệp</v>
      </c>
      <c r="B957" s="38">
        <v>1.0</v>
      </c>
      <c r="C957" s="38" t="str">
        <f>IFERROR(__xludf.DUMMYFUNCTION("""COMPUTED_VALUE"""),"✅ ĐỦ HÀNG")</f>
        <v>✅ ĐỦ HÀNG</v>
      </c>
    </row>
    <row r="958">
      <c r="A958" s="38" t="str">
        <f>IFERROR(__xludf.DUMMYFUNCTION("""COMPUTED_VALUE"""),"Trần Khánh An")</f>
        <v>Trần Khánh An</v>
      </c>
      <c r="B958" s="38">
        <v>1.0</v>
      </c>
      <c r="C958" s="38" t="str">
        <f>IFERROR(__xludf.DUMMYFUNCTION("""COMPUTED_VALUE"""),"✅ ĐỦ HÀNG")</f>
        <v>✅ ĐỦ HÀNG</v>
      </c>
    </row>
    <row r="959">
      <c r="A959" s="38" t="str">
        <f>IFERROR(__xludf.DUMMYFUNCTION("""COMPUTED_VALUE"""),"Cẩm Nguyên")</f>
        <v>Cẩm Nguyên</v>
      </c>
      <c r="B959" s="38">
        <v>1.0</v>
      </c>
      <c r="C959" s="38" t="str">
        <f>IFERROR(__xludf.DUMMYFUNCTION("""COMPUTED_VALUE"""),"✅ ĐỦ HÀNG")</f>
        <v>✅ ĐỦ HÀNG</v>
      </c>
    </row>
    <row r="960">
      <c r="A960" s="38" t="str">
        <f>IFERROR(__xludf.DUMMYFUNCTION("""COMPUTED_VALUE"""),"Xuân Thảo")</f>
        <v>Xuân Thảo</v>
      </c>
      <c r="B960" s="38">
        <v>1.0</v>
      </c>
      <c r="C960" s="38" t="str">
        <f>IFERROR(__xludf.DUMMYFUNCTION("""COMPUTED_VALUE"""),"✅ ĐỦ HÀNG")</f>
        <v>✅ ĐỦ HÀNG</v>
      </c>
    </row>
    <row r="961">
      <c r="A961" s="38" t="str">
        <f>IFERROR(__xludf.DUMMYFUNCTION("""COMPUTED_VALUE"""),"Huyenn Trangg")</f>
        <v>Huyenn Trangg</v>
      </c>
      <c r="B961" s="38">
        <v>1.0</v>
      </c>
      <c r="C961" s="38" t="str">
        <f>IFERROR(__xludf.DUMMYFUNCTION("""COMPUTED_VALUE"""),"✅ ĐỦ HÀNG")</f>
        <v>✅ ĐỦ HÀNG</v>
      </c>
    </row>
    <row r="962">
      <c r="A962" s="38" t="str">
        <f>IFERROR(__xludf.DUMMYFUNCTION("""COMPUTED_VALUE"""),"Xù")</f>
        <v>Xù</v>
      </c>
      <c r="B962" s="38">
        <v>1.0</v>
      </c>
      <c r="C962" s="38" t="str">
        <f>IFERROR(__xludf.DUMMYFUNCTION("""COMPUTED_VALUE"""),"✅ ĐỦ HÀNG")</f>
        <v>✅ ĐỦ HÀNG</v>
      </c>
    </row>
    <row r="963">
      <c r="A963" s="38" t="str">
        <f>IFERROR(__xludf.DUMMYFUNCTION("""COMPUTED_VALUE"""),"Phương Trà")</f>
        <v>Phương Trà</v>
      </c>
      <c r="B963" s="38">
        <v>2.0</v>
      </c>
      <c r="C963" s="38" t="str">
        <f>IFERROR(__xludf.DUMMYFUNCTION("""COMPUTED_VALUE"""),"✅ ĐỦ HÀNG")</f>
        <v>✅ ĐỦ HÀNG</v>
      </c>
    </row>
    <row r="964">
      <c r="A964" s="38" t="str">
        <f>IFERROR(__xludf.DUMMYFUNCTION("""COMPUTED_VALUE"""),"Ki Mi")</f>
        <v>Ki Mi</v>
      </c>
      <c r="B964" s="38">
        <v>1.0</v>
      </c>
      <c r="C964" s="38" t="str">
        <f>IFERROR(__xludf.DUMMYFUNCTION("""COMPUTED_VALUE"""),"✅ ĐỦ HÀNG")</f>
        <v>✅ ĐỦ HÀNG</v>
      </c>
    </row>
    <row r="965">
      <c r="A965" s="38" t="str">
        <f>IFERROR(__xludf.DUMMYFUNCTION("""COMPUTED_VALUE"""),"Hônq Loan")</f>
        <v>Hônq Loan</v>
      </c>
      <c r="B965" s="38">
        <v>2.0</v>
      </c>
      <c r="C965" s="38" t="str">
        <f>IFERROR(__xludf.DUMMYFUNCTION("""COMPUTED_VALUE"""),"✅ ĐỦ HÀNG")</f>
        <v>✅ ĐỦ HÀNG</v>
      </c>
    </row>
    <row r="966">
      <c r="A966" s="38" t="str">
        <f>IFERROR(__xludf.DUMMYFUNCTION("""COMPUTED_VALUE"""),"Hoàgg Ank")</f>
        <v>Hoàgg Ank</v>
      </c>
      <c r="B966" s="38">
        <v>2.0</v>
      </c>
      <c r="C966" s="38" t="str">
        <f>IFERROR(__xludf.DUMMYFUNCTION("""COMPUTED_VALUE"""),"✅ ĐỦ HÀNG")</f>
        <v>✅ ĐỦ HÀNG</v>
      </c>
    </row>
    <row r="967">
      <c r="A967" s="38" t="str">
        <f>IFERROR(__xludf.DUMMYFUNCTION("""COMPUTED_VALUE"""),"Hang Nguyen")</f>
        <v>Hang Nguyen</v>
      </c>
      <c r="B967" s="38">
        <v>1.0</v>
      </c>
      <c r="C967" s="38" t="str">
        <f>IFERROR(__xludf.DUMMYFUNCTION("""COMPUTED_VALUE"""),"✅ ĐỦ HÀNG")</f>
        <v>✅ ĐỦ HÀNG</v>
      </c>
    </row>
    <row r="968">
      <c r="A968" s="38" t="str">
        <f>IFERROR(__xludf.DUMMYFUNCTION("""COMPUTED_VALUE"""),"Vũ Thu Hường")</f>
        <v>Vũ Thu Hường</v>
      </c>
      <c r="B968" s="38">
        <v>3.0</v>
      </c>
      <c r="C968" s="38" t="str">
        <f>IFERROR(__xludf.DUMMYFUNCTION("""COMPUTED_VALUE"""),"✅ ĐỦ HÀNG")</f>
        <v>✅ ĐỦ HÀNG</v>
      </c>
    </row>
    <row r="969">
      <c r="A969" s="38" t="str">
        <f>IFERROR(__xludf.DUMMYFUNCTION("""COMPUTED_VALUE"""),"Nhat Anh")</f>
        <v>Nhat Anh</v>
      </c>
      <c r="B969" s="38">
        <v>3.0</v>
      </c>
      <c r="C969" s="38" t="str">
        <f>IFERROR(__xludf.DUMMYFUNCTION("""COMPUTED_VALUE"""),"✅ ĐỦ HÀNG")</f>
        <v>✅ ĐỦ HÀNG</v>
      </c>
    </row>
    <row r="970">
      <c r="A970" s="38" t="str">
        <f>IFERROR(__xludf.DUMMYFUNCTION("""COMPUTED_VALUE"""),"Quỳnh Lương")</f>
        <v>Quỳnh Lương</v>
      </c>
      <c r="B970" s="38">
        <v>1.0</v>
      </c>
      <c r="C970" s="38" t="str">
        <f>IFERROR(__xludf.DUMMYFUNCTION("""COMPUTED_VALUE"""),"✅ ĐỦ HÀNG")</f>
        <v>✅ ĐỦ HÀNG</v>
      </c>
    </row>
    <row r="971">
      <c r="A971" s="38" t="str">
        <f>IFERROR(__xludf.DUMMYFUNCTION("""COMPUTED_VALUE"""),"Song Tử Hướng Nội")</f>
        <v>Song Tử Hướng Nội</v>
      </c>
      <c r="B971" s="38">
        <v>1.0</v>
      </c>
      <c r="C971" s="38" t="str">
        <f>IFERROR(__xludf.DUMMYFUNCTION("""COMPUTED_VALUE"""),"✅ ĐỦ HÀNG")</f>
        <v>✅ ĐỦ HÀNG</v>
      </c>
    </row>
    <row r="972">
      <c r="A972" s="38" t="str">
        <f>IFERROR(__xludf.DUMMYFUNCTION("""COMPUTED_VALUE"""),"Quỳnh Hương")</f>
        <v>Quỳnh Hương</v>
      </c>
      <c r="B972" s="38">
        <v>1.0</v>
      </c>
      <c r="C972" s="38" t="str">
        <f>IFERROR(__xludf.DUMMYFUNCTION("""COMPUTED_VALUE"""),"✅ ĐỦ HÀNG")</f>
        <v>✅ ĐỦ HÀNG</v>
      </c>
    </row>
    <row r="973">
      <c r="A973" s="38" t="str">
        <f>IFERROR(__xludf.DUMMYFUNCTION("""COMPUTED_VALUE"""),"Trinh Ngyn")</f>
        <v>Trinh Ngyn</v>
      </c>
      <c r="B973" s="38">
        <v>2.0</v>
      </c>
      <c r="C973" s="38" t="str">
        <f>IFERROR(__xludf.DUMMYFUNCTION("""COMPUTED_VALUE"""),"✅ ĐỦ HÀNG")</f>
        <v>✅ ĐỦ HÀNG</v>
      </c>
    </row>
    <row r="974">
      <c r="A974" s="38" t="str">
        <f>IFERROR(__xludf.DUMMYFUNCTION("""COMPUTED_VALUE"""),"Thu ichi")</f>
        <v>Thu ichi</v>
      </c>
      <c r="B974" s="38">
        <v>2.0</v>
      </c>
      <c r="C974" s="38" t="str">
        <f>IFERROR(__xludf.DUMMYFUNCTION("""COMPUTED_VALUE"""),"✅ ĐỦ HÀNG")</f>
        <v>✅ ĐỦ HÀNG</v>
      </c>
    </row>
    <row r="975">
      <c r="A975" s="38" t="str">
        <f>IFERROR(__xludf.DUMMYFUNCTION("""COMPUTED_VALUE"""),"Thuỳ Đỗ")</f>
        <v>Thuỳ Đỗ</v>
      </c>
      <c r="B975" s="38">
        <v>2.0</v>
      </c>
      <c r="C975" s="38" t="str">
        <f>IFERROR(__xludf.DUMMYFUNCTION("""COMPUTED_VALUE"""),"✅ ĐỦ HÀNG")</f>
        <v>✅ ĐỦ HÀNG</v>
      </c>
    </row>
    <row r="976">
      <c r="A976" s="38" t="str">
        <f>IFERROR(__xludf.DUMMYFUNCTION("""COMPUTED_VALUE"""),"Đỗ AnhThu")</f>
        <v>Đỗ AnhThu</v>
      </c>
      <c r="B976" s="38">
        <v>3.0</v>
      </c>
      <c r="C976" s="38" t="str">
        <f>IFERROR(__xludf.DUMMYFUNCTION("""COMPUTED_VALUE"""),"✅ ĐỦ HÀNG")</f>
        <v>✅ ĐỦ HÀNG</v>
      </c>
    </row>
    <row r="977">
      <c r="A977" s="38" t="str">
        <f>IFERROR(__xludf.DUMMYFUNCTION("""COMPUTED_VALUE"""),"Trang Hoàng")</f>
        <v>Trang Hoàng</v>
      </c>
      <c r="B977" s="38">
        <v>2.0</v>
      </c>
      <c r="C977" s="38" t="str">
        <f>IFERROR(__xludf.DUMMYFUNCTION("""COMPUTED_VALUE"""),"✅ ĐỦ HÀNG")</f>
        <v>✅ ĐỦ HÀNG</v>
      </c>
    </row>
    <row r="978">
      <c r="A978" s="38" t="str">
        <f>IFERROR(__xludf.DUMMYFUNCTION("""COMPUTED_VALUE"""),"Huỳnh Mỹ Linh")</f>
        <v>Huỳnh Mỹ Linh</v>
      </c>
      <c r="B978" s="38">
        <v>3.0</v>
      </c>
      <c r="C978" s="38" t="str">
        <f>IFERROR(__xludf.DUMMYFUNCTION("""COMPUTED_VALUE"""),"✅ ĐỦ HÀNG")</f>
        <v>✅ ĐỦ HÀNG</v>
      </c>
    </row>
    <row r="979">
      <c r="A979" s="38" t="str">
        <f>IFERROR(__xludf.DUMMYFUNCTION("""COMPUTED_VALUE"""),"Phươngg Hoa")</f>
        <v>Phươngg Hoa</v>
      </c>
      <c r="B979" s="38">
        <v>2.0</v>
      </c>
      <c r="C979" s="38" t="str">
        <f>IFERROR(__xludf.DUMMYFUNCTION("""COMPUTED_VALUE"""),"✅ ĐỦ HÀNG")</f>
        <v>✅ ĐỦ HÀNG</v>
      </c>
    </row>
    <row r="980">
      <c r="A980" s="38" t="str">
        <f>IFERROR(__xludf.DUMMYFUNCTION("""COMPUTED_VALUE"""),"Trần Phương Dung")</f>
        <v>Trần Phương Dung</v>
      </c>
      <c r="B980" s="38">
        <v>4.0</v>
      </c>
      <c r="C980" s="38" t="str">
        <f>IFERROR(__xludf.DUMMYFUNCTION("""COMPUTED_VALUE"""),"✅ ĐỦ HÀNG")</f>
        <v>✅ ĐỦ HÀNG</v>
      </c>
    </row>
    <row r="981">
      <c r="A981" s="38" t="str">
        <f>IFERROR(__xludf.DUMMYFUNCTION("""COMPUTED_VALUE"""),"Phạm Hà Thanh")</f>
        <v>Phạm Hà Thanh</v>
      </c>
      <c r="B981" s="38">
        <v>2.0</v>
      </c>
      <c r="C981" s="38" t="str">
        <f>IFERROR(__xludf.DUMMYFUNCTION("""COMPUTED_VALUE"""),"✅ ĐỦ HÀNG")</f>
        <v>✅ ĐỦ HÀNG</v>
      </c>
    </row>
    <row r="982">
      <c r="A982" s="38" t="str">
        <f>IFERROR(__xludf.DUMMYFUNCTION("""COMPUTED_VALUE"""),"Diễm Trinh")</f>
        <v>Diễm Trinh</v>
      </c>
      <c r="B982" s="38">
        <v>1.0</v>
      </c>
      <c r="C982" s="38" t="str">
        <f>IFERROR(__xludf.DUMMYFUNCTION("""COMPUTED_VALUE"""),"✅ ĐỦ HÀNG")</f>
        <v>✅ ĐỦ HÀNG</v>
      </c>
    </row>
    <row r="983">
      <c r="A983" s="38" t="str">
        <f>IFERROR(__xludf.DUMMYFUNCTION("""COMPUTED_VALUE"""),"Nguyễn Mây")</f>
        <v>Nguyễn Mây</v>
      </c>
      <c r="B983" s="38">
        <v>1.0</v>
      </c>
      <c r="C983" s="38" t="str">
        <f>IFERROR(__xludf.DUMMYFUNCTION("""COMPUTED_VALUE"""),"✅ ĐỦ HÀNG")</f>
        <v>✅ ĐỦ HÀNG</v>
      </c>
    </row>
    <row r="984">
      <c r="A984" s="38" t="str">
        <f>IFERROR(__xludf.DUMMYFUNCTION("""COMPUTED_VALUE"""),"リキン　メイ")</f>
        <v>リキン　メイ</v>
      </c>
      <c r="B984" s="38">
        <v>1.0</v>
      </c>
      <c r="C984" s="38" t="str">
        <f>IFERROR(__xludf.DUMMYFUNCTION("""COMPUTED_VALUE"""),"✅ ĐỦ HÀNG")</f>
        <v>✅ ĐỦ HÀNG</v>
      </c>
    </row>
    <row r="985">
      <c r="A985" s="38" t="str">
        <f>IFERROR(__xludf.DUMMYFUNCTION("""COMPUTED_VALUE"""),"Hoàng Lan")</f>
        <v>Hoàng Lan</v>
      </c>
      <c r="B985" s="38">
        <v>1.0</v>
      </c>
      <c r="C985" s="38" t="str">
        <f>IFERROR(__xludf.DUMMYFUNCTION("""COMPUTED_VALUE"""),"✅ ĐỦ HÀNG")</f>
        <v>✅ ĐỦ HÀNG</v>
      </c>
    </row>
    <row r="986">
      <c r="A986" s="38" t="str">
        <f>IFERROR(__xludf.DUMMYFUNCTION("""COMPUTED_VALUE"""),"Nguyen Hoai Ngoc")</f>
        <v>Nguyen Hoai Ngoc</v>
      </c>
      <c r="B986" s="38">
        <v>1.0</v>
      </c>
      <c r="C986" s="38" t="str">
        <f>IFERROR(__xludf.DUMMYFUNCTION("""COMPUTED_VALUE"""),"✅ ĐỦ HÀNG")</f>
        <v>✅ ĐỦ HÀNG</v>
      </c>
    </row>
    <row r="987">
      <c r="A987" s="38" t="str">
        <f>IFERROR(__xludf.DUMMYFUNCTION("""COMPUTED_VALUE"""),"Trịnh Đình Hiếu")</f>
        <v>Trịnh Đình Hiếu</v>
      </c>
      <c r="B987" s="38">
        <v>1.0</v>
      </c>
      <c r="C987" s="38" t="str">
        <f>IFERROR(__xludf.DUMMYFUNCTION("""COMPUTED_VALUE"""),"✅ ĐỦ HÀNG")</f>
        <v>✅ ĐỦ HÀNG</v>
      </c>
    </row>
    <row r="988">
      <c r="A988" s="38" t="str">
        <f>IFERROR(__xludf.DUMMYFUNCTION("""COMPUTED_VALUE"""),"Hằng Hoon")</f>
        <v>Hằng Hoon</v>
      </c>
      <c r="B988" s="38">
        <v>1.0</v>
      </c>
      <c r="C988" s="38" t="str">
        <f>IFERROR(__xludf.DUMMYFUNCTION("""COMPUTED_VALUE"""),"✅ ĐỦ HÀNG")</f>
        <v>✅ ĐỦ HÀNG</v>
      </c>
    </row>
    <row r="989">
      <c r="A989" s="38" t="str">
        <f>IFERROR(__xludf.DUMMYFUNCTION("""COMPUTED_VALUE"""),"Thanh Phạm")</f>
        <v>Thanh Phạm</v>
      </c>
      <c r="B989" s="38">
        <v>1.0</v>
      </c>
      <c r="C989" s="38" t="str">
        <f>IFERROR(__xludf.DUMMYFUNCTION("""COMPUTED_VALUE"""),"✅ ĐỦ HÀNG")</f>
        <v>✅ ĐỦ HÀNG</v>
      </c>
    </row>
    <row r="990">
      <c r="A990" s="38" t="str">
        <f>IFERROR(__xludf.DUMMYFUNCTION("""COMPUTED_VALUE"""),"Dưa Hấu")</f>
        <v>Dưa Hấu</v>
      </c>
      <c r="B990" s="38">
        <v>1.0</v>
      </c>
      <c r="C990" s="38" t="str">
        <f>IFERROR(__xludf.DUMMYFUNCTION("""COMPUTED_VALUE"""),"✅ ĐỦ HÀNG")</f>
        <v>✅ ĐỦ HÀNG</v>
      </c>
    </row>
    <row r="991">
      <c r="A991" s="38" t="str">
        <f>IFERROR(__xludf.DUMMYFUNCTION("""COMPUTED_VALUE"""),"Hoa Anh Đào")</f>
        <v>Hoa Anh Đào</v>
      </c>
      <c r="B991" s="38">
        <v>2.0</v>
      </c>
      <c r="C991" s="38" t="str">
        <f>IFERROR(__xludf.DUMMYFUNCTION("""COMPUTED_VALUE"""),"✅ ĐỦ HÀNG")</f>
        <v>✅ ĐỦ HÀNG</v>
      </c>
    </row>
    <row r="992">
      <c r="A992" s="38" t="str">
        <f>IFERROR(__xludf.DUMMYFUNCTION("""COMPUTED_VALUE"""),"NLê Phương")</f>
        <v>NLê Phương</v>
      </c>
      <c r="B992" s="38">
        <v>6.0</v>
      </c>
      <c r="C992" s="38" t="str">
        <f>IFERROR(__xludf.DUMMYFUNCTION("""COMPUTED_VALUE"""),"✅ ĐỦ HÀNG")</f>
        <v>✅ ĐỦ HÀNG</v>
      </c>
    </row>
    <row r="993">
      <c r="A993" s="38" t="str">
        <f>IFERROR(__xludf.DUMMYFUNCTION("""COMPUTED_VALUE"""),"Yu Kari")</f>
        <v>Yu Kari</v>
      </c>
      <c r="B993" s="38">
        <v>1.0</v>
      </c>
      <c r="C993" s="38" t="str">
        <f>IFERROR(__xludf.DUMMYFUNCTION("""COMPUTED_VALUE"""),"✅ ĐỦ HÀNG")</f>
        <v>✅ ĐỦ HÀNG</v>
      </c>
    </row>
    <row r="994">
      <c r="A994" s="38" t="str">
        <f>IFERROR(__xludf.DUMMYFUNCTION("""COMPUTED_VALUE"""),"Nguyễn Thị Duyên")</f>
        <v>Nguyễn Thị Duyên</v>
      </c>
      <c r="B994" s="38">
        <v>1.0</v>
      </c>
      <c r="C994" s="38" t="str">
        <f>IFERROR(__xludf.DUMMYFUNCTION("""COMPUTED_VALUE"""),"✅ ĐỦ HÀNG")</f>
        <v>✅ ĐỦ HÀNG</v>
      </c>
    </row>
    <row r="995">
      <c r="A995" s="38" t="str">
        <f>IFERROR(__xludf.DUMMYFUNCTION("""COMPUTED_VALUE"""),"Tiểuu Dii")</f>
        <v>Tiểuu Dii</v>
      </c>
      <c r="B995" s="38">
        <v>9.0</v>
      </c>
      <c r="C995" s="38" t="str">
        <f>IFERROR(__xludf.DUMMYFUNCTION("""COMPUTED_VALUE"""),"✅ ĐỦ HÀNG")</f>
        <v>✅ ĐỦ HÀNG</v>
      </c>
    </row>
    <row r="996">
      <c r="A996" s="38" t="str">
        <f>IFERROR(__xludf.DUMMYFUNCTION("""COMPUTED_VALUE"""),"Yến Như")</f>
        <v>Yến Như</v>
      </c>
      <c r="B996" s="38">
        <v>1.0</v>
      </c>
      <c r="C996" s="38" t="str">
        <f>IFERROR(__xludf.DUMMYFUNCTION("""COMPUTED_VALUE"""),"✅ ĐỦ HÀNG")</f>
        <v>✅ ĐỦ HÀNG</v>
      </c>
    </row>
    <row r="997">
      <c r="A997" s="38" t="str">
        <f>IFERROR(__xludf.DUMMYFUNCTION("""COMPUTED_VALUE"""),"Kiều Lan Hương")</f>
        <v>Kiều Lan Hương</v>
      </c>
      <c r="B997" s="38">
        <v>1.0</v>
      </c>
      <c r="C997" s="38" t="str">
        <f>IFERROR(__xludf.DUMMYFUNCTION("""COMPUTED_VALUE"""),"✅ ĐỦ HÀNG")</f>
        <v>✅ ĐỦ HÀNG</v>
      </c>
    </row>
    <row r="998">
      <c r="A998" s="38" t="str">
        <f>IFERROR(__xludf.DUMMYFUNCTION("""COMPUTED_VALUE"""),"Nguyễn Chung")</f>
        <v>Nguyễn Chung</v>
      </c>
      <c r="B998" s="38">
        <v>1.0</v>
      </c>
      <c r="C998" s="38" t="str">
        <f>IFERROR(__xludf.DUMMYFUNCTION("""COMPUTED_VALUE"""),"✅ ĐỦ HÀNG")</f>
        <v>✅ ĐỦ HÀNG</v>
      </c>
    </row>
    <row r="999">
      <c r="A999" s="38" t="str">
        <f>IFERROR(__xludf.DUMMYFUNCTION("""COMPUTED_VALUE"""),"Thư Lê")</f>
        <v>Thư Lê</v>
      </c>
      <c r="B999" s="38">
        <v>1.0</v>
      </c>
      <c r="C999" s="38" t="str">
        <f>IFERROR(__xludf.DUMMYFUNCTION("""COMPUTED_VALUE"""),"✅ ĐỦ HÀNG")</f>
        <v>✅ ĐỦ HÀNG</v>
      </c>
    </row>
    <row r="1000">
      <c r="A1000" s="38" t="str">
        <f>IFERROR(__xludf.DUMMYFUNCTION("""COMPUTED_VALUE"""),"Quỳnh Trang")</f>
        <v>Quỳnh Trang</v>
      </c>
      <c r="B1000" s="38">
        <v>1.0</v>
      </c>
      <c r="C1000" s="38" t="str">
        <f>IFERROR(__xludf.DUMMYFUNCTION("""COMPUTED_VALUE"""),"✅ ĐỦ HÀNG")</f>
        <v>✅ ĐỦ HÀNG</v>
      </c>
    </row>
    <row r="1001">
      <c r="A1001" s="38" t="str">
        <f>IFERROR(__xludf.DUMMYFUNCTION("""COMPUTED_VALUE"""),"Vu Huong Giang")</f>
        <v>Vu Huong Giang</v>
      </c>
      <c r="B1001" s="38">
        <v>1.0</v>
      </c>
      <c r="C1001" s="38" t="str">
        <f>IFERROR(__xludf.DUMMYFUNCTION("""COMPUTED_VALUE"""),"✅ ĐỦ HÀNG")</f>
        <v>✅ ĐỦ HÀNG</v>
      </c>
    </row>
    <row r="1002">
      <c r="A1002" s="38" t="str">
        <f>IFERROR(__xludf.DUMMYFUNCTION("""COMPUTED_VALUE"""),"Vũ Thị Thuỳ Trang")</f>
        <v>Vũ Thị Thuỳ Trang</v>
      </c>
      <c r="B1002" s="38">
        <v>1.0</v>
      </c>
      <c r="C1002" s="38" t="str">
        <f>IFERROR(__xludf.DUMMYFUNCTION("""COMPUTED_VALUE"""),"✅ ĐỦ HÀNG")</f>
        <v>✅ ĐỦ HÀNG</v>
      </c>
    </row>
    <row r="1003">
      <c r="A1003" s="38" t="str">
        <f>IFERROR(__xludf.DUMMYFUNCTION("""COMPUTED_VALUE"""),"Thuý Thuý1")</f>
        <v>Thuý Thuý1</v>
      </c>
      <c r="B1003" s="38">
        <v>3.0</v>
      </c>
      <c r="C1003" s="38" t="str">
        <f>IFERROR(__xludf.DUMMYFUNCTION("""COMPUTED_VALUE"""),"✅ ĐỦ HÀNG")</f>
        <v>✅ ĐỦ HÀNG</v>
      </c>
    </row>
    <row r="1004">
      <c r="A1004" s="38" t="str">
        <f>IFERROR(__xludf.DUMMYFUNCTION("""COMPUTED_VALUE"""),"Hoàn Trần")</f>
        <v>Hoàn Trần</v>
      </c>
      <c r="B1004" s="38">
        <v>1.0</v>
      </c>
      <c r="C1004" s="38" t="str">
        <f>IFERROR(__xludf.DUMMYFUNCTION("""COMPUTED_VALUE"""),"✅ ĐỦ HÀNG")</f>
        <v>✅ ĐỦ HÀNG</v>
      </c>
    </row>
    <row r="1005">
      <c r="A1005" s="38" t="str">
        <f>IFERROR(__xludf.DUMMYFUNCTION("""COMPUTED_VALUE"""),"Kaoru")</f>
        <v>Kaoru</v>
      </c>
      <c r="B1005" s="38">
        <v>1.0</v>
      </c>
      <c r="C1005" s="38" t="str">
        <f>IFERROR(__xludf.DUMMYFUNCTION("""COMPUTED_VALUE"""),"✅ ĐỦ HÀNG")</f>
        <v>✅ ĐỦ HÀNG</v>
      </c>
    </row>
    <row r="1006">
      <c r="A1006" s="38" t="str">
        <f>IFERROR(__xludf.DUMMYFUNCTION("""COMPUTED_VALUE"""),"Ngô Ngọc Duyên")</f>
        <v>Ngô Ngọc Duyên</v>
      </c>
      <c r="B1006" s="38">
        <v>1.0</v>
      </c>
      <c r="C1006" s="38" t="str">
        <f>IFERROR(__xludf.DUMMYFUNCTION("""COMPUTED_VALUE"""),"✅ ĐỦ HÀNG")</f>
        <v>✅ ĐỦ HÀNG</v>
      </c>
    </row>
    <row r="1007">
      <c r="A1007" s="38" t="str">
        <f>IFERROR(__xludf.DUMMYFUNCTION("""COMPUTED_VALUE"""),"Hà Thu Thuỷ")</f>
        <v>Hà Thu Thuỷ</v>
      </c>
      <c r="B1007" s="38">
        <v>1.0</v>
      </c>
      <c r="C1007" s="38" t="str">
        <f>IFERROR(__xludf.DUMMYFUNCTION("""COMPUTED_VALUE"""),"✅ ĐỦ HÀNG")</f>
        <v>✅ ĐỦ HÀNG</v>
      </c>
    </row>
    <row r="1008">
      <c r="A1008" s="38" t="str">
        <f>IFERROR(__xludf.DUMMYFUNCTION("""COMPUTED_VALUE"""),"Xuyến Chi")</f>
        <v>Xuyến Chi</v>
      </c>
      <c r="B1008" s="38">
        <v>3.0</v>
      </c>
      <c r="C1008" s="38" t="str">
        <f>IFERROR(__xludf.DUMMYFUNCTION("""COMPUTED_VALUE"""),"✅ ĐỦ HÀNG")</f>
        <v>✅ ĐỦ HÀNG</v>
      </c>
    </row>
    <row r="1009">
      <c r="A1009" s="38" t="str">
        <f>IFERROR(__xludf.DUMMYFUNCTION("""COMPUTED_VALUE"""),"Vân Trang")</f>
        <v>Vân Trang</v>
      </c>
      <c r="B1009" s="38">
        <v>1.0</v>
      </c>
      <c r="C1009" s="38" t="str">
        <f>IFERROR(__xludf.DUMMYFUNCTION("""COMPUTED_VALUE"""),"✅ ĐỦ HÀNG")</f>
        <v>✅ ĐỦ HÀNG</v>
      </c>
    </row>
    <row r="1010">
      <c r="A1010" s="38" t="str">
        <f>IFERROR(__xludf.DUMMYFUNCTION("""COMPUTED_VALUE"""),"Ly Thị Nguyễn")</f>
        <v>Ly Thị Nguyễn</v>
      </c>
      <c r="B1010" s="38">
        <v>1.0</v>
      </c>
      <c r="C1010" s="38" t="str">
        <f>IFERROR(__xludf.DUMMYFUNCTION("""COMPUTED_VALUE"""),"✅ ĐỦ HÀNG")</f>
        <v>✅ ĐỦ HÀNG</v>
      </c>
    </row>
    <row r="1011">
      <c r="A1011" s="38" t="str">
        <f>IFERROR(__xludf.DUMMYFUNCTION("""COMPUTED_VALUE"""),"Nguyen T Huyen")</f>
        <v>Nguyen T Huyen</v>
      </c>
      <c r="B1011" s="38">
        <v>1.0</v>
      </c>
      <c r="C1011" s="38" t="str">
        <f>IFERROR(__xludf.DUMMYFUNCTION("""COMPUTED_VALUE"""),"✅ ĐỦ HÀNG")</f>
        <v>✅ ĐỦ HÀNG</v>
      </c>
    </row>
    <row r="1012">
      <c r="A1012" s="38" t="str">
        <f>IFERROR(__xludf.DUMMYFUNCTION("""COMPUTED_VALUE"""),"Thảo Nguyễn")</f>
        <v>Thảo Nguyễn</v>
      </c>
      <c r="B1012" s="38">
        <v>1.0</v>
      </c>
      <c r="C1012" s="38" t="str">
        <f>IFERROR(__xludf.DUMMYFUNCTION("""COMPUTED_VALUE"""),"✅ ĐỦ HÀNG")</f>
        <v>✅ ĐỦ HÀNG</v>
      </c>
    </row>
    <row r="1013">
      <c r="A1013" s="38" t="str">
        <f>IFERROR(__xludf.DUMMYFUNCTION("""COMPUTED_VALUE"""),"Hiền Nguyễn")</f>
        <v>Hiền Nguyễn</v>
      </c>
      <c r="B1013" s="38">
        <v>1.0</v>
      </c>
      <c r="C1013" s="38" t="str">
        <f>IFERROR(__xludf.DUMMYFUNCTION("""COMPUTED_VALUE"""),"✅ ĐỦ HÀNG")</f>
        <v>✅ ĐỦ HÀNG</v>
      </c>
    </row>
    <row r="1014">
      <c r="A1014" s="38" t="str">
        <f>IFERROR(__xludf.DUMMYFUNCTION("""COMPUTED_VALUE"""),"Hảii Yến")</f>
        <v>Hảii Yến</v>
      </c>
      <c r="B1014" s="38">
        <v>3.0</v>
      </c>
      <c r="C1014" s="38" t="str">
        <f>IFERROR(__xludf.DUMMYFUNCTION("""COMPUTED_VALUE"""),"✅ ĐỦ HÀNG")</f>
        <v>✅ ĐỦ HÀNG</v>
      </c>
    </row>
    <row r="1015">
      <c r="A1015" s="38" t="str">
        <f>IFERROR(__xludf.DUMMYFUNCTION("""COMPUTED_VALUE"""),"Thu Nhi")</f>
        <v>Thu Nhi</v>
      </c>
      <c r="B1015" s="38">
        <v>1.0</v>
      </c>
      <c r="C1015" s="38" t="str">
        <f>IFERROR(__xludf.DUMMYFUNCTION("""COMPUTED_VALUE"""),"✅ ĐỦ HÀNG")</f>
        <v>✅ ĐỦ HÀNG</v>
      </c>
    </row>
    <row r="1016">
      <c r="A1016" s="38" t="str">
        <f>IFERROR(__xludf.DUMMYFUNCTION("""COMPUTED_VALUE"""),"Phương Trà-VN")</f>
        <v>Phương Trà-VN</v>
      </c>
      <c r="B1016" s="38">
        <v>1.0</v>
      </c>
      <c r="C1016" s="38" t="str">
        <f>IFERROR(__xludf.DUMMYFUNCTION("""COMPUTED_VALUE"""),"✅ ĐỦ HÀNG")</f>
        <v>✅ ĐỦ HÀNG</v>
      </c>
    </row>
    <row r="1017">
      <c r="A1017" s="38" t="str">
        <f>IFERROR(__xludf.DUMMYFUNCTION("""COMPUTED_VALUE"""),"Hoahong gai thon")</f>
        <v>Hoahong gai thon</v>
      </c>
      <c r="B1017" s="38">
        <v>3.0</v>
      </c>
      <c r="C1017" s="38" t="str">
        <f>IFERROR(__xludf.DUMMYFUNCTION("""COMPUTED_VALUE"""),"✅ ĐỦ HÀNG")</f>
        <v>✅ ĐỦ HÀNG</v>
      </c>
    </row>
    <row r="1018">
      <c r="A1018" s="38" t="str">
        <f>IFERROR(__xludf.DUMMYFUNCTION("""COMPUTED_VALUE"""),"Phương Phương")</f>
        <v>Phương Phương</v>
      </c>
      <c r="B1018" s="38">
        <v>1.0</v>
      </c>
      <c r="C1018" s="38" t="str">
        <f>IFERROR(__xludf.DUMMYFUNCTION("""COMPUTED_VALUE"""),"✅ ĐỦ HÀNG")</f>
        <v>✅ ĐỦ HÀNG</v>
      </c>
    </row>
    <row r="1019">
      <c r="A1019" s="38" t="str">
        <f>IFERROR(__xludf.DUMMYFUNCTION("""COMPUTED_VALUE"""),"Hoàng Ngọc Tú")</f>
        <v>Hoàng Ngọc Tú</v>
      </c>
      <c r="B1019" s="38">
        <v>1.0</v>
      </c>
      <c r="C1019" s="38" t="str">
        <f>IFERROR(__xludf.DUMMYFUNCTION("""COMPUTED_VALUE"""),"✅ ĐỦ HÀNG")</f>
        <v>✅ ĐỦ HÀNG</v>
      </c>
    </row>
    <row r="1020">
      <c r="A1020" s="38" t="str">
        <f>IFERROR(__xludf.DUMMYFUNCTION("""COMPUTED_VALUE"""),"Hà Nguyen")</f>
        <v>Hà Nguyen</v>
      </c>
      <c r="B1020" s="38">
        <v>1.0</v>
      </c>
      <c r="C1020" s="38" t="str">
        <f>IFERROR(__xludf.DUMMYFUNCTION("""COMPUTED_VALUE"""),"✅ ĐỦ HÀNG")</f>
        <v>✅ ĐỦ HÀNG</v>
      </c>
    </row>
    <row r="1021">
      <c r="A1021" s="38" t="str">
        <f>IFERROR(__xludf.DUMMYFUNCTION("""COMPUTED_VALUE"""),"Nguyễn Diệu Ánh")</f>
        <v>Nguyễn Diệu Ánh</v>
      </c>
      <c r="B1021" s="38">
        <v>1.0</v>
      </c>
      <c r="C1021" s="38" t="str">
        <f>IFERROR(__xludf.DUMMYFUNCTION("""COMPUTED_VALUE"""),"✅ ĐỦ HÀNG")</f>
        <v>✅ ĐỦ HÀNG</v>
      </c>
    </row>
    <row r="1022">
      <c r="A1022" s="38" t="str">
        <f>IFERROR(__xludf.DUMMYFUNCTION("""COMPUTED_VALUE"""),"Mi Tienn")</f>
        <v>Mi Tienn</v>
      </c>
      <c r="B1022" s="38">
        <v>1.0</v>
      </c>
      <c r="C1022" s="38" t="str">
        <f>IFERROR(__xludf.DUMMYFUNCTION("""COMPUTED_VALUE"""),"✅ ĐỦ HÀNG")</f>
        <v>✅ ĐỦ HÀNG</v>
      </c>
    </row>
    <row r="1023">
      <c r="A1023" s="38" t="str">
        <f>IFERROR(__xludf.DUMMYFUNCTION("""COMPUTED_VALUE"""),"Thanh Trang")</f>
        <v>Thanh Trang</v>
      </c>
      <c r="B1023" s="38">
        <v>1.0</v>
      </c>
      <c r="C1023" s="38" t="str">
        <f>IFERROR(__xludf.DUMMYFUNCTION("""COMPUTED_VALUE"""),"✅ ĐỦ HÀNG")</f>
        <v>✅ ĐỦ HÀNG</v>
      </c>
    </row>
    <row r="1024">
      <c r="B1024" s="38"/>
      <c r="C1024" s="38" t="str">
        <f>IFERROR(__xludf.DUMMYFUNCTION("""COMPUTED_VALUE"""),"")</f>
        <v/>
      </c>
    </row>
    <row r="1025">
      <c r="B1025" s="38"/>
      <c r="C1025" s="38" t="str">
        <f>IFERROR(__xludf.DUMMYFUNCTION("""COMPUTED_VALUE"""),"")</f>
        <v/>
      </c>
    </row>
    <row r="1026">
      <c r="B1026" s="38"/>
      <c r="C1026" s="38" t="str">
        <f>IFERROR(__xludf.DUMMYFUNCTION("""COMPUTED_VALUE"""),"")</f>
        <v/>
      </c>
    </row>
    <row r="1027">
      <c r="B1027" s="38"/>
      <c r="C1027" s="38" t="str">
        <f>IFERROR(__xludf.DUMMYFUNCTION("""COMPUTED_VALUE"""),"")</f>
        <v/>
      </c>
    </row>
    <row r="1028">
      <c r="B1028" s="38"/>
      <c r="C1028" s="38" t="str">
        <f>IFERROR(__xludf.DUMMYFUNCTION("""COMPUTED_VALUE"""),"")</f>
        <v/>
      </c>
    </row>
    <row r="1029">
      <c r="B1029" s="38"/>
      <c r="C1029" s="38" t="str">
        <f>IFERROR(__xludf.DUMMYFUNCTION("""COMPUTED_VALUE"""),"")</f>
        <v/>
      </c>
    </row>
    <row r="1030">
      <c r="B1030" s="38"/>
      <c r="C1030" s="38" t="str">
        <f>IFERROR(__xludf.DUMMYFUNCTION("""COMPUTED_VALUE"""),"")</f>
        <v/>
      </c>
    </row>
    <row r="1031">
      <c r="B1031" s="38"/>
      <c r="C1031" s="38" t="str">
        <f>IFERROR(__xludf.DUMMYFUNCTION("""COMPUTED_VALUE"""),"")</f>
        <v/>
      </c>
    </row>
    <row r="1032">
      <c r="B1032" s="38"/>
      <c r="C1032" s="38" t="str">
        <f>IFERROR(__xludf.DUMMYFUNCTION("""COMPUTED_VALUE"""),"")</f>
        <v/>
      </c>
    </row>
    <row r="1033">
      <c r="B1033" s="38"/>
      <c r="C1033" s="38" t="str">
        <f>IFERROR(__xludf.DUMMYFUNCTION("""COMPUTED_VALUE"""),"")</f>
        <v/>
      </c>
    </row>
    <row r="1034">
      <c r="B1034" s="38"/>
      <c r="C1034" s="38" t="str">
        <f>IFERROR(__xludf.DUMMYFUNCTION("""COMPUTED_VALUE"""),"")</f>
        <v/>
      </c>
    </row>
    <row r="1035">
      <c r="B1035" s="38"/>
      <c r="C1035" s="38" t="str">
        <f>IFERROR(__xludf.DUMMYFUNCTION("""COMPUTED_VALUE"""),"")</f>
        <v/>
      </c>
    </row>
    <row r="1036">
      <c r="B1036" s="38"/>
      <c r="C1036" s="38" t="str">
        <f>IFERROR(__xludf.DUMMYFUNCTION("""COMPUTED_VALUE"""),"")</f>
        <v/>
      </c>
    </row>
    <row r="1037">
      <c r="B1037" s="38"/>
      <c r="C1037" s="38" t="str">
        <f>IFERROR(__xludf.DUMMYFUNCTION("""COMPUTED_VALUE"""),"")</f>
        <v/>
      </c>
    </row>
    <row r="1038">
      <c r="B1038" s="38"/>
      <c r="C1038" s="38" t="str">
        <f>IFERROR(__xludf.DUMMYFUNCTION("""COMPUTED_VALUE"""),"")</f>
        <v/>
      </c>
    </row>
    <row r="1039">
      <c r="B1039" s="38"/>
      <c r="C1039" s="38" t="str">
        <f>IFERROR(__xludf.DUMMYFUNCTION("""COMPUTED_VALUE"""),"")</f>
        <v/>
      </c>
    </row>
    <row r="1040">
      <c r="B1040" s="38"/>
      <c r="C1040" s="38" t="str">
        <f>IFERROR(__xludf.DUMMYFUNCTION("""COMPUTED_VALUE"""),"")</f>
        <v/>
      </c>
    </row>
    <row r="1041">
      <c r="B1041" s="38"/>
      <c r="C1041" s="38" t="str">
        <f>IFERROR(__xludf.DUMMYFUNCTION("""COMPUTED_VALUE"""),"")</f>
        <v/>
      </c>
    </row>
    <row r="1042">
      <c r="B1042" s="38"/>
      <c r="C1042" s="38" t="str">
        <f>IFERROR(__xludf.DUMMYFUNCTION("""COMPUTED_VALUE"""),"")</f>
        <v/>
      </c>
    </row>
    <row r="1043">
      <c r="B1043" s="38"/>
      <c r="C1043" s="38" t="str">
        <f>IFERROR(__xludf.DUMMYFUNCTION("""COMPUTED_VALUE"""),"")</f>
        <v/>
      </c>
    </row>
    <row r="1044">
      <c r="B1044" s="38"/>
      <c r="C1044" s="38" t="str">
        <f>IFERROR(__xludf.DUMMYFUNCTION("""COMPUTED_VALUE"""),"")</f>
        <v/>
      </c>
    </row>
    <row r="1045">
      <c r="B1045" s="38"/>
      <c r="C1045" s="38" t="str">
        <f>IFERROR(__xludf.DUMMYFUNCTION("""COMPUTED_VALUE"""),"")</f>
        <v/>
      </c>
    </row>
    <row r="1046">
      <c r="B1046" s="38"/>
      <c r="C1046" s="38" t="str">
        <f>IFERROR(__xludf.DUMMYFUNCTION("""COMPUTED_VALUE"""),"")</f>
        <v/>
      </c>
    </row>
    <row r="1047">
      <c r="B1047" s="38"/>
      <c r="C1047" s="38" t="str">
        <f>IFERROR(__xludf.DUMMYFUNCTION("""COMPUTED_VALUE"""),"")</f>
        <v/>
      </c>
    </row>
    <row r="1048">
      <c r="B1048" s="38"/>
      <c r="C1048" s="38" t="str">
        <f>IFERROR(__xludf.DUMMYFUNCTION("""COMPUTED_VALUE"""),"")</f>
        <v/>
      </c>
    </row>
    <row r="1049">
      <c r="B1049" s="38"/>
      <c r="C1049" s="38" t="str">
        <f>IFERROR(__xludf.DUMMYFUNCTION("""COMPUTED_VALUE"""),"")</f>
        <v/>
      </c>
    </row>
    <row r="1050">
      <c r="B1050" s="38"/>
      <c r="C1050" s="38" t="str">
        <f>IFERROR(__xludf.DUMMYFUNCTION("""COMPUTED_VALUE"""),"")</f>
        <v/>
      </c>
    </row>
    <row r="1051">
      <c r="B1051" s="38"/>
      <c r="C1051" s="38" t="str">
        <f>IFERROR(__xludf.DUMMYFUNCTION("""COMPUTED_VALUE"""),"")</f>
        <v/>
      </c>
    </row>
    <row r="1052">
      <c r="B1052" s="38"/>
      <c r="C1052" s="38" t="str">
        <f>IFERROR(__xludf.DUMMYFUNCTION("""COMPUTED_VALUE"""),"")</f>
        <v/>
      </c>
    </row>
    <row r="1053">
      <c r="B1053" s="38"/>
      <c r="C1053" s="38" t="str">
        <f>IFERROR(__xludf.DUMMYFUNCTION("""COMPUTED_VALUE"""),"")</f>
        <v/>
      </c>
    </row>
    <row r="1054">
      <c r="B1054" s="38"/>
      <c r="C1054" s="38" t="str">
        <f>IFERROR(__xludf.DUMMYFUNCTION("""COMPUTED_VALUE"""),"")</f>
        <v/>
      </c>
    </row>
    <row r="1055">
      <c r="B1055" s="38"/>
      <c r="C1055" s="38" t="str">
        <f>IFERROR(__xludf.DUMMYFUNCTION("""COMPUTED_VALUE"""),"")</f>
        <v/>
      </c>
    </row>
    <row r="1056">
      <c r="B1056" s="38"/>
      <c r="C1056" s="38" t="str">
        <f>IFERROR(__xludf.DUMMYFUNCTION("""COMPUTED_VALUE"""),"")</f>
        <v/>
      </c>
    </row>
    <row r="1057">
      <c r="B1057" s="38"/>
      <c r="C1057" s="38" t="str">
        <f>IFERROR(__xludf.DUMMYFUNCTION("""COMPUTED_VALUE"""),"")</f>
        <v/>
      </c>
    </row>
    <row r="1058">
      <c r="B1058" s="38"/>
      <c r="C1058" s="38" t="str">
        <f>IFERROR(__xludf.DUMMYFUNCTION("""COMPUTED_VALUE"""),"")</f>
        <v/>
      </c>
    </row>
    <row r="1059">
      <c r="B1059" s="38"/>
      <c r="C1059" s="38" t="str">
        <f>IFERROR(__xludf.DUMMYFUNCTION("""COMPUTED_VALUE"""),"")</f>
        <v/>
      </c>
    </row>
    <row r="1060">
      <c r="B1060" s="38"/>
      <c r="C1060" s="38" t="str">
        <f>IFERROR(__xludf.DUMMYFUNCTION("""COMPUTED_VALUE"""),"")</f>
        <v/>
      </c>
    </row>
    <row r="1061">
      <c r="B1061" s="38"/>
      <c r="C1061" s="38" t="str">
        <f>IFERROR(__xludf.DUMMYFUNCTION("""COMPUTED_VALUE"""),"")</f>
        <v/>
      </c>
    </row>
    <row r="1062">
      <c r="B1062" s="38"/>
      <c r="C1062" s="38" t="str">
        <f>IFERROR(__xludf.DUMMYFUNCTION("""COMPUTED_VALUE"""),"")</f>
        <v/>
      </c>
    </row>
    <row r="1063">
      <c r="B1063" s="38"/>
      <c r="C1063" s="38" t="str">
        <f>IFERROR(__xludf.DUMMYFUNCTION("""COMPUTED_VALUE"""),"")</f>
        <v/>
      </c>
    </row>
    <row r="1064">
      <c r="B1064" s="38"/>
      <c r="C1064" s="38" t="str">
        <f>IFERROR(__xludf.DUMMYFUNCTION("""COMPUTED_VALUE"""),"")</f>
        <v/>
      </c>
    </row>
    <row r="1065">
      <c r="B1065" s="38"/>
      <c r="C1065" s="38" t="str">
        <f>IFERROR(__xludf.DUMMYFUNCTION("""COMPUTED_VALUE"""),"")</f>
        <v/>
      </c>
    </row>
    <row r="1066">
      <c r="B1066" s="38"/>
      <c r="C1066" s="38" t="str">
        <f>IFERROR(__xludf.DUMMYFUNCTION("""COMPUTED_VALUE"""),"")</f>
        <v/>
      </c>
    </row>
    <row r="1067">
      <c r="B1067" s="38"/>
      <c r="C1067" s="38" t="str">
        <f>IFERROR(__xludf.DUMMYFUNCTION("""COMPUTED_VALUE"""),"")</f>
        <v/>
      </c>
    </row>
    <row r="1068">
      <c r="B1068" s="38"/>
      <c r="C1068" s="38" t="str">
        <f>IFERROR(__xludf.DUMMYFUNCTION("""COMPUTED_VALUE"""),"")</f>
        <v/>
      </c>
    </row>
    <row r="1069">
      <c r="B1069" s="38"/>
      <c r="C1069" s="38" t="str">
        <f>IFERROR(__xludf.DUMMYFUNCTION("""COMPUTED_VALUE"""),"")</f>
        <v/>
      </c>
    </row>
    <row r="1070">
      <c r="B1070" s="38"/>
      <c r="C1070" s="38" t="str">
        <f>IFERROR(__xludf.DUMMYFUNCTION("""COMPUTED_VALUE"""),"")</f>
        <v/>
      </c>
    </row>
    <row r="1071">
      <c r="B1071" s="38"/>
      <c r="C1071" s="38" t="str">
        <f>IFERROR(__xludf.DUMMYFUNCTION("""COMPUTED_VALUE"""),"")</f>
        <v/>
      </c>
    </row>
    <row r="1072">
      <c r="B1072" s="38"/>
      <c r="C1072" s="38" t="str">
        <f>IFERROR(__xludf.DUMMYFUNCTION("""COMPUTED_VALUE"""),"")</f>
        <v/>
      </c>
    </row>
    <row r="1073">
      <c r="B1073" s="38"/>
      <c r="C1073" s="38" t="str">
        <f>IFERROR(__xludf.DUMMYFUNCTION("""COMPUTED_VALUE"""),"")</f>
        <v/>
      </c>
    </row>
    <row r="1074">
      <c r="B1074" s="38"/>
      <c r="C1074" s="38" t="str">
        <f>IFERROR(__xludf.DUMMYFUNCTION("""COMPUTED_VALUE"""),"")</f>
        <v/>
      </c>
    </row>
    <row r="1075">
      <c r="B1075" s="38"/>
      <c r="C1075" s="38" t="str">
        <f>IFERROR(__xludf.DUMMYFUNCTION("""COMPUTED_VALUE"""),"")</f>
        <v/>
      </c>
    </row>
    <row r="1076">
      <c r="B1076" s="38"/>
      <c r="C1076" s="38" t="str">
        <f>IFERROR(__xludf.DUMMYFUNCTION("""COMPUTED_VALUE"""),"")</f>
        <v/>
      </c>
    </row>
    <row r="1077">
      <c r="B1077" s="38"/>
      <c r="C1077" s="38" t="str">
        <f>IFERROR(__xludf.DUMMYFUNCTION("""COMPUTED_VALUE"""),"")</f>
        <v/>
      </c>
    </row>
    <row r="1078">
      <c r="B1078" s="38"/>
      <c r="C1078" s="38" t="str">
        <f>IFERROR(__xludf.DUMMYFUNCTION("""COMPUTED_VALUE"""),"")</f>
        <v/>
      </c>
    </row>
    <row r="1079">
      <c r="B1079" s="38"/>
      <c r="C1079" s="38" t="str">
        <f>IFERROR(__xludf.DUMMYFUNCTION("""COMPUTED_VALUE"""),"")</f>
        <v/>
      </c>
    </row>
    <row r="1080">
      <c r="B1080" s="38"/>
      <c r="C1080" s="38" t="str">
        <f>IFERROR(__xludf.DUMMYFUNCTION("""COMPUTED_VALUE"""),"")</f>
        <v/>
      </c>
    </row>
    <row r="1081">
      <c r="B1081" s="38"/>
      <c r="C1081" s="38" t="str">
        <f>IFERROR(__xludf.DUMMYFUNCTION("""COMPUTED_VALUE"""),"")</f>
        <v/>
      </c>
    </row>
    <row r="1082">
      <c r="B1082" s="38"/>
      <c r="C1082" s="38" t="str">
        <f>IFERROR(__xludf.DUMMYFUNCTION("""COMPUTED_VALUE"""),"")</f>
        <v/>
      </c>
    </row>
    <row r="1083">
      <c r="B1083" s="38"/>
      <c r="C1083" s="38" t="str">
        <f>IFERROR(__xludf.DUMMYFUNCTION("""COMPUTED_VALUE"""),"")</f>
        <v/>
      </c>
    </row>
    <row r="1084">
      <c r="B1084" s="38"/>
      <c r="C1084" s="38" t="str">
        <f>IFERROR(__xludf.DUMMYFUNCTION("""COMPUTED_VALUE"""),"")</f>
        <v/>
      </c>
    </row>
    <row r="1085">
      <c r="B1085" s="38"/>
      <c r="C1085" s="38" t="str">
        <f>IFERROR(__xludf.DUMMYFUNCTION("""COMPUTED_VALUE"""),"")</f>
        <v/>
      </c>
    </row>
    <row r="1086">
      <c r="B1086" s="38"/>
      <c r="C1086" s="38" t="str">
        <f>IFERROR(__xludf.DUMMYFUNCTION("""COMPUTED_VALUE"""),"")</f>
        <v/>
      </c>
    </row>
    <row r="1087">
      <c r="B1087" s="38"/>
      <c r="C1087" s="38" t="str">
        <f>IFERROR(__xludf.DUMMYFUNCTION("""COMPUTED_VALUE"""),"")</f>
        <v/>
      </c>
    </row>
    <row r="1088">
      <c r="B1088" s="38"/>
      <c r="C1088" s="38" t="str">
        <f>IFERROR(__xludf.DUMMYFUNCTION("""COMPUTED_VALUE"""),"")</f>
        <v/>
      </c>
    </row>
    <row r="1089">
      <c r="B1089" s="38"/>
      <c r="C1089" s="38" t="str">
        <f>IFERROR(__xludf.DUMMYFUNCTION("""COMPUTED_VALUE"""),"")</f>
        <v/>
      </c>
    </row>
    <row r="1090">
      <c r="B1090" s="38"/>
      <c r="C1090" s="38" t="str">
        <f>IFERROR(__xludf.DUMMYFUNCTION("""COMPUTED_VALUE"""),"")</f>
        <v/>
      </c>
    </row>
    <row r="1091">
      <c r="B1091" s="38"/>
      <c r="C1091" s="38" t="str">
        <f>IFERROR(__xludf.DUMMYFUNCTION("""COMPUTED_VALUE"""),"")</f>
        <v/>
      </c>
    </row>
    <row r="1092">
      <c r="B1092" s="38"/>
      <c r="C1092" s="38" t="str">
        <f>IFERROR(__xludf.DUMMYFUNCTION("""COMPUTED_VALUE"""),"")</f>
        <v/>
      </c>
    </row>
    <row r="1093">
      <c r="B1093" s="38"/>
      <c r="C1093" s="38" t="str">
        <f>IFERROR(__xludf.DUMMYFUNCTION("""COMPUTED_VALUE"""),"")</f>
        <v/>
      </c>
    </row>
    <row r="1094">
      <c r="B1094" s="38"/>
      <c r="C1094" s="38" t="str">
        <f>IFERROR(__xludf.DUMMYFUNCTION("""COMPUTED_VALUE"""),"")</f>
        <v/>
      </c>
    </row>
    <row r="1095">
      <c r="B1095" s="38"/>
      <c r="C1095" s="38" t="str">
        <f>IFERROR(__xludf.DUMMYFUNCTION("""COMPUTED_VALUE"""),"")</f>
        <v/>
      </c>
    </row>
    <row r="1096">
      <c r="B1096" s="38"/>
      <c r="C1096" s="38" t="str">
        <f>IFERROR(__xludf.DUMMYFUNCTION("""COMPUTED_VALUE"""),"")</f>
        <v/>
      </c>
    </row>
    <row r="1097">
      <c r="B1097" s="38"/>
      <c r="C1097" s="38" t="str">
        <f>IFERROR(__xludf.DUMMYFUNCTION("""COMPUTED_VALUE"""),"")</f>
        <v/>
      </c>
    </row>
    <row r="1098">
      <c r="B1098" s="38"/>
      <c r="C1098" s="38" t="str">
        <f>IFERROR(__xludf.DUMMYFUNCTION("""COMPUTED_VALUE"""),"")</f>
        <v/>
      </c>
    </row>
    <row r="1099">
      <c r="B1099" s="38"/>
      <c r="C1099" s="38" t="str">
        <f>IFERROR(__xludf.DUMMYFUNCTION("""COMPUTED_VALUE"""),"")</f>
        <v/>
      </c>
    </row>
    <row r="1100">
      <c r="B1100" s="38"/>
      <c r="C1100" s="38" t="str">
        <f>IFERROR(__xludf.DUMMYFUNCTION("""COMPUTED_VALUE"""),"")</f>
        <v/>
      </c>
    </row>
    <row r="1101">
      <c r="B1101" s="38"/>
      <c r="C1101" s="38" t="str">
        <f>IFERROR(__xludf.DUMMYFUNCTION("""COMPUTED_VALUE"""),"")</f>
        <v/>
      </c>
    </row>
    <row r="1102">
      <c r="B1102" s="38"/>
      <c r="C1102" s="38" t="str">
        <f>IFERROR(__xludf.DUMMYFUNCTION("""COMPUTED_VALUE"""),"")</f>
        <v/>
      </c>
    </row>
    <row r="1103">
      <c r="B1103" s="38"/>
      <c r="C1103" s="38" t="str">
        <f>IFERROR(__xludf.DUMMYFUNCTION("""COMPUTED_VALUE"""),"")</f>
        <v/>
      </c>
    </row>
    <row r="1104">
      <c r="B1104" s="38"/>
      <c r="C1104" s="38" t="str">
        <f>IFERROR(__xludf.DUMMYFUNCTION("""COMPUTED_VALUE"""),"")</f>
        <v/>
      </c>
    </row>
    <row r="1105">
      <c r="B1105" s="38"/>
      <c r="C1105" s="38" t="str">
        <f>IFERROR(__xludf.DUMMYFUNCTION("""COMPUTED_VALUE"""),"")</f>
        <v/>
      </c>
    </row>
    <row r="1106">
      <c r="B1106" s="38"/>
      <c r="C1106" s="38" t="str">
        <f>IFERROR(__xludf.DUMMYFUNCTION("""COMPUTED_VALUE"""),"")</f>
        <v/>
      </c>
    </row>
    <row r="1107">
      <c r="B1107" s="38"/>
      <c r="C1107" s="38" t="str">
        <f>IFERROR(__xludf.DUMMYFUNCTION("""COMPUTED_VALUE"""),"")</f>
        <v/>
      </c>
    </row>
    <row r="1108">
      <c r="B1108" s="38"/>
      <c r="C1108" s="38" t="str">
        <f>IFERROR(__xludf.DUMMYFUNCTION("""COMPUTED_VALUE"""),"")</f>
        <v/>
      </c>
    </row>
    <row r="1109">
      <c r="B1109" s="38"/>
      <c r="C1109" s="38" t="str">
        <f>IFERROR(__xludf.DUMMYFUNCTION("""COMPUTED_VALUE"""),"")</f>
        <v/>
      </c>
    </row>
    <row r="1110">
      <c r="B1110" s="38"/>
      <c r="C1110" s="38" t="str">
        <f>IFERROR(__xludf.DUMMYFUNCTION("""COMPUTED_VALUE"""),"")</f>
        <v/>
      </c>
    </row>
    <row r="1111">
      <c r="B1111" s="38"/>
      <c r="C1111" s="38" t="str">
        <f>IFERROR(__xludf.DUMMYFUNCTION("""COMPUTED_VALUE"""),"")</f>
        <v/>
      </c>
    </row>
    <row r="1112">
      <c r="B1112" s="38"/>
      <c r="C1112" s="38" t="str">
        <f>IFERROR(__xludf.DUMMYFUNCTION("""COMPUTED_VALUE"""),"")</f>
        <v/>
      </c>
    </row>
    <row r="1113">
      <c r="B1113" s="38"/>
      <c r="C1113" s="38" t="str">
        <f>IFERROR(__xludf.DUMMYFUNCTION("""COMPUTED_VALUE"""),"")</f>
        <v/>
      </c>
    </row>
    <row r="1114">
      <c r="B1114" s="38"/>
      <c r="C1114" s="38" t="str">
        <f>IFERROR(__xludf.DUMMYFUNCTION("""COMPUTED_VALUE"""),"")</f>
        <v/>
      </c>
    </row>
    <row r="1115">
      <c r="B1115" s="38"/>
      <c r="C1115" s="38" t="str">
        <f>IFERROR(__xludf.DUMMYFUNCTION("""COMPUTED_VALUE"""),"")</f>
        <v/>
      </c>
    </row>
    <row r="1116">
      <c r="B1116" s="38"/>
      <c r="C1116" s="38" t="str">
        <f>IFERROR(__xludf.DUMMYFUNCTION("""COMPUTED_VALUE"""),"")</f>
        <v/>
      </c>
    </row>
    <row r="1117">
      <c r="B1117" s="38"/>
      <c r="C1117" s="38" t="str">
        <f>IFERROR(__xludf.DUMMYFUNCTION("""COMPUTED_VALUE"""),"")</f>
        <v/>
      </c>
    </row>
    <row r="1118">
      <c r="B1118" s="38"/>
      <c r="C1118" s="38" t="str">
        <f>IFERROR(__xludf.DUMMYFUNCTION("""COMPUTED_VALUE"""),"")</f>
        <v/>
      </c>
    </row>
    <row r="1119">
      <c r="B1119" s="38"/>
      <c r="C1119" s="38" t="str">
        <f>IFERROR(__xludf.DUMMYFUNCTION("""COMPUTED_VALUE"""),"")</f>
        <v/>
      </c>
    </row>
    <row r="1120">
      <c r="B1120" s="38"/>
      <c r="C1120" s="38" t="str">
        <f>IFERROR(__xludf.DUMMYFUNCTION("""COMPUTED_VALUE"""),"")</f>
        <v/>
      </c>
    </row>
    <row r="1121">
      <c r="B1121" s="38"/>
      <c r="C1121" s="38" t="str">
        <f>IFERROR(__xludf.DUMMYFUNCTION("""COMPUTED_VALUE"""),"")</f>
        <v/>
      </c>
    </row>
    <row r="1122">
      <c r="B1122" s="38"/>
      <c r="C1122" s="38" t="str">
        <f>IFERROR(__xludf.DUMMYFUNCTION("""COMPUTED_VALUE"""),"")</f>
        <v/>
      </c>
    </row>
    <row r="1123">
      <c r="B1123" s="38"/>
      <c r="C1123" s="38" t="str">
        <f>IFERROR(__xludf.DUMMYFUNCTION("""COMPUTED_VALUE"""),"")</f>
        <v/>
      </c>
    </row>
    <row r="1124">
      <c r="B1124" s="38"/>
      <c r="C1124" s="38" t="str">
        <f>IFERROR(__xludf.DUMMYFUNCTION("""COMPUTED_VALUE"""),"")</f>
        <v/>
      </c>
    </row>
    <row r="1125">
      <c r="B1125" s="38"/>
      <c r="C1125" s="38" t="str">
        <f>IFERROR(__xludf.DUMMYFUNCTION("""COMPUTED_VALUE"""),"")</f>
        <v/>
      </c>
    </row>
    <row r="1126">
      <c r="B1126" s="38"/>
      <c r="C1126" s="38" t="str">
        <f>IFERROR(__xludf.DUMMYFUNCTION("""COMPUTED_VALUE"""),"")</f>
        <v/>
      </c>
    </row>
    <row r="1127">
      <c r="B1127" s="38"/>
      <c r="C1127" s="38" t="str">
        <f>IFERROR(__xludf.DUMMYFUNCTION("""COMPUTED_VALUE"""),"")</f>
        <v/>
      </c>
    </row>
    <row r="1128">
      <c r="B1128" s="38"/>
      <c r="C1128" s="38" t="str">
        <f>IFERROR(__xludf.DUMMYFUNCTION("""COMPUTED_VALUE"""),"")</f>
        <v/>
      </c>
    </row>
    <row r="1129">
      <c r="B1129" s="38"/>
      <c r="C1129" s="38" t="str">
        <f>IFERROR(__xludf.DUMMYFUNCTION("""COMPUTED_VALUE"""),"")</f>
        <v/>
      </c>
    </row>
    <row r="1130">
      <c r="B1130" s="38"/>
      <c r="C1130" s="38" t="str">
        <f>IFERROR(__xludf.DUMMYFUNCTION("""COMPUTED_VALUE"""),"")</f>
        <v/>
      </c>
    </row>
    <row r="1131">
      <c r="B1131" s="38"/>
      <c r="C1131" s="38" t="str">
        <f>IFERROR(__xludf.DUMMYFUNCTION("""COMPUTED_VALUE"""),"")</f>
        <v/>
      </c>
    </row>
    <row r="1132">
      <c r="B1132" s="38"/>
      <c r="C1132" s="38" t="str">
        <f>IFERROR(__xludf.DUMMYFUNCTION("""COMPUTED_VALUE"""),"")</f>
        <v/>
      </c>
    </row>
    <row r="1133">
      <c r="B1133" s="38"/>
      <c r="C1133" s="38" t="str">
        <f>IFERROR(__xludf.DUMMYFUNCTION("""COMPUTED_VALUE"""),"")</f>
        <v/>
      </c>
    </row>
    <row r="1134">
      <c r="B1134" s="38"/>
      <c r="C1134" s="38" t="str">
        <f>IFERROR(__xludf.DUMMYFUNCTION("""COMPUTED_VALUE"""),"")</f>
        <v/>
      </c>
    </row>
    <row r="1135">
      <c r="B1135" s="38"/>
      <c r="C1135" s="38" t="str">
        <f>IFERROR(__xludf.DUMMYFUNCTION("""COMPUTED_VALUE"""),"")</f>
        <v/>
      </c>
    </row>
    <row r="1136">
      <c r="B1136" s="38"/>
      <c r="C1136" s="38" t="str">
        <f>IFERROR(__xludf.DUMMYFUNCTION("""COMPUTED_VALUE"""),"")</f>
        <v/>
      </c>
    </row>
    <row r="1137">
      <c r="B1137" s="38"/>
      <c r="C1137" s="38" t="str">
        <f>IFERROR(__xludf.DUMMYFUNCTION("""COMPUTED_VALUE"""),"")</f>
        <v/>
      </c>
    </row>
    <row r="1138">
      <c r="B1138" s="38"/>
      <c r="C1138" s="38" t="str">
        <f>IFERROR(__xludf.DUMMYFUNCTION("""COMPUTED_VALUE"""),"")</f>
        <v/>
      </c>
    </row>
    <row r="1139">
      <c r="B1139" s="38"/>
      <c r="C1139" s="38" t="str">
        <f>IFERROR(__xludf.DUMMYFUNCTION("""COMPUTED_VALUE"""),"")</f>
        <v/>
      </c>
    </row>
    <row r="1140">
      <c r="B1140" s="38"/>
      <c r="C1140" s="38" t="str">
        <f>IFERROR(__xludf.DUMMYFUNCTION("""COMPUTED_VALUE"""),"")</f>
        <v/>
      </c>
    </row>
    <row r="1141">
      <c r="B1141" s="38"/>
      <c r="C1141" s="38" t="str">
        <f>IFERROR(__xludf.DUMMYFUNCTION("""COMPUTED_VALUE"""),"")</f>
        <v/>
      </c>
    </row>
    <row r="1142">
      <c r="B1142" s="38"/>
      <c r="C1142" s="38" t="str">
        <f>IFERROR(__xludf.DUMMYFUNCTION("""COMPUTED_VALUE"""),"")</f>
        <v/>
      </c>
    </row>
    <row r="1143">
      <c r="B1143" s="38"/>
      <c r="C1143" s="38" t="str">
        <f>IFERROR(__xludf.DUMMYFUNCTION("""COMPUTED_VALUE"""),"")</f>
        <v/>
      </c>
    </row>
    <row r="1144">
      <c r="B1144" s="38"/>
      <c r="C1144" s="38" t="str">
        <f>IFERROR(__xludf.DUMMYFUNCTION("""COMPUTED_VALUE"""),"")</f>
        <v/>
      </c>
    </row>
    <row r="1145">
      <c r="B1145" s="38"/>
      <c r="C1145" s="38" t="str">
        <f>IFERROR(__xludf.DUMMYFUNCTION("""COMPUTED_VALUE"""),"")</f>
        <v/>
      </c>
    </row>
    <row r="1146">
      <c r="B1146" s="38"/>
      <c r="C1146" s="38" t="str">
        <f>IFERROR(__xludf.DUMMYFUNCTION("""COMPUTED_VALUE"""),"")</f>
        <v/>
      </c>
    </row>
    <row r="1147">
      <c r="B1147" s="38"/>
      <c r="C1147" s="38" t="str">
        <f>IFERROR(__xludf.DUMMYFUNCTION("""COMPUTED_VALUE"""),"")</f>
        <v/>
      </c>
    </row>
    <row r="1148">
      <c r="B1148" s="38"/>
      <c r="C1148" s="38" t="str">
        <f>IFERROR(__xludf.DUMMYFUNCTION("""COMPUTED_VALUE"""),"")</f>
        <v/>
      </c>
    </row>
    <row r="1149">
      <c r="B1149" s="38"/>
      <c r="C1149" s="38" t="str">
        <f>IFERROR(__xludf.DUMMYFUNCTION("""COMPUTED_VALUE"""),"")</f>
        <v/>
      </c>
    </row>
    <row r="1150">
      <c r="B1150" s="38"/>
      <c r="C1150" s="38" t="str">
        <f>IFERROR(__xludf.DUMMYFUNCTION("""COMPUTED_VALUE"""),"")</f>
        <v/>
      </c>
    </row>
    <row r="1151">
      <c r="B1151" s="38"/>
      <c r="C1151" s="38" t="str">
        <f>IFERROR(__xludf.DUMMYFUNCTION("""COMPUTED_VALUE"""),"")</f>
        <v/>
      </c>
    </row>
    <row r="1152">
      <c r="B1152" s="38"/>
      <c r="C1152" s="38" t="str">
        <f>IFERROR(__xludf.DUMMYFUNCTION("""COMPUTED_VALUE"""),"")</f>
        <v/>
      </c>
    </row>
    <row r="1153">
      <c r="B1153" s="38"/>
      <c r="C1153" s="38" t="str">
        <f>IFERROR(__xludf.DUMMYFUNCTION("""COMPUTED_VALUE"""),"")</f>
        <v/>
      </c>
    </row>
    <row r="1154">
      <c r="B1154" s="38"/>
      <c r="C1154" s="38" t="str">
        <f>IFERROR(__xludf.DUMMYFUNCTION("""COMPUTED_VALUE"""),"")</f>
        <v/>
      </c>
    </row>
    <row r="1155">
      <c r="B1155" s="38"/>
      <c r="C1155" s="38" t="str">
        <f>IFERROR(__xludf.DUMMYFUNCTION("""COMPUTED_VALUE"""),"")</f>
        <v/>
      </c>
    </row>
    <row r="1156">
      <c r="B1156" s="38"/>
      <c r="C1156" s="38" t="str">
        <f>IFERROR(__xludf.DUMMYFUNCTION("""COMPUTED_VALUE"""),"")</f>
        <v/>
      </c>
    </row>
    <row r="1157">
      <c r="B1157" s="38"/>
      <c r="C1157" s="38" t="str">
        <f>IFERROR(__xludf.DUMMYFUNCTION("""COMPUTED_VALUE"""),"")</f>
        <v/>
      </c>
    </row>
    <row r="1158">
      <c r="B1158" s="38"/>
      <c r="C1158" s="38" t="str">
        <f>IFERROR(__xludf.DUMMYFUNCTION("""COMPUTED_VALUE"""),"")</f>
        <v/>
      </c>
    </row>
    <row r="1159">
      <c r="B1159" s="38"/>
      <c r="C1159" s="38" t="str">
        <f>IFERROR(__xludf.DUMMYFUNCTION("""COMPUTED_VALUE"""),"")</f>
        <v/>
      </c>
    </row>
    <row r="1160">
      <c r="B1160" s="38"/>
      <c r="C1160" s="38" t="str">
        <f>IFERROR(__xludf.DUMMYFUNCTION("""COMPUTED_VALUE"""),"")</f>
        <v/>
      </c>
    </row>
    <row r="1161">
      <c r="B1161" s="38"/>
      <c r="C1161" s="38" t="str">
        <f>IFERROR(__xludf.DUMMYFUNCTION("""COMPUTED_VALUE"""),"")</f>
        <v/>
      </c>
    </row>
    <row r="1162">
      <c r="B1162" s="38"/>
      <c r="C1162" s="38" t="str">
        <f>IFERROR(__xludf.DUMMYFUNCTION("""COMPUTED_VALUE"""),"")</f>
        <v/>
      </c>
    </row>
    <row r="1163">
      <c r="B1163" s="38"/>
      <c r="C1163" s="38" t="str">
        <f>IFERROR(__xludf.DUMMYFUNCTION("""COMPUTED_VALUE"""),"")</f>
        <v/>
      </c>
    </row>
    <row r="1164">
      <c r="B1164" s="38"/>
      <c r="C1164" s="38" t="str">
        <f>IFERROR(__xludf.DUMMYFUNCTION("""COMPUTED_VALUE"""),"")</f>
        <v/>
      </c>
    </row>
    <row r="1165">
      <c r="B1165" s="38"/>
      <c r="C1165" s="38" t="str">
        <f>IFERROR(__xludf.DUMMYFUNCTION("""COMPUTED_VALUE"""),"")</f>
        <v/>
      </c>
    </row>
    <row r="1166">
      <c r="B1166" s="38"/>
      <c r="C1166" s="38" t="str">
        <f>IFERROR(__xludf.DUMMYFUNCTION("""COMPUTED_VALUE"""),"")</f>
        <v/>
      </c>
    </row>
    <row r="1167">
      <c r="B1167" s="38"/>
      <c r="C1167" s="38" t="str">
        <f>IFERROR(__xludf.DUMMYFUNCTION("""COMPUTED_VALUE"""),"")</f>
        <v/>
      </c>
    </row>
    <row r="1168">
      <c r="B1168" s="38"/>
      <c r="C1168" s="38" t="str">
        <f>IFERROR(__xludf.DUMMYFUNCTION("""COMPUTED_VALUE"""),"")</f>
        <v/>
      </c>
    </row>
    <row r="1169">
      <c r="B1169" s="38"/>
      <c r="C1169" s="38" t="str">
        <f>IFERROR(__xludf.DUMMYFUNCTION("""COMPUTED_VALUE"""),"")</f>
        <v/>
      </c>
    </row>
    <row r="1170">
      <c r="B1170" s="38"/>
      <c r="C1170" s="38" t="str">
        <f>IFERROR(__xludf.DUMMYFUNCTION("""COMPUTED_VALUE"""),"")</f>
        <v/>
      </c>
    </row>
    <row r="1171">
      <c r="B1171" s="38"/>
      <c r="C1171" s="38" t="str">
        <f>IFERROR(__xludf.DUMMYFUNCTION("""COMPUTED_VALUE"""),"")</f>
        <v/>
      </c>
    </row>
    <row r="1172">
      <c r="B1172" s="38"/>
      <c r="C1172" s="38" t="str">
        <f>IFERROR(__xludf.DUMMYFUNCTION("""COMPUTED_VALUE"""),"")</f>
        <v/>
      </c>
    </row>
    <row r="1173">
      <c r="B1173" s="38"/>
      <c r="C1173" s="38" t="str">
        <f>IFERROR(__xludf.DUMMYFUNCTION("""COMPUTED_VALUE"""),"")</f>
        <v/>
      </c>
    </row>
    <row r="1174">
      <c r="B1174" s="38"/>
      <c r="C1174" s="38" t="str">
        <f>IFERROR(__xludf.DUMMYFUNCTION("""COMPUTED_VALUE"""),"")</f>
        <v/>
      </c>
    </row>
    <row r="1175">
      <c r="B1175" s="38"/>
      <c r="C1175" s="38" t="str">
        <f>IFERROR(__xludf.DUMMYFUNCTION("""COMPUTED_VALUE"""),"")</f>
        <v/>
      </c>
    </row>
    <row r="1176">
      <c r="B1176" s="38"/>
      <c r="C1176" s="38" t="str">
        <f>IFERROR(__xludf.DUMMYFUNCTION("""COMPUTED_VALUE"""),"")</f>
        <v/>
      </c>
    </row>
    <row r="1177">
      <c r="B1177" s="38"/>
      <c r="C1177" s="38" t="str">
        <f>IFERROR(__xludf.DUMMYFUNCTION("""COMPUTED_VALUE"""),"")</f>
        <v/>
      </c>
    </row>
    <row r="1178">
      <c r="B1178" s="38"/>
      <c r="C1178" s="38" t="str">
        <f>IFERROR(__xludf.DUMMYFUNCTION("""COMPUTED_VALUE"""),"")</f>
        <v/>
      </c>
    </row>
    <row r="1179">
      <c r="B1179" s="38"/>
      <c r="C1179" s="38" t="str">
        <f>IFERROR(__xludf.DUMMYFUNCTION("""COMPUTED_VALUE"""),"")</f>
        <v/>
      </c>
    </row>
    <row r="1180">
      <c r="B1180" s="38"/>
      <c r="C1180" s="38" t="str">
        <f>IFERROR(__xludf.DUMMYFUNCTION("""COMPUTED_VALUE"""),"")</f>
        <v/>
      </c>
    </row>
    <row r="1181">
      <c r="B1181" s="38"/>
      <c r="C1181" s="38" t="str">
        <f>IFERROR(__xludf.DUMMYFUNCTION("""COMPUTED_VALUE"""),"")</f>
        <v/>
      </c>
    </row>
    <row r="1182">
      <c r="B1182" s="38"/>
      <c r="C1182" s="38" t="str">
        <f>IFERROR(__xludf.DUMMYFUNCTION("""COMPUTED_VALUE"""),"")</f>
        <v/>
      </c>
    </row>
    <row r="1183">
      <c r="B1183" s="38"/>
      <c r="C1183" s="38" t="str">
        <f>IFERROR(__xludf.DUMMYFUNCTION("""COMPUTED_VALUE"""),"")</f>
        <v/>
      </c>
    </row>
    <row r="1184">
      <c r="B1184" s="38"/>
      <c r="C1184" s="38" t="str">
        <f>IFERROR(__xludf.DUMMYFUNCTION("""COMPUTED_VALUE"""),"")</f>
        <v/>
      </c>
    </row>
    <row r="1185">
      <c r="B1185" s="38"/>
      <c r="C1185" s="38" t="str">
        <f>IFERROR(__xludf.DUMMYFUNCTION("""COMPUTED_VALUE"""),"")</f>
        <v/>
      </c>
    </row>
    <row r="1186">
      <c r="B1186" s="38"/>
      <c r="C1186" s="38" t="str">
        <f>IFERROR(__xludf.DUMMYFUNCTION("""COMPUTED_VALUE"""),"")</f>
        <v/>
      </c>
    </row>
    <row r="1187">
      <c r="B1187" s="38"/>
      <c r="C1187" s="38" t="str">
        <f>IFERROR(__xludf.DUMMYFUNCTION("""COMPUTED_VALUE"""),"")</f>
        <v/>
      </c>
    </row>
    <row r="1188">
      <c r="B1188" s="38"/>
      <c r="C1188" s="38" t="str">
        <f>IFERROR(__xludf.DUMMYFUNCTION("""COMPUTED_VALUE"""),"")</f>
        <v/>
      </c>
    </row>
    <row r="1189">
      <c r="B1189" s="38"/>
      <c r="C1189" s="38" t="str">
        <f>IFERROR(__xludf.DUMMYFUNCTION("""COMPUTED_VALUE"""),"")</f>
        <v/>
      </c>
    </row>
    <row r="1190">
      <c r="B1190" s="38"/>
      <c r="C1190" s="38" t="str">
        <f>IFERROR(__xludf.DUMMYFUNCTION("""COMPUTED_VALUE"""),"")</f>
        <v/>
      </c>
    </row>
    <row r="1191">
      <c r="B1191" s="38"/>
      <c r="C1191" s="38" t="str">
        <f>IFERROR(__xludf.DUMMYFUNCTION("""COMPUTED_VALUE"""),"")</f>
        <v/>
      </c>
    </row>
    <row r="1192">
      <c r="B1192" s="38"/>
      <c r="C1192" s="38" t="str">
        <f>IFERROR(__xludf.DUMMYFUNCTION("""COMPUTED_VALUE"""),"")</f>
        <v/>
      </c>
    </row>
    <row r="1193">
      <c r="B1193" s="38"/>
      <c r="C1193" s="38" t="str">
        <f>IFERROR(__xludf.DUMMYFUNCTION("""COMPUTED_VALUE"""),"")</f>
        <v/>
      </c>
    </row>
    <row r="1194">
      <c r="B1194" s="38"/>
      <c r="C1194" s="38" t="str">
        <f>IFERROR(__xludf.DUMMYFUNCTION("""COMPUTED_VALUE"""),"")</f>
        <v/>
      </c>
    </row>
    <row r="1195">
      <c r="B1195" s="38"/>
      <c r="C1195" s="38" t="str">
        <f>IFERROR(__xludf.DUMMYFUNCTION("""COMPUTED_VALUE"""),"")</f>
        <v/>
      </c>
    </row>
    <row r="1196">
      <c r="B1196" s="38"/>
      <c r="C1196" s="38" t="str">
        <f>IFERROR(__xludf.DUMMYFUNCTION("""COMPUTED_VALUE"""),"")</f>
        <v/>
      </c>
    </row>
    <row r="1197">
      <c r="B1197" s="38"/>
      <c r="C1197" s="38" t="str">
        <f>IFERROR(__xludf.DUMMYFUNCTION("""COMPUTED_VALUE"""),"")</f>
        <v/>
      </c>
    </row>
    <row r="1198">
      <c r="B1198" s="38"/>
      <c r="C1198" s="38" t="str">
        <f>IFERROR(__xludf.DUMMYFUNCTION("""COMPUTED_VALUE"""),"")</f>
        <v/>
      </c>
    </row>
    <row r="1199">
      <c r="B1199" s="38"/>
      <c r="C1199" s="38" t="str">
        <f>IFERROR(__xludf.DUMMYFUNCTION("""COMPUTED_VALUE"""),"")</f>
        <v/>
      </c>
    </row>
    <row r="1200">
      <c r="B1200" s="38"/>
      <c r="C1200" s="38" t="str">
        <f>IFERROR(__xludf.DUMMYFUNCTION("""COMPUTED_VALUE"""),"")</f>
        <v/>
      </c>
    </row>
    <row r="1201">
      <c r="B1201" s="38"/>
      <c r="C1201" s="38" t="str">
        <f>IFERROR(__xludf.DUMMYFUNCTION("""COMPUTED_VALUE"""),"")</f>
        <v/>
      </c>
    </row>
    <row r="1202">
      <c r="B1202" s="38"/>
      <c r="C1202" s="38" t="str">
        <f>IFERROR(__xludf.DUMMYFUNCTION("""COMPUTED_VALUE"""),"")</f>
        <v/>
      </c>
    </row>
    <row r="1203">
      <c r="B1203" s="38"/>
      <c r="C1203" s="38" t="str">
        <f>IFERROR(__xludf.DUMMYFUNCTION("""COMPUTED_VALUE"""),"")</f>
        <v/>
      </c>
    </row>
    <row r="1204">
      <c r="B1204" s="38"/>
      <c r="C1204" s="38" t="str">
        <f>IFERROR(__xludf.DUMMYFUNCTION("""COMPUTED_VALUE"""),"")</f>
        <v/>
      </c>
    </row>
    <row r="1205">
      <c r="B1205" s="38"/>
      <c r="C1205" s="38" t="str">
        <f>IFERROR(__xludf.DUMMYFUNCTION("""COMPUTED_VALUE"""),"")</f>
        <v/>
      </c>
    </row>
    <row r="1206">
      <c r="B1206" s="38"/>
      <c r="C1206" s="38" t="str">
        <f>IFERROR(__xludf.DUMMYFUNCTION("""COMPUTED_VALUE"""),"")</f>
        <v/>
      </c>
    </row>
    <row r="1207">
      <c r="B1207" s="38"/>
      <c r="C1207" s="38" t="str">
        <f>IFERROR(__xludf.DUMMYFUNCTION("""COMPUTED_VALUE"""),"")</f>
        <v/>
      </c>
    </row>
    <row r="1208">
      <c r="B1208" s="38"/>
      <c r="C1208" s="38" t="str">
        <f>IFERROR(__xludf.DUMMYFUNCTION("""COMPUTED_VALUE"""),"")</f>
        <v/>
      </c>
    </row>
    <row r="1209">
      <c r="B1209" s="38"/>
      <c r="C1209" s="38" t="str">
        <f>IFERROR(__xludf.DUMMYFUNCTION("""COMPUTED_VALUE"""),"")</f>
        <v/>
      </c>
    </row>
    <row r="1210">
      <c r="B1210" s="38"/>
      <c r="C1210" s="38" t="str">
        <f>IFERROR(__xludf.DUMMYFUNCTION("""COMPUTED_VALUE"""),"")</f>
        <v/>
      </c>
    </row>
    <row r="1211">
      <c r="B1211" s="38"/>
      <c r="C1211" s="38" t="str">
        <f>IFERROR(__xludf.DUMMYFUNCTION("""COMPUTED_VALUE"""),"")</f>
        <v/>
      </c>
    </row>
    <row r="1212">
      <c r="B1212" s="38"/>
      <c r="C1212" s="38" t="str">
        <f>IFERROR(__xludf.DUMMYFUNCTION("""COMPUTED_VALUE"""),"")</f>
        <v/>
      </c>
    </row>
    <row r="1213">
      <c r="B1213" s="38"/>
      <c r="C1213" s="38" t="str">
        <f>IFERROR(__xludf.DUMMYFUNCTION("""COMPUTED_VALUE"""),"")</f>
        <v/>
      </c>
    </row>
    <row r="1214">
      <c r="B1214" s="38"/>
      <c r="C1214" s="38" t="str">
        <f>IFERROR(__xludf.DUMMYFUNCTION("""COMPUTED_VALUE"""),"")</f>
        <v/>
      </c>
    </row>
    <row r="1215">
      <c r="B1215" s="38"/>
      <c r="C1215" s="38" t="str">
        <f>IFERROR(__xludf.DUMMYFUNCTION("""COMPUTED_VALUE"""),"")</f>
        <v/>
      </c>
    </row>
    <row r="1216">
      <c r="B1216" s="38"/>
      <c r="C1216" s="38" t="str">
        <f>IFERROR(__xludf.DUMMYFUNCTION("""COMPUTED_VALUE"""),"")</f>
        <v/>
      </c>
    </row>
    <row r="1217">
      <c r="B1217" s="38"/>
      <c r="C1217" s="38" t="str">
        <f>IFERROR(__xludf.DUMMYFUNCTION("""COMPUTED_VALUE"""),"")</f>
        <v/>
      </c>
    </row>
    <row r="1218">
      <c r="B1218" s="38"/>
      <c r="C1218" s="38" t="str">
        <f>IFERROR(__xludf.DUMMYFUNCTION("""COMPUTED_VALUE"""),"")</f>
        <v/>
      </c>
    </row>
    <row r="1219">
      <c r="B1219" s="38"/>
      <c r="C1219" s="38" t="str">
        <f>IFERROR(__xludf.DUMMYFUNCTION("""COMPUTED_VALUE"""),"")</f>
        <v/>
      </c>
    </row>
    <row r="1220">
      <c r="B1220" s="38"/>
      <c r="C1220" s="38" t="str">
        <f>IFERROR(__xludf.DUMMYFUNCTION("""COMPUTED_VALUE"""),"")</f>
        <v/>
      </c>
    </row>
    <row r="1221">
      <c r="B1221" s="38"/>
      <c r="C1221" s="38" t="str">
        <f>IFERROR(__xludf.DUMMYFUNCTION("""COMPUTED_VALUE"""),"")</f>
        <v/>
      </c>
    </row>
    <row r="1222">
      <c r="B1222" s="38"/>
      <c r="C1222" s="38" t="str">
        <f>IFERROR(__xludf.DUMMYFUNCTION("""COMPUTED_VALUE"""),"")</f>
        <v/>
      </c>
    </row>
    <row r="1223">
      <c r="B1223" s="38"/>
      <c r="C1223" s="38" t="str">
        <f>IFERROR(__xludf.DUMMYFUNCTION("""COMPUTED_VALUE"""),"")</f>
        <v/>
      </c>
    </row>
    <row r="1224">
      <c r="B1224" s="38"/>
      <c r="C1224" s="38" t="str">
        <f>IFERROR(__xludf.DUMMYFUNCTION("""COMPUTED_VALUE"""),"")</f>
        <v/>
      </c>
    </row>
    <row r="1225">
      <c r="B1225" s="38"/>
      <c r="C1225" s="38" t="str">
        <f>IFERROR(__xludf.DUMMYFUNCTION("""COMPUTED_VALUE"""),"")</f>
        <v/>
      </c>
    </row>
    <row r="1226">
      <c r="B1226" s="38"/>
      <c r="C1226" s="38" t="str">
        <f>IFERROR(__xludf.DUMMYFUNCTION("""COMPUTED_VALUE"""),"")</f>
        <v/>
      </c>
    </row>
    <row r="1227">
      <c r="B1227" s="38"/>
      <c r="C1227" s="38" t="str">
        <f>IFERROR(__xludf.DUMMYFUNCTION("""COMPUTED_VALUE"""),"")</f>
        <v/>
      </c>
    </row>
    <row r="1228">
      <c r="B1228" s="38"/>
      <c r="C1228" s="38" t="str">
        <f>IFERROR(__xludf.DUMMYFUNCTION("""COMPUTED_VALUE"""),"")</f>
        <v/>
      </c>
    </row>
    <row r="1229">
      <c r="B1229" s="38"/>
      <c r="C1229" s="38" t="str">
        <f>IFERROR(__xludf.DUMMYFUNCTION("""COMPUTED_VALUE"""),"")</f>
        <v/>
      </c>
    </row>
    <row r="1230">
      <c r="B1230" s="38"/>
      <c r="C1230" s="38" t="str">
        <f>IFERROR(__xludf.DUMMYFUNCTION("""COMPUTED_VALUE"""),"")</f>
        <v/>
      </c>
    </row>
    <row r="1231">
      <c r="B1231" s="38"/>
      <c r="C1231" s="38" t="str">
        <f>IFERROR(__xludf.DUMMYFUNCTION("""COMPUTED_VALUE"""),"")</f>
        <v/>
      </c>
    </row>
    <row r="1232">
      <c r="B1232" s="38"/>
      <c r="C1232" s="38" t="str">
        <f>IFERROR(__xludf.DUMMYFUNCTION("""COMPUTED_VALUE"""),"")</f>
        <v/>
      </c>
    </row>
    <row r="1233">
      <c r="B1233" s="38"/>
      <c r="C1233" s="38" t="str">
        <f>IFERROR(__xludf.DUMMYFUNCTION("""COMPUTED_VALUE"""),"")</f>
        <v/>
      </c>
    </row>
    <row r="1234">
      <c r="B1234" s="38"/>
      <c r="C1234" s="38" t="str">
        <f>IFERROR(__xludf.DUMMYFUNCTION("""COMPUTED_VALUE"""),"")</f>
        <v/>
      </c>
    </row>
    <row r="1235">
      <c r="B1235" s="38"/>
      <c r="C1235" s="38" t="str">
        <f>IFERROR(__xludf.DUMMYFUNCTION("""COMPUTED_VALUE"""),"")</f>
        <v/>
      </c>
    </row>
    <row r="1236">
      <c r="B1236" s="38"/>
      <c r="C1236" s="38" t="str">
        <f>IFERROR(__xludf.DUMMYFUNCTION("""COMPUTED_VALUE"""),"")</f>
        <v/>
      </c>
    </row>
    <row r="1237">
      <c r="B1237" s="38"/>
      <c r="C1237" s="38" t="str">
        <f>IFERROR(__xludf.DUMMYFUNCTION("""COMPUTED_VALUE"""),"")</f>
        <v/>
      </c>
    </row>
    <row r="1238">
      <c r="B1238" s="38"/>
      <c r="C1238" s="38" t="str">
        <f>IFERROR(__xludf.DUMMYFUNCTION("""COMPUTED_VALUE"""),"")</f>
        <v/>
      </c>
    </row>
    <row r="1239">
      <c r="B1239" s="38"/>
      <c r="C1239" s="38" t="str">
        <f>IFERROR(__xludf.DUMMYFUNCTION("""COMPUTED_VALUE"""),"")</f>
        <v/>
      </c>
    </row>
    <row r="1240">
      <c r="B1240" s="38"/>
      <c r="C1240" s="38" t="str">
        <f>IFERROR(__xludf.DUMMYFUNCTION("""COMPUTED_VALUE"""),"")</f>
        <v/>
      </c>
    </row>
    <row r="1241">
      <c r="B1241" s="38"/>
      <c r="C1241" s="38" t="str">
        <f>IFERROR(__xludf.DUMMYFUNCTION("""COMPUTED_VALUE"""),"")</f>
        <v/>
      </c>
    </row>
    <row r="1242">
      <c r="B1242" s="38"/>
      <c r="C1242" s="38" t="str">
        <f>IFERROR(__xludf.DUMMYFUNCTION("""COMPUTED_VALUE"""),"")</f>
        <v/>
      </c>
    </row>
    <row r="1243">
      <c r="B1243" s="38"/>
      <c r="C1243" s="38" t="str">
        <f>IFERROR(__xludf.DUMMYFUNCTION("""COMPUTED_VALUE"""),"")</f>
        <v/>
      </c>
    </row>
    <row r="1244">
      <c r="B1244" s="38"/>
      <c r="C1244" s="38" t="str">
        <f>IFERROR(__xludf.DUMMYFUNCTION("""COMPUTED_VALUE"""),"")</f>
        <v/>
      </c>
    </row>
    <row r="1245">
      <c r="B1245" s="38"/>
      <c r="C1245" s="38" t="str">
        <f>IFERROR(__xludf.DUMMYFUNCTION("""COMPUTED_VALUE"""),"")</f>
        <v/>
      </c>
    </row>
    <row r="1246">
      <c r="B1246" s="38"/>
      <c r="C1246" s="38" t="str">
        <f>IFERROR(__xludf.DUMMYFUNCTION("""COMPUTED_VALUE"""),"")</f>
        <v/>
      </c>
    </row>
    <row r="1247">
      <c r="B1247" s="38"/>
      <c r="C1247" s="38" t="str">
        <f>IFERROR(__xludf.DUMMYFUNCTION("""COMPUTED_VALUE"""),"")</f>
        <v/>
      </c>
    </row>
    <row r="1248">
      <c r="B1248" s="38"/>
      <c r="C1248" s="38" t="str">
        <f>IFERROR(__xludf.DUMMYFUNCTION("""COMPUTED_VALUE"""),"")</f>
        <v/>
      </c>
    </row>
    <row r="1249">
      <c r="B1249" s="38"/>
      <c r="C1249" s="38" t="str">
        <f>IFERROR(__xludf.DUMMYFUNCTION("""COMPUTED_VALUE"""),"")</f>
        <v/>
      </c>
    </row>
    <row r="1250">
      <c r="B1250" s="38"/>
      <c r="C1250" s="38" t="str">
        <f>IFERROR(__xludf.DUMMYFUNCTION("""COMPUTED_VALUE"""),"")</f>
        <v/>
      </c>
    </row>
    <row r="1251">
      <c r="B1251" s="38"/>
      <c r="C1251" s="38" t="str">
        <f>IFERROR(__xludf.DUMMYFUNCTION("""COMPUTED_VALUE"""),"")</f>
        <v/>
      </c>
    </row>
    <row r="1252">
      <c r="B1252" s="38"/>
      <c r="C1252" s="38" t="str">
        <f>IFERROR(__xludf.DUMMYFUNCTION("""COMPUTED_VALUE"""),"")</f>
        <v/>
      </c>
    </row>
    <row r="1253">
      <c r="B1253" s="38"/>
      <c r="C1253" s="38" t="str">
        <f>IFERROR(__xludf.DUMMYFUNCTION("""COMPUTED_VALUE"""),"")</f>
        <v/>
      </c>
    </row>
    <row r="1254">
      <c r="B1254" s="38"/>
      <c r="C1254" s="38" t="str">
        <f>IFERROR(__xludf.DUMMYFUNCTION("""COMPUTED_VALUE"""),"")</f>
        <v/>
      </c>
    </row>
    <row r="1255">
      <c r="B1255" s="38"/>
      <c r="C1255" s="38" t="str">
        <f>IFERROR(__xludf.DUMMYFUNCTION("""COMPUTED_VALUE"""),"")</f>
        <v/>
      </c>
    </row>
    <row r="1256">
      <c r="B1256" s="38"/>
      <c r="C1256" s="38" t="str">
        <f>IFERROR(__xludf.DUMMYFUNCTION("""COMPUTED_VALUE"""),"")</f>
        <v/>
      </c>
    </row>
    <row r="1257">
      <c r="B1257" s="38"/>
      <c r="C1257" s="38" t="str">
        <f>IFERROR(__xludf.DUMMYFUNCTION("""COMPUTED_VALUE"""),"")</f>
        <v/>
      </c>
    </row>
    <row r="1258">
      <c r="B1258" s="38"/>
      <c r="C1258" s="38" t="str">
        <f>IFERROR(__xludf.DUMMYFUNCTION("""COMPUTED_VALUE"""),"")</f>
        <v/>
      </c>
    </row>
    <row r="1259">
      <c r="B1259" s="38"/>
      <c r="C1259" s="38" t="str">
        <f>IFERROR(__xludf.DUMMYFUNCTION("""COMPUTED_VALUE"""),"")</f>
        <v/>
      </c>
    </row>
    <row r="1260">
      <c r="B1260" s="38"/>
      <c r="C1260" s="38" t="str">
        <f>IFERROR(__xludf.DUMMYFUNCTION("""COMPUTED_VALUE"""),"")</f>
        <v/>
      </c>
    </row>
    <row r="1261">
      <c r="B1261" s="38"/>
      <c r="C1261" s="38" t="str">
        <f>IFERROR(__xludf.DUMMYFUNCTION("""COMPUTED_VALUE"""),"")</f>
        <v/>
      </c>
    </row>
    <row r="1262">
      <c r="B1262" s="38"/>
      <c r="C1262" s="38" t="str">
        <f>IFERROR(__xludf.DUMMYFUNCTION("""COMPUTED_VALUE"""),"")</f>
        <v/>
      </c>
    </row>
    <row r="1263">
      <c r="B1263" s="38"/>
      <c r="C1263" s="38" t="str">
        <f>IFERROR(__xludf.DUMMYFUNCTION("""COMPUTED_VALUE"""),"")</f>
        <v/>
      </c>
    </row>
    <row r="1264">
      <c r="B1264" s="38"/>
      <c r="C1264" s="38" t="str">
        <f>IFERROR(__xludf.DUMMYFUNCTION("""COMPUTED_VALUE"""),"")</f>
        <v/>
      </c>
    </row>
    <row r="1265">
      <c r="B1265" s="38"/>
      <c r="C1265" s="38" t="str">
        <f>IFERROR(__xludf.DUMMYFUNCTION("""COMPUTED_VALUE"""),"")</f>
        <v/>
      </c>
    </row>
    <row r="1266">
      <c r="B1266" s="38"/>
      <c r="C1266" s="38" t="str">
        <f>IFERROR(__xludf.DUMMYFUNCTION("""COMPUTED_VALUE"""),"")</f>
        <v/>
      </c>
    </row>
    <row r="1267">
      <c r="B1267" s="38"/>
      <c r="C1267" s="38" t="str">
        <f>IFERROR(__xludf.DUMMYFUNCTION("""COMPUTED_VALUE"""),"")</f>
        <v/>
      </c>
    </row>
    <row r="1268">
      <c r="B1268" s="38"/>
      <c r="C1268" s="38" t="str">
        <f>IFERROR(__xludf.DUMMYFUNCTION("""COMPUTED_VALUE"""),"")</f>
        <v/>
      </c>
    </row>
    <row r="1269">
      <c r="B1269" s="38"/>
      <c r="C1269" s="38" t="str">
        <f>IFERROR(__xludf.DUMMYFUNCTION("""COMPUTED_VALUE"""),"")</f>
        <v/>
      </c>
    </row>
    <row r="1270">
      <c r="B1270" s="38"/>
      <c r="C1270" s="38" t="str">
        <f>IFERROR(__xludf.DUMMYFUNCTION("""COMPUTED_VALUE"""),"")</f>
        <v/>
      </c>
    </row>
    <row r="1271">
      <c r="B1271" s="38"/>
      <c r="C1271" s="38" t="str">
        <f>IFERROR(__xludf.DUMMYFUNCTION("""COMPUTED_VALUE"""),"")</f>
        <v/>
      </c>
    </row>
    <row r="1272">
      <c r="B1272" s="38"/>
      <c r="C1272" s="38" t="str">
        <f>IFERROR(__xludf.DUMMYFUNCTION("""COMPUTED_VALUE"""),"")</f>
        <v/>
      </c>
    </row>
    <row r="1273">
      <c r="B1273" s="38"/>
      <c r="C1273" s="38" t="str">
        <f>IFERROR(__xludf.DUMMYFUNCTION("""COMPUTED_VALUE"""),"")</f>
        <v/>
      </c>
    </row>
    <row r="1274">
      <c r="B1274" s="38"/>
      <c r="C1274" s="38" t="str">
        <f>IFERROR(__xludf.DUMMYFUNCTION("""COMPUTED_VALUE"""),"")</f>
        <v/>
      </c>
    </row>
    <row r="1275">
      <c r="B1275" s="38"/>
      <c r="C1275" s="38" t="str">
        <f>IFERROR(__xludf.DUMMYFUNCTION("""COMPUTED_VALUE"""),"")</f>
        <v/>
      </c>
    </row>
    <row r="1276">
      <c r="B1276" s="38"/>
      <c r="C1276" s="38" t="str">
        <f>IFERROR(__xludf.DUMMYFUNCTION("""COMPUTED_VALUE"""),"")</f>
        <v/>
      </c>
    </row>
    <row r="1277">
      <c r="B1277" s="38"/>
      <c r="C1277" s="38" t="str">
        <f>IFERROR(__xludf.DUMMYFUNCTION("""COMPUTED_VALUE"""),"")</f>
        <v/>
      </c>
    </row>
    <row r="1278">
      <c r="B1278" s="38"/>
      <c r="C1278" s="38" t="str">
        <f>IFERROR(__xludf.DUMMYFUNCTION("""COMPUTED_VALUE"""),"")</f>
        <v/>
      </c>
    </row>
    <row r="1279">
      <c r="B1279" s="38"/>
      <c r="C1279" s="38" t="str">
        <f>IFERROR(__xludf.DUMMYFUNCTION("""COMPUTED_VALUE"""),"")</f>
        <v/>
      </c>
    </row>
    <row r="1280">
      <c r="B1280" s="38"/>
      <c r="C1280" s="38" t="str">
        <f>IFERROR(__xludf.DUMMYFUNCTION("""COMPUTED_VALUE"""),"")</f>
        <v/>
      </c>
    </row>
    <row r="1281">
      <c r="B1281" s="38"/>
      <c r="C1281" s="38" t="str">
        <f>IFERROR(__xludf.DUMMYFUNCTION("""COMPUTED_VALUE"""),"")</f>
        <v/>
      </c>
    </row>
    <row r="1282">
      <c r="B1282" s="38"/>
      <c r="C1282" s="38" t="str">
        <f>IFERROR(__xludf.DUMMYFUNCTION("""COMPUTED_VALUE"""),"")</f>
        <v/>
      </c>
    </row>
    <row r="1283">
      <c r="B1283" s="38"/>
      <c r="C1283" s="38" t="str">
        <f>IFERROR(__xludf.DUMMYFUNCTION("""COMPUTED_VALUE"""),"")</f>
        <v/>
      </c>
    </row>
    <row r="1284">
      <c r="B1284" s="38"/>
      <c r="C1284" s="38" t="str">
        <f>IFERROR(__xludf.DUMMYFUNCTION("""COMPUTED_VALUE"""),"")</f>
        <v/>
      </c>
    </row>
    <row r="1285">
      <c r="B1285" s="38"/>
      <c r="C1285" s="38" t="str">
        <f>IFERROR(__xludf.DUMMYFUNCTION("""COMPUTED_VALUE"""),"")</f>
        <v/>
      </c>
    </row>
    <row r="1286">
      <c r="B1286" s="38"/>
      <c r="C1286" s="38" t="str">
        <f>IFERROR(__xludf.DUMMYFUNCTION("""COMPUTED_VALUE"""),"")</f>
        <v/>
      </c>
    </row>
    <row r="1287">
      <c r="B1287" s="38"/>
      <c r="C1287" s="38" t="str">
        <f>IFERROR(__xludf.DUMMYFUNCTION("""COMPUTED_VALUE"""),"")</f>
        <v/>
      </c>
    </row>
    <row r="1288">
      <c r="B1288" s="38"/>
      <c r="C1288" s="38" t="str">
        <f>IFERROR(__xludf.DUMMYFUNCTION("""COMPUTED_VALUE"""),"")</f>
        <v/>
      </c>
    </row>
    <row r="1289">
      <c r="B1289" s="38"/>
      <c r="C1289" s="38" t="str">
        <f>IFERROR(__xludf.DUMMYFUNCTION("""COMPUTED_VALUE"""),"")</f>
        <v/>
      </c>
    </row>
    <row r="1290">
      <c r="B1290" s="38"/>
      <c r="C1290" s="38" t="str">
        <f>IFERROR(__xludf.DUMMYFUNCTION("""COMPUTED_VALUE"""),"")</f>
        <v/>
      </c>
    </row>
    <row r="1291">
      <c r="B1291" s="38"/>
      <c r="C1291" s="38" t="str">
        <f>IFERROR(__xludf.DUMMYFUNCTION("""COMPUTED_VALUE"""),"")</f>
        <v/>
      </c>
    </row>
    <row r="1292">
      <c r="B1292" s="38"/>
      <c r="C1292" s="38" t="str">
        <f>IFERROR(__xludf.DUMMYFUNCTION("""COMPUTED_VALUE"""),"")</f>
        <v/>
      </c>
    </row>
    <row r="1293">
      <c r="B1293" s="38"/>
      <c r="C1293" s="38" t="str">
        <f>IFERROR(__xludf.DUMMYFUNCTION("""COMPUTED_VALUE"""),"")</f>
        <v/>
      </c>
    </row>
    <row r="1294">
      <c r="B1294" s="38"/>
      <c r="C1294" s="38" t="str">
        <f>IFERROR(__xludf.DUMMYFUNCTION("""COMPUTED_VALUE"""),"")</f>
        <v/>
      </c>
    </row>
    <row r="1295">
      <c r="B1295" s="38"/>
      <c r="C1295" s="38" t="str">
        <f>IFERROR(__xludf.DUMMYFUNCTION("""COMPUTED_VALUE"""),"")</f>
        <v/>
      </c>
    </row>
    <row r="1296">
      <c r="B1296" s="38"/>
      <c r="C1296" s="38" t="str">
        <f>IFERROR(__xludf.DUMMYFUNCTION("""COMPUTED_VALUE"""),"")</f>
        <v/>
      </c>
    </row>
    <row r="1297">
      <c r="B1297" s="38"/>
      <c r="C1297" s="38" t="str">
        <f>IFERROR(__xludf.DUMMYFUNCTION("""COMPUTED_VALUE"""),"")</f>
        <v/>
      </c>
    </row>
    <row r="1298">
      <c r="B1298" s="38"/>
      <c r="C1298" s="38" t="str">
        <f>IFERROR(__xludf.DUMMYFUNCTION("""COMPUTED_VALUE"""),"")</f>
        <v/>
      </c>
    </row>
    <row r="1299">
      <c r="B1299" s="38"/>
      <c r="C1299" s="38" t="str">
        <f>IFERROR(__xludf.DUMMYFUNCTION("""COMPUTED_VALUE"""),"")</f>
        <v/>
      </c>
    </row>
    <row r="1300">
      <c r="B1300" s="38"/>
      <c r="C1300" s="38" t="str">
        <f>IFERROR(__xludf.DUMMYFUNCTION("""COMPUTED_VALUE"""),"")</f>
        <v/>
      </c>
    </row>
    <row r="1301">
      <c r="B1301" s="38"/>
      <c r="C1301" s="38" t="str">
        <f>IFERROR(__xludf.DUMMYFUNCTION("""COMPUTED_VALUE"""),"")</f>
        <v/>
      </c>
    </row>
    <row r="1302">
      <c r="B1302" s="38"/>
      <c r="C1302" s="38" t="str">
        <f>IFERROR(__xludf.DUMMYFUNCTION("""COMPUTED_VALUE"""),"")</f>
        <v/>
      </c>
    </row>
    <row r="1303">
      <c r="B1303" s="38"/>
      <c r="C1303" s="38" t="str">
        <f>IFERROR(__xludf.DUMMYFUNCTION("""COMPUTED_VALUE"""),"")</f>
        <v/>
      </c>
    </row>
    <row r="1304">
      <c r="B1304" s="38"/>
      <c r="C1304" s="38" t="str">
        <f>IFERROR(__xludf.DUMMYFUNCTION("""COMPUTED_VALUE"""),"")</f>
        <v/>
      </c>
    </row>
    <row r="1305">
      <c r="B1305" s="38"/>
      <c r="C1305" s="38" t="str">
        <f>IFERROR(__xludf.DUMMYFUNCTION("""COMPUTED_VALUE"""),"")</f>
        <v/>
      </c>
    </row>
    <row r="1306">
      <c r="B1306" s="38"/>
      <c r="C1306" s="38" t="str">
        <f>IFERROR(__xludf.DUMMYFUNCTION("""COMPUTED_VALUE"""),"")</f>
        <v/>
      </c>
    </row>
    <row r="1307">
      <c r="B1307" s="38"/>
      <c r="C1307" s="38" t="str">
        <f>IFERROR(__xludf.DUMMYFUNCTION("""COMPUTED_VALUE"""),"")</f>
        <v/>
      </c>
    </row>
    <row r="1308">
      <c r="B1308" s="38"/>
      <c r="C1308" s="38" t="str">
        <f>IFERROR(__xludf.DUMMYFUNCTION("""COMPUTED_VALUE"""),"")</f>
        <v/>
      </c>
    </row>
    <row r="1309">
      <c r="B1309" s="38"/>
      <c r="C1309" s="38" t="str">
        <f>IFERROR(__xludf.DUMMYFUNCTION("""COMPUTED_VALUE"""),"")</f>
        <v/>
      </c>
    </row>
    <row r="1310">
      <c r="B1310" s="38"/>
      <c r="C1310" s="38" t="str">
        <f>IFERROR(__xludf.DUMMYFUNCTION("""COMPUTED_VALUE"""),"")</f>
        <v/>
      </c>
    </row>
    <row r="1311">
      <c r="B1311" s="38"/>
      <c r="C1311" s="38" t="str">
        <f>IFERROR(__xludf.DUMMYFUNCTION("""COMPUTED_VALUE"""),"")</f>
        <v/>
      </c>
    </row>
    <row r="1312">
      <c r="B1312" s="38"/>
      <c r="C1312" s="38" t="str">
        <f>IFERROR(__xludf.DUMMYFUNCTION("""COMPUTED_VALUE"""),"")</f>
        <v/>
      </c>
    </row>
    <row r="1313">
      <c r="B1313" s="38"/>
      <c r="C1313" s="38" t="str">
        <f>IFERROR(__xludf.DUMMYFUNCTION("""COMPUTED_VALUE"""),"")</f>
        <v/>
      </c>
    </row>
    <row r="1314">
      <c r="B1314" s="38"/>
      <c r="C1314" s="38" t="str">
        <f>IFERROR(__xludf.DUMMYFUNCTION("""COMPUTED_VALUE"""),"")</f>
        <v/>
      </c>
    </row>
    <row r="1315">
      <c r="B1315" s="38"/>
      <c r="C1315" s="38" t="str">
        <f>IFERROR(__xludf.DUMMYFUNCTION("""COMPUTED_VALUE"""),"")</f>
        <v/>
      </c>
    </row>
    <row r="1316">
      <c r="B1316" s="38"/>
      <c r="C1316" s="38" t="str">
        <f>IFERROR(__xludf.DUMMYFUNCTION("""COMPUTED_VALUE"""),"")</f>
        <v/>
      </c>
    </row>
    <row r="1317">
      <c r="B1317" s="38"/>
      <c r="C1317" s="38" t="str">
        <f>IFERROR(__xludf.DUMMYFUNCTION("""COMPUTED_VALUE"""),"")</f>
        <v/>
      </c>
    </row>
    <row r="1318">
      <c r="B1318" s="38"/>
      <c r="C1318" s="38" t="str">
        <f>IFERROR(__xludf.DUMMYFUNCTION("""COMPUTED_VALUE"""),"")</f>
        <v/>
      </c>
    </row>
    <row r="1319">
      <c r="B1319" s="38"/>
      <c r="C1319" s="38" t="str">
        <f>IFERROR(__xludf.DUMMYFUNCTION("""COMPUTED_VALUE"""),"")</f>
        <v/>
      </c>
    </row>
    <row r="1320">
      <c r="B1320" s="38"/>
      <c r="C1320" s="38" t="str">
        <f>IFERROR(__xludf.DUMMYFUNCTION("""COMPUTED_VALUE"""),"")</f>
        <v/>
      </c>
    </row>
    <row r="1321">
      <c r="B1321" s="38"/>
      <c r="C1321" s="38" t="str">
        <f>IFERROR(__xludf.DUMMYFUNCTION("""COMPUTED_VALUE"""),"")</f>
        <v/>
      </c>
    </row>
    <row r="1322">
      <c r="B1322" s="38"/>
      <c r="C1322" s="38" t="str">
        <f>IFERROR(__xludf.DUMMYFUNCTION("""COMPUTED_VALUE"""),"")</f>
        <v/>
      </c>
    </row>
    <row r="1323">
      <c r="B1323" s="38"/>
      <c r="C1323" s="38" t="str">
        <f>IFERROR(__xludf.DUMMYFUNCTION("""COMPUTED_VALUE"""),"")</f>
        <v/>
      </c>
    </row>
    <row r="1324">
      <c r="B1324" s="38"/>
      <c r="C1324" s="38" t="str">
        <f>IFERROR(__xludf.DUMMYFUNCTION("""COMPUTED_VALUE"""),"")</f>
        <v/>
      </c>
    </row>
    <row r="1325">
      <c r="B1325" s="38"/>
      <c r="C1325" s="38" t="str">
        <f>IFERROR(__xludf.DUMMYFUNCTION("""COMPUTED_VALUE"""),"")</f>
        <v/>
      </c>
    </row>
    <row r="1326">
      <c r="B1326" s="38"/>
      <c r="C1326" s="38" t="str">
        <f>IFERROR(__xludf.DUMMYFUNCTION("""COMPUTED_VALUE"""),"")</f>
        <v/>
      </c>
    </row>
    <row r="1327">
      <c r="B1327" s="38"/>
      <c r="C1327" s="38" t="str">
        <f>IFERROR(__xludf.DUMMYFUNCTION("""COMPUTED_VALUE"""),"")</f>
        <v/>
      </c>
    </row>
    <row r="1328">
      <c r="B1328" s="38"/>
      <c r="C1328" s="38" t="str">
        <f>IFERROR(__xludf.DUMMYFUNCTION("""COMPUTED_VALUE"""),"")</f>
        <v/>
      </c>
    </row>
    <row r="1329">
      <c r="B1329" s="38"/>
      <c r="C1329" s="38" t="str">
        <f>IFERROR(__xludf.DUMMYFUNCTION("""COMPUTED_VALUE"""),"")</f>
        <v/>
      </c>
    </row>
    <row r="1330">
      <c r="B1330" s="38"/>
      <c r="C1330" s="38" t="str">
        <f>IFERROR(__xludf.DUMMYFUNCTION("""COMPUTED_VALUE"""),"")</f>
        <v/>
      </c>
    </row>
    <row r="1331">
      <c r="B1331" s="38"/>
      <c r="C1331" s="38" t="str">
        <f>IFERROR(__xludf.DUMMYFUNCTION("""COMPUTED_VALUE"""),"")</f>
        <v/>
      </c>
    </row>
    <row r="1332">
      <c r="B1332" s="38"/>
      <c r="C1332" s="38" t="str">
        <f>IFERROR(__xludf.DUMMYFUNCTION("""COMPUTED_VALUE"""),"")</f>
        <v/>
      </c>
    </row>
    <row r="1333">
      <c r="B1333" s="38"/>
      <c r="C1333" s="38" t="str">
        <f>IFERROR(__xludf.DUMMYFUNCTION("""COMPUTED_VALUE"""),"")</f>
        <v/>
      </c>
    </row>
    <row r="1334">
      <c r="B1334" s="38"/>
      <c r="C1334" s="38" t="str">
        <f>IFERROR(__xludf.DUMMYFUNCTION("""COMPUTED_VALUE"""),"")</f>
        <v/>
      </c>
    </row>
    <row r="1335">
      <c r="B1335" s="38"/>
      <c r="C1335" s="38" t="str">
        <f>IFERROR(__xludf.DUMMYFUNCTION("""COMPUTED_VALUE"""),"")</f>
        <v/>
      </c>
    </row>
    <row r="1336">
      <c r="B1336" s="38"/>
      <c r="C1336" s="38" t="str">
        <f>IFERROR(__xludf.DUMMYFUNCTION("""COMPUTED_VALUE"""),"")</f>
        <v/>
      </c>
    </row>
    <row r="1337">
      <c r="B1337" s="38"/>
      <c r="C1337" s="38" t="str">
        <f>IFERROR(__xludf.DUMMYFUNCTION("""COMPUTED_VALUE"""),"")</f>
        <v/>
      </c>
    </row>
    <row r="1338">
      <c r="B1338" s="38"/>
      <c r="C1338" s="38" t="str">
        <f>IFERROR(__xludf.DUMMYFUNCTION("""COMPUTED_VALUE"""),"")</f>
        <v/>
      </c>
    </row>
    <row r="1339">
      <c r="B1339" s="38"/>
      <c r="C1339" s="38" t="str">
        <f>IFERROR(__xludf.DUMMYFUNCTION("""COMPUTED_VALUE"""),"")</f>
        <v/>
      </c>
    </row>
    <row r="1340">
      <c r="B1340" s="38"/>
      <c r="C1340" s="38" t="str">
        <f>IFERROR(__xludf.DUMMYFUNCTION("""COMPUTED_VALUE"""),"")</f>
        <v/>
      </c>
    </row>
    <row r="1341">
      <c r="B1341" s="38"/>
      <c r="C1341" s="38" t="str">
        <f>IFERROR(__xludf.DUMMYFUNCTION("""COMPUTED_VALUE"""),"")</f>
        <v/>
      </c>
    </row>
    <row r="1342">
      <c r="B1342" s="38"/>
      <c r="C1342" s="38" t="str">
        <f>IFERROR(__xludf.DUMMYFUNCTION("""COMPUTED_VALUE"""),"")</f>
        <v/>
      </c>
    </row>
    <row r="1343">
      <c r="B1343" s="38"/>
      <c r="C1343" s="38" t="str">
        <f>IFERROR(__xludf.DUMMYFUNCTION("""COMPUTED_VALUE"""),"")</f>
        <v/>
      </c>
    </row>
    <row r="1344">
      <c r="B1344" s="38"/>
      <c r="C1344" s="38" t="str">
        <f>IFERROR(__xludf.DUMMYFUNCTION("""COMPUTED_VALUE"""),"")</f>
        <v/>
      </c>
    </row>
    <row r="1345">
      <c r="B1345" s="38"/>
      <c r="C1345" s="38" t="str">
        <f>IFERROR(__xludf.DUMMYFUNCTION("""COMPUTED_VALUE"""),"")</f>
        <v/>
      </c>
    </row>
    <row r="1346">
      <c r="B1346" s="38"/>
      <c r="C1346" s="38" t="str">
        <f>IFERROR(__xludf.DUMMYFUNCTION("""COMPUTED_VALUE"""),"")</f>
        <v/>
      </c>
    </row>
    <row r="1347">
      <c r="B1347" s="38"/>
      <c r="C1347" s="38" t="str">
        <f>IFERROR(__xludf.DUMMYFUNCTION("""COMPUTED_VALUE"""),"")</f>
        <v/>
      </c>
    </row>
    <row r="1348">
      <c r="B1348" s="38"/>
      <c r="C1348" s="38" t="str">
        <f>IFERROR(__xludf.DUMMYFUNCTION("""COMPUTED_VALUE"""),"")</f>
        <v/>
      </c>
    </row>
    <row r="1349">
      <c r="B1349" s="38"/>
      <c r="C1349" s="38" t="str">
        <f>IFERROR(__xludf.DUMMYFUNCTION("""COMPUTED_VALUE"""),"")</f>
        <v/>
      </c>
    </row>
    <row r="1350">
      <c r="B1350" s="38"/>
      <c r="C1350" s="38" t="str">
        <f>IFERROR(__xludf.DUMMYFUNCTION("""COMPUTED_VALUE"""),"")</f>
        <v/>
      </c>
    </row>
    <row r="1351">
      <c r="B1351" s="38"/>
      <c r="C1351" s="38" t="str">
        <f>IFERROR(__xludf.DUMMYFUNCTION("""COMPUTED_VALUE"""),"")</f>
        <v/>
      </c>
    </row>
    <row r="1352">
      <c r="B1352" s="38"/>
      <c r="C1352" s="38" t="str">
        <f>IFERROR(__xludf.DUMMYFUNCTION("""COMPUTED_VALUE"""),"")</f>
        <v/>
      </c>
    </row>
    <row r="1353">
      <c r="B1353" s="38"/>
      <c r="C1353" s="38" t="str">
        <f>IFERROR(__xludf.DUMMYFUNCTION("""COMPUTED_VALUE"""),"")</f>
        <v/>
      </c>
    </row>
    <row r="1354">
      <c r="B1354" s="38"/>
      <c r="C1354" s="38" t="str">
        <f>IFERROR(__xludf.DUMMYFUNCTION("""COMPUTED_VALUE"""),"")</f>
        <v/>
      </c>
    </row>
    <row r="1355">
      <c r="B1355" s="38"/>
      <c r="C1355" s="38" t="str">
        <f>IFERROR(__xludf.DUMMYFUNCTION("""COMPUTED_VALUE"""),"")</f>
        <v/>
      </c>
    </row>
    <row r="1356">
      <c r="B1356" s="38"/>
      <c r="C1356" s="38" t="str">
        <f>IFERROR(__xludf.DUMMYFUNCTION("""COMPUTED_VALUE"""),"")</f>
        <v/>
      </c>
    </row>
    <row r="1357">
      <c r="B1357" s="38"/>
      <c r="C1357" s="38" t="str">
        <f>IFERROR(__xludf.DUMMYFUNCTION("""COMPUTED_VALUE"""),"")</f>
        <v/>
      </c>
    </row>
    <row r="1358">
      <c r="B1358" s="38"/>
      <c r="C1358" s="38" t="str">
        <f>IFERROR(__xludf.DUMMYFUNCTION("""COMPUTED_VALUE"""),"")</f>
        <v/>
      </c>
    </row>
    <row r="1359">
      <c r="B1359" s="38"/>
      <c r="C1359" s="38" t="str">
        <f>IFERROR(__xludf.DUMMYFUNCTION("""COMPUTED_VALUE"""),"")</f>
        <v/>
      </c>
    </row>
    <row r="1360">
      <c r="B1360" s="38"/>
      <c r="C1360" s="38" t="str">
        <f>IFERROR(__xludf.DUMMYFUNCTION("""COMPUTED_VALUE"""),"")</f>
        <v/>
      </c>
    </row>
    <row r="1361">
      <c r="B1361" s="38"/>
      <c r="C1361" s="38" t="str">
        <f>IFERROR(__xludf.DUMMYFUNCTION("""COMPUTED_VALUE"""),"")</f>
        <v/>
      </c>
    </row>
    <row r="1362">
      <c r="B1362" s="38"/>
      <c r="C1362" s="38" t="str">
        <f>IFERROR(__xludf.DUMMYFUNCTION("""COMPUTED_VALUE"""),"")</f>
        <v/>
      </c>
    </row>
    <row r="1363">
      <c r="B1363" s="38"/>
      <c r="C1363" s="38" t="str">
        <f>IFERROR(__xludf.DUMMYFUNCTION("""COMPUTED_VALUE"""),"")</f>
        <v/>
      </c>
    </row>
    <row r="1364">
      <c r="B1364" s="38"/>
      <c r="C1364" s="38" t="str">
        <f>IFERROR(__xludf.DUMMYFUNCTION("""COMPUTED_VALUE"""),"")</f>
        <v/>
      </c>
    </row>
    <row r="1365">
      <c r="B1365" s="38"/>
      <c r="C1365" s="38" t="str">
        <f>IFERROR(__xludf.DUMMYFUNCTION("""COMPUTED_VALUE"""),"")</f>
        <v/>
      </c>
    </row>
    <row r="1366">
      <c r="B1366" s="38"/>
      <c r="C1366" s="38" t="str">
        <f>IFERROR(__xludf.DUMMYFUNCTION("""COMPUTED_VALUE"""),"")</f>
        <v/>
      </c>
    </row>
    <row r="1367">
      <c r="B1367" s="38"/>
      <c r="C1367" s="38" t="str">
        <f>IFERROR(__xludf.DUMMYFUNCTION("""COMPUTED_VALUE"""),"")</f>
        <v/>
      </c>
    </row>
    <row r="1368">
      <c r="B1368" s="38"/>
      <c r="C1368" s="38" t="str">
        <f>IFERROR(__xludf.DUMMYFUNCTION("""COMPUTED_VALUE"""),"")</f>
        <v/>
      </c>
    </row>
    <row r="1369">
      <c r="B1369" s="38"/>
      <c r="C1369" s="38" t="str">
        <f>IFERROR(__xludf.DUMMYFUNCTION("""COMPUTED_VALUE"""),"")</f>
        <v/>
      </c>
    </row>
    <row r="1370">
      <c r="B1370" s="38"/>
      <c r="C1370" s="38" t="str">
        <f>IFERROR(__xludf.DUMMYFUNCTION("""COMPUTED_VALUE"""),"")</f>
        <v/>
      </c>
    </row>
    <row r="1371">
      <c r="B1371" s="38"/>
      <c r="C1371" s="38" t="str">
        <f>IFERROR(__xludf.DUMMYFUNCTION("""COMPUTED_VALUE"""),"")</f>
        <v/>
      </c>
    </row>
    <row r="1372">
      <c r="B1372" s="38"/>
      <c r="C1372" s="38" t="str">
        <f>IFERROR(__xludf.DUMMYFUNCTION("""COMPUTED_VALUE"""),"")</f>
        <v/>
      </c>
    </row>
    <row r="1373">
      <c r="B1373" s="38"/>
      <c r="C1373" s="38" t="str">
        <f>IFERROR(__xludf.DUMMYFUNCTION("""COMPUTED_VALUE"""),"")</f>
        <v/>
      </c>
    </row>
    <row r="1374">
      <c r="B1374" s="38"/>
      <c r="C1374" s="38" t="str">
        <f>IFERROR(__xludf.DUMMYFUNCTION("""COMPUTED_VALUE"""),"")</f>
        <v/>
      </c>
    </row>
    <row r="1375">
      <c r="B1375" s="38"/>
      <c r="C1375" s="38" t="str">
        <f>IFERROR(__xludf.DUMMYFUNCTION("""COMPUTED_VALUE"""),"")</f>
        <v/>
      </c>
    </row>
    <row r="1376">
      <c r="B1376" s="38"/>
      <c r="C1376" s="38" t="str">
        <f>IFERROR(__xludf.DUMMYFUNCTION("""COMPUTED_VALUE"""),"")</f>
        <v/>
      </c>
    </row>
    <row r="1377">
      <c r="B1377" s="38"/>
      <c r="C1377" s="38" t="str">
        <f>IFERROR(__xludf.DUMMYFUNCTION("""COMPUTED_VALUE"""),"")</f>
        <v/>
      </c>
    </row>
    <row r="1378">
      <c r="B1378" s="38"/>
      <c r="C1378" s="38" t="str">
        <f>IFERROR(__xludf.DUMMYFUNCTION("""COMPUTED_VALUE"""),"")</f>
        <v/>
      </c>
    </row>
    <row r="1379">
      <c r="B1379" s="38"/>
      <c r="C1379" s="38" t="str">
        <f>IFERROR(__xludf.DUMMYFUNCTION("""COMPUTED_VALUE"""),"")</f>
        <v/>
      </c>
    </row>
    <row r="1380">
      <c r="B1380" s="38"/>
      <c r="C1380" s="38" t="str">
        <f>IFERROR(__xludf.DUMMYFUNCTION("""COMPUTED_VALUE"""),"")</f>
        <v/>
      </c>
    </row>
    <row r="1381">
      <c r="B1381" s="38"/>
      <c r="C1381" s="38" t="str">
        <f>IFERROR(__xludf.DUMMYFUNCTION("""COMPUTED_VALUE"""),"")</f>
        <v/>
      </c>
    </row>
    <row r="1382">
      <c r="B1382" s="38"/>
      <c r="C1382" s="38" t="str">
        <f>IFERROR(__xludf.DUMMYFUNCTION("""COMPUTED_VALUE"""),"")</f>
        <v/>
      </c>
    </row>
    <row r="1383">
      <c r="B1383" s="38"/>
      <c r="C1383" s="38" t="str">
        <f>IFERROR(__xludf.DUMMYFUNCTION("""COMPUTED_VALUE"""),"")</f>
        <v/>
      </c>
    </row>
    <row r="1384">
      <c r="B1384" s="38"/>
      <c r="C1384" s="38" t="str">
        <f>IFERROR(__xludf.DUMMYFUNCTION("""COMPUTED_VALUE"""),"")</f>
        <v/>
      </c>
    </row>
    <row r="1385">
      <c r="B1385" s="38"/>
      <c r="C1385" s="38" t="str">
        <f>IFERROR(__xludf.DUMMYFUNCTION("""COMPUTED_VALUE"""),"")</f>
        <v/>
      </c>
    </row>
    <row r="1386">
      <c r="B1386" s="38"/>
      <c r="C1386" s="38" t="str">
        <f>IFERROR(__xludf.DUMMYFUNCTION("""COMPUTED_VALUE"""),"")</f>
        <v/>
      </c>
    </row>
    <row r="1387">
      <c r="B1387" s="38"/>
      <c r="C1387" s="38" t="str">
        <f>IFERROR(__xludf.DUMMYFUNCTION("""COMPUTED_VALUE"""),"")</f>
        <v/>
      </c>
    </row>
    <row r="1388">
      <c r="B1388" s="38"/>
      <c r="C1388" s="38" t="str">
        <f>IFERROR(__xludf.DUMMYFUNCTION("""COMPUTED_VALUE"""),"")</f>
        <v/>
      </c>
    </row>
    <row r="1389">
      <c r="B1389" s="38"/>
      <c r="C1389" s="38" t="str">
        <f>IFERROR(__xludf.DUMMYFUNCTION("""COMPUTED_VALUE"""),"")</f>
        <v/>
      </c>
    </row>
    <row r="1390">
      <c r="B1390" s="38"/>
      <c r="C1390" s="38" t="str">
        <f>IFERROR(__xludf.DUMMYFUNCTION("""COMPUTED_VALUE"""),"")</f>
        <v/>
      </c>
    </row>
    <row r="1391">
      <c r="B1391" s="38"/>
      <c r="C1391" s="38" t="str">
        <f>IFERROR(__xludf.DUMMYFUNCTION("""COMPUTED_VALUE"""),"")</f>
        <v/>
      </c>
    </row>
    <row r="1392">
      <c r="B1392" s="38"/>
      <c r="C1392" s="38" t="str">
        <f>IFERROR(__xludf.DUMMYFUNCTION("""COMPUTED_VALUE"""),"")</f>
        <v/>
      </c>
    </row>
    <row r="1393">
      <c r="B1393" s="38"/>
      <c r="C1393" s="38" t="str">
        <f>IFERROR(__xludf.DUMMYFUNCTION("""COMPUTED_VALUE"""),"")</f>
        <v/>
      </c>
    </row>
    <row r="1394">
      <c r="B1394" s="38"/>
      <c r="C1394" s="38" t="str">
        <f>IFERROR(__xludf.DUMMYFUNCTION("""COMPUTED_VALUE"""),"")</f>
        <v/>
      </c>
    </row>
    <row r="1395">
      <c r="B1395" s="38"/>
      <c r="C1395" s="38" t="str">
        <f>IFERROR(__xludf.DUMMYFUNCTION("""COMPUTED_VALUE"""),"")</f>
        <v/>
      </c>
    </row>
    <row r="1396">
      <c r="B1396" s="38"/>
      <c r="C1396" s="38" t="str">
        <f>IFERROR(__xludf.DUMMYFUNCTION("""COMPUTED_VALUE"""),"")</f>
        <v/>
      </c>
    </row>
    <row r="1397">
      <c r="B1397" s="38"/>
      <c r="C1397" s="38" t="str">
        <f>IFERROR(__xludf.DUMMYFUNCTION("""COMPUTED_VALUE"""),"")</f>
        <v/>
      </c>
    </row>
    <row r="1398">
      <c r="B1398" s="38"/>
      <c r="C1398" s="38" t="str">
        <f>IFERROR(__xludf.DUMMYFUNCTION("""COMPUTED_VALUE"""),"")</f>
        <v/>
      </c>
    </row>
    <row r="1399">
      <c r="B1399" s="38"/>
      <c r="C1399" s="38" t="str">
        <f>IFERROR(__xludf.DUMMYFUNCTION("""COMPUTED_VALUE"""),"")</f>
        <v/>
      </c>
    </row>
    <row r="1400">
      <c r="B1400" s="38"/>
      <c r="C1400" s="38" t="str">
        <f>IFERROR(__xludf.DUMMYFUNCTION("""COMPUTED_VALUE"""),"")</f>
        <v/>
      </c>
    </row>
    <row r="1401">
      <c r="B1401" s="38"/>
      <c r="C1401" s="38" t="str">
        <f>IFERROR(__xludf.DUMMYFUNCTION("""COMPUTED_VALUE"""),"")</f>
        <v/>
      </c>
    </row>
    <row r="1402">
      <c r="B1402" s="38"/>
      <c r="C1402" s="38" t="str">
        <f>IFERROR(__xludf.DUMMYFUNCTION("""COMPUTED_VALUE"""),"")</f>
        <v/>
      </c>
    </row>
    <row r="1403">
      <c r="B1403" s="38"/>
      <c r="C1403" s="38" t="str">
        <f>IFERROR(__xludf.DUMMYFUNCTION("""COMPUTED_VALUE"""),"")</f>
        <v/>
      </c>
    </row>
    <row r="1404">
      <c r="B1404" s="38"/>
      <c r="C1404" s="38" t="str">
        <f>IFERROR(__xludf.DUMMYFUNCTION("""COMPUTED_VALUE"""),"")</f>
        <v/>
      </c>
    </row>
    <row r="1405">
      <c r="B1405" s="38"/>
      <c r="C1405" s="38" t="str">
        <f>IFERROR(__xludf.DUMMYFUNCTION("""COMPUTED_VALUE"""),"")</f>
        <v/>
      </c>
    </row>
    <row r="1406">
      <c r="B1406" s="38"/>
      <c r="C1406" s="38" t="str">
        <f>IFERROR(__xludf.DUMMYFUNCTION("""COMPUTED_VALUE"""),"")</f>
        <v/>
      </c>
    </row>
    <row r="1407">
      <c r="B1407" s="38"/>
      <c r="C1407" s="38" t="str">
        <f>IFERROR(__xludf.DUMMYFUNCTION("""COMPUTED_VALUE"""),"")</f>
        <v/>
      </c>
    </row>
    <row r="1408">
      <c r="B1408" s="38"/>
      <c r="C1408" s="38" t="str">
        <f>IFERROR(__xludf.DUMMYFUNCTION("""COMPUTED_VALUE"""),"")</f>
        <v/>
      </c>
    </row>
    <row r="1409">
      <c r="B1409" s="38"/>
      <c r="C1409" s="38" t="str">
        <f>IFERROR(__xludf.DUMMYFUNCTION("""COMPUTED_VALUE"""),"")</f>
        <v/>
      </c>
    </row>
    <row r="1410">
      <c r="B1410" s="38"/>
      <c r="C1410" s="38" t="str">
        <f>IFERROR(__xludf.DUMMYFUNCTION("""COMPUTED_VALUE"""),"")</f>
        <v/>
      </c>
    </row>
    <row r="1411">
      <c r="B1411" s="38"/>
      <c r="C1411" s="38" t="str">
        <f>IFERROR(__xludf.DUMMYFUNCTION("""COMPUTED_VALUE"""),"")</f>
        <v/>
      </c>
    </row>
    <row r="1412">
      <c r="B1412" s="38"/>
      <c r="C1412" s="38" t="str">
        <f>IFERROR(__xludf.DUMMYFUNCTION("""COMPUTED_VALUE"""),"")</f>
        <v/>
      </c>
    </row>
    <row r="1413">
      <c r="B1413" s="38"/>
      <c r="C1413" s="38" t="str">
        <f>IFERROR(__xludf.DUMMYFUNCTION("""COMPUTED_VALUE"""),"")</f>
        <v/>
      </c>
    </row>
    <row r="1414">
      <c r="B1414" s="38"/>
      <c r="C1414" s="38" t="str">
        <f>IFERROR(__xludf.DUMMYFUNCTION("""COMPUTED_VALUE"""),"")</f>
        <v/>
      </c>
    </row>
    <row r="1415">
      <c r="B1415" s="38"/>
      <c r="C1415" s="38" t="str">
        <f>IFERROR(__xludf.DUMMYFUNCTION("""COMPUTED_VALUE"""),"")</f>
        <v/>
      </c>
    </row>
    <row r="1416">
      <c r="B1416" s="38"/>
      <c r="C1416" s="38" t="str">
        <f>IFERROR(__xludf.DUMMYFUNCTION("""COMPUTED_VALUE"""),"")</f>
        <v/>
      </c>
    </row>
    <row r="1417">
      <c r="B1417" s="38"/>
      <c r="C1417" s="38" t="str">
        <f>IFERROR(__xludf.DUMMYFUNCTION("""COMPUTED_VALUE"""),"")</f>
        <v/>
      </c>
    </row>
    <row r="1418">
      <c r="B1418" s="38"/>
      <c r="C1418" s="38" t="str">
        <f>IFERROR(__xludf.DUMMYFUNCTION("""COMPUTED_VALUE"""),"")</f>
        <v/>
      </c>
    </row>
    <row r="1419">
      <c r="B1419" s="38"/>
      <c r="C1419" s="38" t="str">
        <f>IFERROR(__xludf.DUMMYFUNCTION("""COMPUTED_VALUE"""),"")</f>
        <v/>
      </c>
    </row>
    <row r="1420">
      <c r="B1420" s="38"/>
      <c r="C1420" s="38" t="str">
        <f>IFERROR(__xludf.DUMMYFUNCTION("""COMPUTED_VALUE"""),"")</f>
        <v/>
      </c>
    </row>
    <row r="1421">
      <c r="B1421" s="38"/>
      <c r="C1421" s="38" t="str">
        <f>IFERROR(__xludf.DUMMYFUNCTION("""COMPUTED_VALUE"""),"")</f>
        <v/>
      </c>
    </row>
    <row r="1422">
      <c r="B1422" s="38"/>
      <c r="C1422" s="38" t="str">
        <f>IFERROR(__xludf.DUMMYFUNCTION("""COMPUTED_VALUE"""),"")</f>
        <v/>
      </c>
    </row>
    <row r="1423">
      <c r="B1423" s="38"/>
      <c r="C1423" s="38" t="str">
        <f>IFERROR(__xludf.DUMMYFUNCTION("""COMPUTED_VALUE"""),"")</f>
        <v/>
      </c>
    </row>
    <row r="1424">
      <c r="B1424" s="38"/>
      <c r="C1424" s="38" t="str">
        <f>IFERROR(__xludf.DUMMYFUNCTION("""COMPUTED_VALUE"""),"")</f>
        <v/>
      </c>
    </row>
    <row r="1425">
      <c r="B1425" s="38"/>
      <c r="C1425" s="38" t="str">
        <f>IFERROR(__xludf.DUMMYFUNCTION("""COMPUTED_VALUE"""),"")</f>
        <v/>
      </c>
    </row>
    <row r="1426">
      <c r="B1426" s="38"/>
      <c r="C1426" s="38" t="str">
        <f>IFERROR(__xludf.DUMMYFUNCTION("""COMPUTED_VALUE"""),"")</f>
        <v/>
      </c>
    </row>
    <row r="1427">
      <c r="B1427" s="38"/>
      <c r="C1427" s="38" t="str">
        <f>IFERROR(__xludf.DUMMYFUNCTION("""COMPUTED_VALUE"""),"")</f>
        <v/>
      </c>
    </row>
    <row r="1428">
      <c r="B1428" s="38"/>
      <c r="C1428" s="38" t="str">
        <f>IFERROR(__xludf.DUMMYFUNCTION("""COMPUTED_VALUE"""),"")</f>
        <v/>
      </c>
    </row>
    <row r="1429">
      <c r="B1429" s="38"/>
      <c r="C1429" s="38" t="str">
        <f>IFERROR(__xludf.DUMMYFUNCTION("""COMPUTED_VALUE"""),"")</f>
        <v/>
      </c>
    </row>
    <row r="1430">
      <c r="B1430" s="38"/>
      <c r="C1430" s="38" t="str">
        <f>IFERROR(__xludf.DUMMYFUNCTION("""COMPUTED_VALUE"""),"")</f>
        <v/>
      </c>
    </row>
    <row r="1431">
      <c r="B1431" s="38"/>
      <c r="C1431" s="38" t="str">
        <f>IFERROR(__xludf.DUMMYFUNCTION("""COMPUTED_VALUE"""),"")</f>
        <v/>
      </c>
    </row>
    <row r="1432">
      <c r="B1432" s="38"/>
      <c r="C1432" s="38" t="str">
        <f>IFERROR(__xludf.DUMMYFUNCTION("""COMPUTED_VALUE"""),"")</f>
        <v/>
      </c>
    </row>
    <row r="1433">
      <c r="B1433" s="38"/>
      <c r="C1433" s="38" t="str">
        <f>IFERROR(__xludf.DUMMYFUNCTION("""COMPUTED_VALUE"""),"")</f>
        <v/>
      </c>
    </row>
    <row r="1434">
      <c r="B1434" s="38"/>
      <c r="C1434" s="38" t="str">
        <f>IFERROR(__xludf.DUMMYFUNCTION("""COMPUTED_VALUE"""),"")</f>
        <v/>
      </c>
    </row>
    <row r="1435">
      <c r="B1435" s="38"/>
      <c r="C1435" s="38" t="str">
        <f>IFERROR(__xludf.DUMMYFUNCTION("""COMPUTED_VALUE"""),"")</f>
        <v/>
      </c>
    </row>
    <row r="1436">
      <c r="B1436" s="38"/>
      <c r="C1436" s="38" t="str">
        <f>IFERROR(__xludf.DUMMYFUNCTION("""COMPUTED_VALUE"""),"")</f>
        <v/>
      </c>
    </row>
    <row r="1437">
      <c r="B1437" s="38"/>
      <c r="C1437" s="38" t="str">
        <f>IFERROR(__xludf.DUMMYFUNCTION("""COMPUTED_VALUE"""),"")</f>
        <v/>
      </c>
    </row>
    <row r="1438">
      <c r="B1438" s="38"/>
      <c r="C1438" s="38" t="str">
        <f>IFERROR(__xludf.DUMMYFUNCTION("""COMPUTED_VALUE"""),"")</f>
        <v/>
      </c>
    </row>
    <row r="1439">
      <c r="B1439" s="38"/>
      <c r="C1439" s="38" t="str">
        <f>IFERROR(__xludf.DUMMYFUNCTION("""COMPUTED_VALUE"""),"")</f>
        <v/>
      </c>
    </row>
    <row r="1440">
      <c r="B1440" s="38"/>
      <c r="C1440" s="38" t="str">
        <f>IFERROR(__xludf.DUMMYFUNCTION("""COMPUTED_VALUE"""),"")</f>
        <v/>
      </c>
    </row>
    <row r="1441">
      <c r="B1441" s="38"/>
      <c r="C1441" s="38" t="str">
        <f>IFERROR(__xludf.DUMMYFUNCTION("""COMPUTED_VALUE"""),"")</f>
        <v/>
      </c>
    </row>
    <row r="1442">
      <c r="B1442" s="38"/>
      <c r="C1442" s="38" t="str">
        <f>IFERROR(__xludf.DUMMYFUNCTION("""COMPUTED_VALUE"""),"")</f>
        <v/>
      </c>
    </row>
    <row r="1443">
      <c r="B1443" s="38"/>
      <c r="C1443" s="38" t="str">
        <f>IFERROR(__xludf.DUMMYFUNCTION("""COMPUTED_VALUE"""),"")</f>
        <v/>
      </c>
    </row>
    <row r="1444">
      <c r="B1444" s="38"/>
      <c r="C1444" s="38" t="str">
        <f>IFERROR(__xludf.DUMMYFUNCTION("""COMPUTED_VALUE"""),"")</f>
        <v/>
      </c>
    </row>
    <row r="1445">
      <c r="B1445" s="38"/>
      <c r="C1445" s="38" t="str">
        <f>IFERROR(__xludf.DUMMYFUNCTION("""COMPUTED_VALUE"""),"")</f>
        <v/>
      </c>
    </row>
    <row r="1446">
      <c r="B1446" s="38"/>
      <c r="C1446" s="38" t="str">
        <f>IFERROR(__xludf.DUMMYFUNCTION("""COMPUTED_VALUE"""),"")</f>
        <v/>
      </c>
    </row>
    <row r="1447">
      <c r="B1447" s="38"/>
      <c r="C1447" s="38" t="str">
        <f>IFERROR(__xludf.DUMMYFUNCTION("""COMPUTED_VALUE"""),"")</f>
        <v/>
      </c>
    </row>
    <row r="1448">
      <c r="B1448" s="38"/>
      <c r="C1448" s="38" t="str">
        <f>IFERROR(__xludf.DUMMYFUNCTION("""COMPUTED_VALUE"""),"")</f>
        <v/>
      </c>
    </row>
    <row r="1449">
      <c r="B1449" s="38"/>
      <c r="C1449" s="38" t="str">
        <f>IFERROR(__xludf.DUMMYFUNCTION("""COMPUTED_VALUE"""),"")</f>
        <v/>
      </c>
    </row>
    <row r="1450">
      <c r="B1450" s="38"/>
      <c r="C1450" s="38" t="str">
        <f>IFERROR(__xludf.DUMMYFUNCTION("""COMPUTED_VALUE"""),"")</f>
        <v/>
      </c>
    </row>
    <row r="1451">
      <c r="B1451" s="38"/>
      <c r="C1451" s="38" t="str">
        <f>IFERROR(__xludf.DUMMYFUNCTION("""COMPUTED_VALUE"""),"")</f>
        <v/>
      </c>
    </row>
    <row r="1452">
      <c r="B1452" s="38"/>
      <c r="C1452" s="38" t="str">
        <f>IFERROR(__xludf.DUMMYFUNCTION("""COMPUTED_VALUE"""),"")</f>
        <v/>
      </c>
    </row>
    <row r="1453">
      <c r="B1453" s="38"/>
      <c r="C1453" s="38" t="str">
        <f>IFERROR(__xludf.DUMMYFUNCTION("""COMPUTED_VALUE"""),"")</f>
        <v/>
      </c>
    </row>
    <row r="1454">
      <c r="B1454" s="38"/>
      <c r="C1454" s="38" t="str">
        <f>IFERROR(__xludf.DUMMYFUNCTION("""COMPUTED_VALUE"""),"")</f>
        <v/>
      </c>
    </row>
    <row r="1455">
      <c r="B1455" s="38"/>
      <c r="C1455" s="38" t="str">
        <f>IFERROR(__xludf.DUMMYFUNCTION("""COMPUTED_VALUE"""),"")</f>
        <v/>
      </c>
    </row>
    <row r="1456">
      <c r="B1456" s="38"/>
      <c r="C1456" s="38" t="str">
        <f>IFERROR(__xludf.DUMMYFUNCTION("""COMPUTED_VALUE"""),"")</f>
        <v/>
      </c>
    </row>
    <row r="1457">
      <c r="B1457" s="38"/>
      <c r="C1457" s="38" t="str">
        <f>IFERROR(__xludf.DUMMYFUNCTION("""COMPUTED_VALUE"""),"")</f>
        <v/>
      </c>
    </row>
    <row r="1458">
      <c r="B1458" s="38"/>
      <c r="C1458" s="38" t="str">
        <f>IFERROR(__xludf.DUMMYFUNCTION("""COMPUTED_VALUE"""),"")</f>
        <v/>
      </c>
    </row>
    <row r="1459">
      <c r="B1459" s="38"/>
      <c r="C1459" s="38" t="str">
        <f>IFERROR(__xludf.DUMMYFUNCTION("""COMPUTED_VALUE"""),"")</f>
        <v/>
      </c>
    </row>
    <row r="1460">
      <c r="B1460" s="38"/>
      <c r="C1460" s="38" t="str">
        <f>IFERROR(__xludf.DUMMYFUNCTION("""COMPUTED_VALUE"""),"")</f>
        <v/>
      </c>
    </row>
    <row r="1461">
      <c r="B1461" s="38"/>
      <c r="C1461" s="38" t="str">
        <f>IFERROR(__xludf.DUMMYFUNCTION("""COMPUTED_VALUE"""),"")</f>
        <v/>
      </c>
    </row>
    <row r="1462">
      <c r="B1462" s="38"/>
      <c r="C1462" s="38" t="str">
        <f>IFERROR(__xludf.DUMMYFUNCTION("""COMPUTED_VALUE"""),"")</f>
        <v/>
      </c>
    </row>
    <row r="1463">
      <c r="B1463" s="38"/>
      <c r="C1463" s="38" t="str">
        <f>IFERROR(__xludf.DUMMYFUNCTION("""COMPUTED_VALUE"""),"")</f>
        <v/>
      </c>
    </row>
    <row r="1464">
      <c r="B1464" s="38"/>
      <c r="C1464" s="38" t="str">
        <f>IFERROR(__xludf.DUMMYFUNCTION("""COMPUTED_VALUE"""),"")</f>
        <v/>
      </c>
    </row>
    <row r="1465">
      <c r="B1465" s="38"/>
      <c r="C1465" s="38" t="str">
        <f>IFERROR(__xludf.DUMMYFUNCTION("""COMPUTED_VALUE"""),"")</f>
        <v/>
      </c>
    </row>
    <row r="1466">
      <c r="B1466" s="38"/>
      <c r="C1466" s="38" t="str">
        <f>IFERROR(__xludf.DUMMYFUNCTION("""COMPUTED_VALUE"""),"")</f>
        <v/>
      </c>
    </row>
    <row r="1467">
      <c r="B1467" s="38"/>
      <c r="C1467" s="38" t="str">
        <f>IFERROR(__xludf.DUMMYFUNCTION("""COMPUTED_VALUE"""),"")</f>
        <v/>
      </c>
    </row>
    <row r="1468">
      <c r="B1468" s="38"/>
      <c r="C1468" s="38" t="str">
        <f>IFERROR(__xludf.DUMMYFUNCTION("""COMPUTED_VALUE"""),"")</f>
        <v/>
      </c>
    </row>
    <row r="1469">
      <c r="B1469" s="38"/>
      <c r="C1469" s="38" t="str">
        <f>IFERROR(__xludf.DUMMYFUNCTION("""COMPUTED_VALUE"""),"")</f>
        <v/>
      </c>
    </row>
    <row r="1470">
      <c r="B1470" s="38"/>
      <c r="C1470" s="38" t="str">
        <f>IFERROR(__xludf.DUMMYFUNCTION("""COMPUTED_VALUE"""),"")</f>
        <v/>
      </c>
    </row>
    <row r="1471">
      <c r="B1471" s="38"/>
      <c r="C1471" s="38" t="str">
        <f>IFERROR(__xludf.DUMMYFUNCTION("""COMPUTED_VALUE"""),"")</f>
        <v/>
      </c>
    </row>
    <row r="1472">
      <c r="B1472" s="38"/>
      <c r="C1472" s="38" t="str">
        <f>IFERROR(__xludf.DUMMYFUNCTION("""COMPUTED_VALUE"""),"")</f>
        <v/>
      </c>
    </row>
    <row r="1473">
      <c r="B1473" s="38"/>
      <c r="C1473" s="38" t="str">
        <f>IFERROR(__xludf.DUMMYFUNCTION("""COMPUTED_VALUE"""),"")</f>
        <v/>
      </c>
    </row>
    <row r="1474">
      <c r="B1474" s="38"/>
      <c r="C1474" s="38" t="str">
        <f>IFERROR(__xludf.DUMMYFUNCTION("""COMPUTED_VALUE"""),"")</f>
        <v/>
      </c>
    </row>
    <row r="1475">
      <c r="B1475" s="38"/>
      <c r="C1475" s="38" t="str">
        <f>IFERROR(__xludf.DUMMYFUNCTION("""COMPUTED_VALUE"""),"")</f>
        <v/>
      </c>
    </row>
    <row r="1476">
      <c r="B1476" s="38"/>
      <c r="C1476" s="38" t="str">
        <f>IFERROR(__xludf.DUMMYFUNCTION("""COMPUTED_VALUE"""),"")</f>
        <v/>
      </c>
    </row>
    <row r="1477">
      <c r="B1477" s="38"/>
      <c r="C1477" s="38" t="str">
        <f>IFERROR(__xludf.DUMMYFUNCTION("""COMPUTED_VALUE"""),"")</f>
        <v/>
      </c>
    </row>
    <row r="1478">
      <c r="B1478" s="38"/>
      <c r="C1478" s="38" t="str">
        <f>IFERROR(__xludf.DUMMYFUNCTION("""COMPUTED_VALUE"""),"")</f>
        <v/>
      </c>
    </row>
    <row r="1479">
      <c r="B1479" s="38"/>
      <c r="C1479" s="38" t="str">
        <f>IFERROR(__xludf.DUMMYFUNCTION("""COMPUTED_VALUE"""),"")</f>
        <v/>
      </c>
    </row>
    <row r="1480">
      <c r="B1480" s="38"/>
      <c r="C1480" s="38" t="str">
        <f>IFERROR(__xludf.DUMMYFUNCTION("""COMPUTED_VALUE"""),"")</f>
        <v/>
      </c>
    </row>
    <row r="1481">
      <c r="B1481" s="38"/>
      <c r="C1481" s="38" t="str">
        <f>IFERROR(__xludf.DUMMYFUNCTION("""COMPUTED_VALUE"""),"")</f>
        <v/>
      </c>
    </row>
    <row r="1482">
      <c r="B1482" s="38"/>
      <c r="C1482" s="38" t="str">
        <f>IFERROR(__xludf.DUMMYFUNCTION("""COMPUTED_VALUE"""),"")</f>
        <v/>
      </c>
    </row>
    <row r="1483">
      <c r="B1483" s="38"/>
      <c r="C1483" s="38" t="str">
        <f>IFERROR(__xludf.DUMMYFUNCTION("""COMPUTED_VALUE"""),"")</f>
        <v/>
      </c>
    </row>
    <row r="1484">
      <c r="B1484" s="38"/>
      <c r="C1484" s="38" t="str">
        <f>IFERROR(__xludf.DUMMYFUNCTION("""COMPUTED_VALUE"""),"")</f>
        <v/>
      </c>
    </row>
    <row r="1485">
      <c r="B1485" s="38"/>
      <c r="C1485" s="38" t="str">
        <f>IFERROR(__xludf.DUMMYFUNCTION("""COMPUTED_VALUE"""),"")</f>
        <v/>
      </c>
    </row>
    <row r="1486">
      <c r="B1486" s="38"/>
      <c r="C1486" s="38" t="str">
        <f>IFERROR(__xludf.DUMMYFUNCTION("""COMPUTED_VALUE"""),"")</f>
        <v/>
      </c>
    </row>
    <row r="1487">
      <c r="B1487" s="38"/>
      <c r="C1487" s="38" t="str">
        <f>IFERROR(__xludf.DUMMYFUNCTION("""COMPUTED_VALUE"""),"")</f>
        <v/>
      </c>
    </row>
    <row r="1488">
      <c r="B1488" s="38"/>
      <c r="C1488" s="38" t="str">
        <f>IFERROR(__xludf.DUMMYFUNCTION("""COMPUTED_VALUE"""),"")</f>
        <v/>
      </c>
    </row>
    <row r="1489">
      <c r="B1489" s="38"/>
      <c r="C1489" s="38" t="str">
        <f>IFERROR(__xludf.DUMMYFUNCTION("""COMPUTED_VALUE"""),"")</f>
        <v/>
      </c>
    </row>
    <row r="1490">
      <c r="B1490" s="38"/>
      <c r="C1490" s="38" t="str">
        <f>IFERROR(__xludf.DUMMYFUNCTION("""COMPUTED_VALUE"""),"")</f>
        <v/>
      </c>
    </row>
    <row r="1491">
      <c r="B1491" s="38"/>
      <c r="C1491" s="38" t="str">
        <f>IFERROR(__xludf.DUMMYFUNCTION("""COMPUTED_VALUE"""),"")</f>
        <v/>
      </c>
    </row>
    <row r="1492">
      <c r="B1492" s="38"/>
      <c r="C1492" s="38" t="str">
        <f>IFERROR(__xludf.DUMMYFUNCTION("""COMPUTED_VALUE"""),"")</f>
        <v/>
      </c>
    </row>
    <row r="1493">
      <c r="B1493" s="38"/>
      <c r="C1493" s="38" t="str">
        <f>IFERROR(__xludf.DUMMYFUNCTION("""COMPUTED_VALUE"""),"")</f>
        <v/>
      </c>
    </row>
    <row r="1494">
      <c r="B1494" s="38"/>
      <c r="C1494" s="38" t="str">
        <f>IFERROR(__xludf.DUMMYFUNCTION("""COMPUTED_VALUE"""),"")</f>
        <v/>
      </c>
    </row>
    <row r="1495">
      <c r="B1495" s="38"/>
      <c r="C1495" s="38" t="str">
        <f>IFERROR(__xludf.DUMMYFUNCTION("""COMPUTED_VALUE"""),"")</f>
        <v/>
      </c>
    </row>
    <row r="1496">
      <c r="B1496" s="38"/>
      <c r="C1496" s="38" t="str">
        <f>IFERROR(__xludf.DUMMYFUNCTION("""COMPUTED_VALUE"""),"")</f>
        <v/>
      </c>
    </row>
    <row r="1497">
      <c r="B1497" s="38"/>
      <c r="C1497" s="38" t="str">
        <f>IFERROR(__xludf.DUMMYFUNCTION("""COMPUTED_VALUE"""),"")</f>
        <v/>
      </c>
    </row>
    <row r="1498">
      <c r="B1498" s="38"/>
      <c r="C1498" s="38" t="str">
        <f>IFERROR(__xludf.DUMMYFUNCTION("""COMPUTED_VALUE"""),"")</f>
        <v/>
      </c>
    </row>
    <row r="1499">
      <c r="B1499" s="38"/>
      <c r="C1499" s="38" t="str">
        <f>IFERROR(__xludf.DUMMYFUNCTION("""COMPUTED_VALUE"""),"")</f>
        <v/>
      </c>
    </row>
    <row r="1500">
      <c r="B1500" s="38"/>
      <c r="C1500" s="38" t="str">
        <f>IFERROR(__xludf.DUMMYFUNCTION("""COMPUTED_VALUE"""),"")</f>
        <v/>
      </c>
    </row>
    <row r="1501">
      <c r="B1501" s="38"/>
      <c r="C1501" s="38" t="str">
        <f>IFERROR(__xludf.DUMMYFUNCTION("""COMPUTED_VALUE"""),"")</f>
        <v/>
      </c>
    </row>
  </sheetData>
  <conditionalFormatting sqref="C2:C1501">
    <cfRule type="containsText" dxfId="13" priority="1" stopIfTrue="1" operator="containsText" text="ĐỦ HÀNG">
      <formula>NOT(ISERROR(SEARCH(("ĐỦ HÀNG"),(C2))))</formula>
    </cfRule>
  </conditionalFormatting>
  <conditionalFormatting sqref="C2:C1501">
    <cfRule type="containsText" dxfId="11" priority="2" stopIfTrue="1" operator="containsText" text="THIẾU">
      <formula>NOT(ISERROR(SEARCH(("THIẾU"),(C2))))</formula>
    </cfRule>
  </conditionalFormatting>
  <conditionalFormatting sqref="C2:C1501">
    <cfRule type="containsText" dxfId="13" priority="3" stopIfTrue="1" operator="containsText" text="ĐỦ HÀNG">
      <formula>NOT(ISERROR(SEARCH(("ĐỦ HÀNG"),(C2))))</formula>
    </cfRule>
  </conditionalFormatting>
  <conditionalFormatting sqref="C2:C1501">
    <cfRule type="containsText" dxfId="11" priority="4" stopIfTrue="1" operator="containsText" text="THIẾU">
      <formula>NOT(ISERROR(SEARCH(("THIẾU"),(C2))))</formula>
    </cfRule>
  </conditionalFormatting>
  <conditionalFormatting sqref="C2:C1501">
    <cfRule type="containsText" dxfId="13" priority="5" stopIfTrue="1" operator="containsText" text="ĐỦ HÀNG">
      <formula>NOT(ISERROR(SEARCH(("ĐỦ HÀNG"),(C2))))</formula>
    </cfRule>
  </conditionalFormatting>
  <conditionalFormatting sqref="C2:C1501">
    <cfRule type="containsText" dxfId="11" priority="6" stopIfTrue="1" operator="containsText" text="THIẾU">
      <formula>NOT(ISERROR(SEARCH(("THIẾU"),(C2))))</formula>
    </cfRule>
  </conditionalFormatting>
  <dataValidations>
    <dataValidation type="custom" allowBlank="1" showDropDown="1" sqref="B2:B600">
      <formula1>AND(ISNUMBER(B2),(NOT(OR(NOT(ISERROR(DATEVALUE(B2))), AND(ISNUMBER(B2), LEFT(CELL("format", B2))="D")))))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25.13"/>
    <col customWidth="1" min="3" max="3" width="14.38"/>
    <col customWidth="1" min="4" max="4" width="15.38"/>
    <col customWidth="1" min="5" max="5" width="18.88"/>
    <col customWidth="1" min="6" max="6" width="15.63"/>
    <col customWidth="1" min="7" max="7" width="18.75"/>
    <col customWidth="1" min="8" max="8" width="36.88"/>
    <col customWidth="1" min="9" max="9" width="13.88"/>
  </cols>
  <sheetData>
    <row r="1" ht="22.5" customHeight="1">
      <c r="A1" s="68" t="s">
        <v>2</v>
      </c>
      <c r="B1" s="68" t="s">
        <v>2380</v>
      </c>
      <c r="C1" s="68" t="s">
        <v>2381</v>
      </c>
      <c r="D1" s="68" t="s">
        <v>2382</v>
      </c>
      <c r="E1" s="68" t="s">
        <v>2383</v>
      </c>
      <c r="F1" s="68" t="s">
        <v>2384</v>
      </c>
      <c r="G1" s="68" t="s">
        <v>2345</v>
      </c>
      <c r="H1" s="68" t="s">
        <v>2385</v>
      </c>
      <c r="I1" s="68" t="s">
        <v>2386</v>
      </c>
      <c r="J1" s="68" t="s">
        <v>2387</v>
      </c>
      <c r="K1" s="43" t="s">
        <v>2388</v>
      </c>
    </row>
    <row r="2" ht="22.5" customHeight="1">
      <c r="A2" s="44" t="s">
        <v>378</v>
      </c>
      <c r="B2" s="44" t="s">
        <v>377</v>
      </c>
      <c r="C2" s="69">
        <v>750.0</v>
      </c>
      <c r="D2" s="69">
        <v>350.0</v>
      </c>
      <c r="E2" s="69">
        <v>400.0</v>
      </c>
      <c r="F2" s="70">
        <v>0.5333333333333333</v>
      </c>
      <c r="G2" s="8" t="s">
        <v>46</v>
      </c>
      <c r="H2" s="44" t="s">
        <v>2389</v>
      </c>
      <c r="I2" s="69">
        <v>129.0</v>
      </c>
      <c r="J2" s="8" t="s">
        <v>2390</v>
      </c>
      <c r="K2" s="71" t="s">
        <v>2391</v>
      </c>
    </row>
    <row r="3" ht="22.5" customHeight="1">
      <c r="A3" s="72">
        <v>8876.0</v>
      </c>
      <c r="B3" s="44" t="s">
        <v>196</v>
      </c>
      <c r="C3" s="69">
        <v>990.0</v>
      </c>
      <c r="D3" s="69">
        <v>500.0</v>
      </c>
      <c r="E3" s="69">
        <v>490.0</v>
      </c>
      <c r="F3" s="70">
        <v>0.494949494949495</v>
      </c>
      <c r="G3" s="8" t="s">
        <v>2392</v>
      </c>
      <c r="H3" s="44" t="s">
        <v>2393</v>
      </c>
      <c r="I3" s="69">
        <v>70.0</v>
      </c>
      <c r="J3" s="8" t="s">
        <v>2390</v>
      </c>
      <c r="K3" s="46"/>
    </row>
    <row r="4" ht="22.5" customHeight="1">
      <c r="A4" s="44" t="s">
        <v>269</v>
      </c>
      <c r="B4" s="44" t="s">
        <v>268</v>
      </c>
      <c r="C4" s="69">
        <v>1990.0</v>
      </c>
      <c r="D4" s="69">
        <v>1340.0</v>
      </c>
      <c r="E4" s="69">
        <v>650.0</v>
      </c>
      <c r="F4" s="70">
        <v>0.32663316582914576</v>
      </c>
      <c r="G4" s="8" t="s">
        <v>2394</v>
      </c>
      <c r="H4" s="44" t="s">
        <v>2395</v>
      </c>
      <c r="I4" s="69">
        <v>67.0</v>
      </c>
      <c r="J4" s="8" t="s">
        <v>2396</v>
      </c>
      <c r="K4" s="46"/>
    </row>
    <row r="5" ht="22.5" customHeight="1">
      <c r="A5" s="72">
        <v>8748.0</v>
      </c>
      <c r="B5" s="44" t="s">
        <v>97</v>
      </c>
      <c r="C5" s="69">
        <v>1800.0</v>
      </c>
      <c r="D5" s="69">
        <v>1400.0</v>
      </c>
      <c r="E5" s="69">
        <v>400.0</v>
      </c>
      <c r="F5" s="70">
        <v>0.2222222222222222</v>
      </c>
      <c r="G5" s="8" t="s">
        <v>2397</v>
      </c>
      <c r="H5" s="44" t="s">
        <v>58</v>
      </c>
      <c r="I5" s="69">
        <v>55.0</v>
      </c>
      <c r="J5" s="8" t="s">
        <v>2398</v>
      </c>
      <c r="K5" s="46"/>
    </row>
    <row r="6" ht="22.5" customHeight="1">
      <c r="A6" s="72">
        <v>8740.0</v>
      </c>
      <c r="B6" s="44" t="s">
        <v>234</v>
      </c>
      <c r="C6" s="69">
        <v>1600.0</v>
      </c>
      <c r="D6" s="69">
        <v>1000.0</v>
      </c>
      <c r="E6" s="69">
        <v>600.0</v>
      </c>
      <c r="F6" s="70">
        <v>0.375</v>
      </c>
      <c r="G6" s="8" t="s">
        <v>2392</v>
      </c>
      <c r="H6" s="44" t="s">
        <v>2399</v>
      </c>
      <c r="I6" s="69">
        <v>45.0</v>
      </c>
      <c r="J6" s="8" t="s">
        <v>2400</v>
      </c>
      <c r="K6" s="46"/>
    </row>
    <row r="7" ht="22.5" customHeight="1">
      <c r="A7" s="72">
        <v>8886.0</v>
      </c>
      <c r="B7" s="44" t="s">
        <v>11</v>
      </c>
      <c r="C7" s="69">
        <v>1090.0</v>
      </c>
      <c r="D7" s="69">
        <v>650.0</v>
      </c>
      <c r="E7" s="69">
        <v>610.0</v>
      </c>
      <c r="F7" s="70">
        <v>0.5596330275229358</v>
      </c>
      <c r="G7" s="8" t="s">
        <v>2392</v>
      </c>
      <c r="H7" s="44" t="s">
        <v>2401</v>
      </c>
      <c r="I7" s="69">
        <v>41.0</v>
      </c>
      <c r="J7" s="8" t="s">
        <v>2390</v>
      </c>
      <c r="K7" s="46"/>
    </row>
    <row r="8" ht="22.5" customHeight="1">
      <c r="A8" s="72">
        <v>81813.0</v>
      </c>
      <c r="B8" s="44" t="s">
        <v>336</v>
      </c>
      <c r="C8" s="69">
        <v>1100.0</v>
      </c>
      <c r="D8" s="69">
        <v>600.0</v>
      </c>
      <c r="E8" s="69">
        <v>525.0</v>
      </c>
      <c r="F8" s="70">
        <v>0.4772727272727273</v>
      </c>
      <c r="G8" s="8" t="s">
        <v>46</v>
      </c>
      <c r="H8" s="44" t="s">
        <v>2402</v>
      </c>
      <c r="I8" s="69">
        <v>33.0</v>
      </c>
      <c r="J8" s="8" t="s">
        <v>2390</v>
      </c>
      <c r="K8" s="46"/>
    </row>
    <row r="9" ht="22.5" customHeight="1">
      <c r="A9" s="72">
        <v>8865.0</v>
      </c>
      <c r="B9" s="44" t="s">
        <v>57</v>
      </c>
      <c r="C9" s="69">
        <v>2500.0</v>
      </c>
      <c r="D9" s="69">
        <v>2000.0</v>
      </c>
      <c r="E9" s="69">
        <v>500.0</v>
      </c>
      <c r="F9" s="70">
        <v>0.2</v>
      </c>
      <c r="G9" s="8" t="s">
        <v>2397</v>
      </c>
      <c r="H9" s="44" t="s">
        <v>58</v>
      </c>
      <c r="I9" s="69">
        <v>21.0</v>
      </c>
      <c r="J9" s="8" t="s">
        <v>2398</v>
      </c>
      <c r="K9" s="46"/>
    </row>
    <row r="10" ht="22.5" customHeight="1">
      <c r="A10" s="72">
        <v>9369.0</v>
      </c>
      <c r="B10" s="44" t="s">
        <v>182</v>
      </c>
      <c r="C10" s="69">
        <v>2600.0</v>
      </c>
      <c r="D10" s="69">
        <v>2000.0</v>
      </c>
      <c r="E10" s="69">
        <v>600.0</v>
      </c>
      <c r="F10" s="70">
        <v>0.23076923076923078</v>
      </c>
      <c r="G10" s="8" t="s">
        <v>2392</v>
      </c>
      <c r="H10" s="44" t="s">
        <v>58</v>
      </c>
      <c r="I10" s="69">
        <v>20.0</v>
      </c>
      <c r="J10" s="8" t="s">
        <v>2398</v>
      </c>
      <c r="K10" s="46"/>
    </row>
    <row r="11" ht="22.5" customHeight="1">
      <c r="A11" s="72">
        <v>8867.0</v>
      </c>
      <c r="B11" s="44" t="s">
        <v>229</v>
      </c>
      <c r="C11" s="69">
        <v>1200.0</v>
      </c>
      <c r="D11" s="69">
        <v>700.0</v>
      </c>
      <c r="E11" s="69">
        <v>500.0</v>
      </c>
      <c r="F11" s="70">
        <v>0.4166666666666667</v>
      </c>
      <c r="G11" s="8" t="s">
        <v>2392</v>
      </c>
      <c r="H11" s="44" t="s">
        <v>2403</v>
      </c>
      <c r="I11" s="69">
        <v>17.0</v>
      </c>
      <c r="J11" s="8" t="s">
        <v>2390</v>
      </c>
      <c r="K11" s="46"/>
    </row>
    <row r="12" ht="22.5" customHeight="1">
      <c r="A12" s="72">
        <v>8319.0</v>
      </c>
      <c r="B12" s="44" t="s">
        <v>152</v>
      </c>
      <c r="C12" s="69">
        <v>1900.0</v>
      </c>
      <c r="D12" s="69">
        <v>1420.0</v>
      </c>
      <c r="E12" s="69">
        <v>480.0</v>
      </c>
      <c r="F12" s="70">
        <v>0.25263157894736843</v>
      </c>
      <c r="G12" s="8" t="s">
        <v>2392</v>
      </c>
      <c r="H12" s="44" t="s">
        <v>58</v>
      </c>
      <c r="I12" s="69">
        <v>15.0</v>
      </c>
      <c r="J12" s="8" t="s">
        <v>2398</v>
      </c>
      <c r="K12" s="46"/>
    </row>
    <row r="13" ht="22.5" customHeight="1">
      <c r="A13" s="72">
        <v>7957.0</v>
      </c>
      <c r="B13" s="44" t="s">
        <v>223</v>
      </c>
      <c r="C13" s="69">
        <v>1400.0</v>
      </c>
      <c r="D13" s="69">
        <v>900.0</v>
      </c>
      <c r="E13" s="69">
        <v>900.0</v>
      </c>
      <c r="F13" s="70">
        <v>0.6428571428571429</v>
      </c>
      <c r="G13" s="8" t="s">
        <v>2392</v>
      </c>
      <c r="H13" s="44" t="s">
        <v>2404</v>
      </c>
      <c r="I13" s="69">
        <v>13.0</v>
      </c>
      <c r="J13" s="8" t="s">
        <v>2398</v>
      </c>
      <c r="K13" s="46"/>
    </row>
    <row r="14" ht="22.5" customHeight="1">
      <c r="A14" s="72">
        <v>5709.0</v>
      </c>
      <c r="B14" s="44" t="s">
        <v>352</v>
      </c>
      <c r="C14" s="69">
        <v>2350.0</v>
      </c>
      <c r="D14" s="69">
        <v>1650.0</v>
      </c>
      <c r="E14" s="69">
        <v>700.0</v>
      </c>
      <c r="F14" s="70">
        <v>0.2978723404255319</v>
      </c>
      <c r="G14" s="8" t="s">
        <v>2397</v>
      </c>
      <c r="H14" s="44" t="s">
        <v>340</v>
      </c>
      <c r="I14" s="69">
        <v>12.0</v>
      </c>
      <c r="J14" s="8" t="s">
        <v>2398</v>
      </c>
      <c r="K14" s="46"/>
    </row>
    <row r="15" ht="22.5" customHeight="1">
      <c r="A15" s="72">
        <v>9094.0</v>
      </c>
      <c r="B15" s="44" t="s">
        <v>365</v>
      </c>
      <c r="C15" s="69">
        <v>2400.0</v>
      </c>
      <c r="D15" s="69">
        <v>1700.0</v>
      </c>
      <c r="E15" s="69">
        <v>700.0</v>
      </c>
      <c r="F15" s="70">
        <v>0.2916666666666667</v>
      </c>
      <c r="G15" s="8" t="s">
        <v>2392</v>
      </c>
      <c r="H15" s="44" t="s">
        <v>2405</v>
      </c>
      <c r="I15" s="69">
        <v>12.0</v>
      </c>
      <c r="J15" s="8" t="s">
        <v>2406</v>
      </c>
      <c r="K15" s="46"/>
    </row>
    <row r="16" ht="22.5" customHeight="1">
      <c r="A16" s="72">
        <v>7249.0</v>
      </c>
      <c r="B16" s="44" t="s">
        <v>173</v>
      </c>
      <c r="C16" s="69">
        <v>2300.0</v>
      </c>
      <c r="D16" s="69">
        <v>1800.0</v>
      </c>
      <c r="E16" s="69">
        <v>1800.0</v>
      </c>
      <c r="F16" s="70">
        <v>0.782608695652174</v>
      </c>
      <c r="G16" s="8" t="s">
        <v>2392</v>
      </c>
      <c r="H16" s="44" t="s">
        <v>58</v>
      </c>
      <c r="I16" s="69">
        <v>9.0</v>
      </c>
      <c r="J16" s="8" t="s">
        <v>2398</v>
      </c>
      <c r="K16" s="46"/>
    </row>
    <row r="17" ht="22.5" customHeight="1">
      <c r="A17" s="72">
        <v>7739.0</v>
      </c>
      <c r="B17" s="44" t="s">
        <v>83</v>
      </c>
      <c r="C17" s="69">
        <v>1800.0</v>
      </c>
      <c r="D17" s="69">
        <v>1300.0</v>
      </c>
      <c r="E17" s="69">
        <v>1200.0</v>
      </c>
      <c r="F17" s="70">
        <v>0.6666666666666666</v>
      </c>
      <c r="G17" s="8" t="s">
        <v>2392</v>
      </c>
      <c r="H17" s="44" t="s">
        <v>2407</v>
      </c>
      <c r="I17" s="69">
        <v>7.0</v>
      </c>
      <c r="J17" s="8" t="s">
        <v>2398</v>
      </c>
      <c r="K17" s="46"/>
    </row>
    <row r="18" ht="22.5" customHeight="1">
      <c r="A18" s="72">
        <v>7398.0</v>
      </c>
      <c r="B18" s="44" t="s">
        <v>168</v>
      </c>
      <c r="C18" s="69">
        <v>1200.0</v>
      </c>
      <c r="D18" s="69">
        <v>700.0</v>
      </c>
      <c r="E18" s="69">
        <v>700.0</v>
      </c>
      <c r="F18" s="70">
        <v>0.5833333333333334</v>
      </c>
      <c r="G18" s="8" t="s">
        <v>12</v>
      </c>
      <c r="H18" s="44" t="s">
        <v>2408</v>
      </c>
      <c r="I18" s="69">
        <v>6.0</v>
      </c>
      <c r="J18" s="8" t="s">
        <v>2390</v>
      </c>
      <c r="K18" s="46"/>
    </row>
    <row r="19" ht="22.5" customHeight="1">
      <c r="A19" s="72">
        <v>9140.0</v>
      </c>
      <c r="B19" s="44" t="s">
        <v>371</v>
      </c>
      <c r="C19" s="69">
        <v>1500.0</v>
      </c>
      <c r="D19" s="69">
        <v>900.0</v>
      </c>
      <c r="E19" s="69">
        <v>600.0</v>
      </c>
      <c r="F19" s="70">
        <v>0.4</v>
      </c>
      <c r="G19" s="8" t="s">
        <v>2392</v>
      </c>
      <c r="H19" s="44" t="s">
        <v>2409</v>
      </c>
      <c r="I19" s="69">
        <v>6.0</v>
      </c>
      <c r="J19" s="8" t="s">
        <v>2390</v>
      </c>
      <c r="K19" s="46"/>
    </row>
    <row r="20" ht="22.5" customHeight="1">
      <c r="A20" s="44" t="s">
        <v>376</v>
      </c>
      <c r="B20" s="44" t="s">
        <v>375</v>
      </c>
      <c r="C20" s="69">
        <v>2350.0</v>
      </c>
      <c r="D20" s="69">
        <v>1750.0</v>
      </c>
      <c r="E20" s="69">
        <v>2350.0</v>
      </c>
      <c r="F20" s="70">
        <v>0.0</v>
      </c>
      <c r="G20" s="8" t="s">
        <v>2394</v>
      </c>
      <c r="H20" s="44" t="s">
        <v>2410</v>
      </c>
      <c r="I20" s="69">
        <v>6.0</v>
      </c>
      <c r="J20" s="8" t="s">
        <v>2396</v>
      </c>
      <c r="K20" s="46"/>
    </row>
    <row r="21" ht="22.5" customHeight="1">
      <c r="A21" s="72">
        <v>7458.0</v>
      </c>
      <c r="B21" s="44" t="s">
        <v>176</v>
      </c>
      <c r="C21" s="69">
        <v>1600.0</v>
      </c>
      <c r="D21" s="69">
        <v>1100.0</v>
      </c>
      <c r="E21" s="69">
        <v>1100.0</v>
      </c>
      <c r="F21" s="70">
        <v>0.6875</v>
      </c>
      <c r="G21" s="8" t="s">
        <v>2392</v>
      </c>
      <c r="H21" s="44" t="s">
        <v>18</v>
      </c>
      <c r="I21" s="69">
        <v>4.0</v>
      </c>
      <c r="J21" s="8" t="s">
        <v>2390</v>
      </c>
      <c r="K21" s="46"/>
    </row>
    <row r="22" ht="22.5" customHeight="1">
      <c r="A22" s="72">
        <v>8625.0</v>
      </c>
      <c r="B22" s="44" t="s">
        <v>179</v>
      </c>
      <c r="C22" s="69">
        <v>1550.0</v>
      </c>
      <c r="D22" s="69">
        <v>1050.0</v>
      </c>
      <c r="E22" s="69">
        <v>1050.0</v>
      </c>
      <c r="F22" s="70">
        <v>0.6774193548387096</v>
      </c>
      <c r="G22" s="8" t="s">
        <v>2392</v>
      </c>
      <c r="H22" s="44" t="s">
        <v>58</v>
      </c>
      <c r="I22" s="69">
        <v>4.0</v>
      </c>
      <c r="J22" s="8" t="s">
        <v>2390</v>
      </c>
      <c r="K22" s="46"/>
    </row>
    <row r="23" ht="22.5" customHeight="1">
      <c r="A23" s="72">
        <v>8514.0</v>
      </c>
      <c r="B23" s="44" t="s">
        <v>165</v>
      </c>
      <c r="C23" s="69">
        <v>1200.0</v>
      </c>
      <c r="D23" s="69">
        <v>700.0</v>
      </c>
      <c r="E23" s="69">
        <v>700.0</v>
      </c>
      <c r="F23" s="70">
        <v>0.5833333333333334</v>
      </c>
      <c r="G23" s="8" t="s">
        <v>2392</v>
      </c>
      <c r="H23" s="44" t="s">
        <v>47</v>
      </c>
      <c r="I23" s="69">
        <v>3.0</v>
      </c>
      <c r="J23" s="8" t="s">
        <v>2390</v>
      </c>
      <c r="K23" s="46"/>
    </row>
    <row r="24" ht="22.5" customHeight="1">
      <c r="A24" s="72">
        <v>7137.0</v>
      </c>
      <c r="B24" s="44" t="s">
        <v>221</v>
      </c>
      <c r="C24" s="69">
        <v>2500.0</v>
      </c>
      <c r="D24" s="69">
        <v>2000.0</v>
      </c>
      <c r="E24" s="69">
        <v>1920.0</v>
      </c>
      <c r="F24" s="70">
        <v>0.768</v>
      </c>
      <c r="G24" s="8" t="s">
        <v>12</v>
      </c>
      <c r="H24" s="44" t="s">
        <v>58</v>
      </c>
      <c r="I24" s="69">
        <v>2.0</v>
      </c>
      <c r="J24" s="8" t="s">
        <v>2398</v>
      </c>
      <c r="K24" s="46"/>
    </row>
    <row r="25" ht="22.5" customHeight="1">
      <c r="A25" s="72">
        <v>7307.0</v>
      </c>
      <c r="B25" s="44" t="s">
        <v>172</v>
      </c>
      <c r="C25" s="69">
        <v>2300.0</v>
      </c>
      <c r="D25" s="69">
        <v>1800.0</v>
      </c>
      <c r="E25" s="69">
        <v>1800.0</v>
      </c>
      <c r="F25" s="70">
        <v>0.782608695652174</v>
      </c>
      <c r="G25" s="8" t="s">
        <v>2392</v>
      </c>
      <c r="H25" s="44" t="s">
        <v>2411</v>
      </c>
      <c r="I25" s="69">
        <v>2.0</v>
      </c>
      <c r="J25" s="8" t="s">
        <v>2398</v>
      </c>
      <c r="K25" s="46"/>
    </row>
    <row r="26" ht="22.5" customHeight="1">
      <c r="A26" s="72">
        <v>8521.0</v>
      </c>
      <c r="B26" s="44" t="s">
        <v>163</v>
      </c>
      <c r="C26" s="69">
        <v>2400.0</v>
      </c>
      <c r="D26" s="69">
        <v>1900.0</v>
      </c>
      <c r="E26" s="69">
        <v>1930.0</v>
      </c>
      <c r="F26" s="70">
        <v>0.8041666666666667</v>
      </c>
      <c r="G26" s="8" t="s">
        <v>2392</v>
      </c>
      <c r="H26" s="44" t="s">
        <v>26</v>
      </c>
      <c r="I26" s="69">
        <v>2.0</v>
      </c>
      <c r="J26" s="8" t="s">
        <v>2398</v>
      </c>
      <c r="K26" s="46"/>
    </row>
    <row r="27" ht="22.5" customHeight="1">
      <c r="A27" s="44" t="s">
        <v>321</v>
      </c>
      <c r="B27" s="44" t="s">
        <v>320</v>
      </c>
      <c r="C27" s="69">
        <v>1290.0</v>
      </c>
      <c r="D27" s="69">
        <v>800.0</v>
      </c>
      <c r="E27" s="69">
        <v>790.0</v>
      </c>
      <c r="F27" s="70">
        <v>0.6124031007751938</v>
      </c>
      <c r="G27" s="8" t="s">
        <v>75</v>
      </c>
      <c r="H27" s="44" t="s">
        <v>18</v>
      </c>
      <c r="I27" s="69">
        <v>2.0</v>
      </c>
      <c r="J27" s="8" t="s">
        <v>2406</v>
      </c>
      <c r="K27" s="46"/>
    </row>
    <row r="28" ht="22.5" customHeight="1">
      <c r="A28" s="66"/>
      <c r="C28" s="69"/>
      <c r="D28" s="69"/>
      <c r="E28" s="69"/>
      <c r="F28" s="70"/>
      <c r="G28" s="36"/>
      <c r="I28" s="69"/>
      <c r="J28" s="36"/>
      <c r="K28" s="47"/>
    </row>
    <row r="29" ht="22.5" customHeight="1">
      <c r="A29" s="73" t="s">
        <v>441</v>
      </c>
      <c r="B29" s="48" t="s">
        <v>440</v>
      </c>
      <c r="C29" s="74">
        <v>1200.0</v>
      </c>
      <c r="D29" s="74">
        <v>650.0</v>
      </c>
      <c r="E29" s="74">
        <v>550.0</v>
      </c>
      <c r="F29" s="75">
        <v>0.4583333333333333</v>
      </c>
      <c r="G29" s="9"/>
      <c r="H29" s="48" t="s">
        <v>2412</v>
      </c>
      <c r="I29" s="74">
        <v>0.0</v>
      </c>
      <c r="J29" s="9" t="s">
        <v>2400</v>
      </c>
      <c r="K29" s="46"/>
    </row>
    <row r="30" ht="22.5" customHeight="1">
      <c r="A30" s="73" t="s">
        <v>517</v>
      </c>
      <c r="B30" s="48" t="s">
        <v>516</v>
      </c>
      <c r="C30" s="74">
        <v>1390.0</v>
      </c>
      <c r="D30" s="74">
        <v>890.0</v>
      </c>
      <c r="E30" s="74">
        <v>500.0</v>
      </c>
      <c r="F30" s="75">
        <v>0.3597122302158273</v>
      </c>
      <c r="G30" s="9"/>
      <c r="H30" s="48"/>
      <c r="I30" s="74">
        <v>0.0</v>
      </c>
      <c r="J30" s="9" t="s">
        <v>2400</v>
      </c>
      <c r="K30" s="46"/>
    </row>
    <row r="31" ht="22.5" customHeight="1">
      <c r="A31" s="73">
        <v>8897.0</v>
      </c>
      <c r="B31" s="48" t="s">
        <v>568</v>
      </c>
      <c r="C31" s="74">
        <v>1200.0</v>
      </c>
      <c r="D31" s="74">
        <v>730.0</v>
      </c>
      <c r="E31" s="74">
        <v>470.0</v>
      </c>
      <c r="F31" s="75">
        <v>0.39166666666666666</v>
      </c>
      <c r="G31" s="9" t="s">
        <v>2413</v>
      </c>
      <c r="H31" s="48" t="s">
        <v>13</v>
      </c>
      <c r="I31" s="74">
        <v>0.0</v>
      </c>
      <c r="J31" s="9" t="s">
        <v>2390</v>
      </c>
      <c r="K31" s="46"/>
    </row>
    <row r="32" ht="22.5" customHeight="1">
      <c r="A32" s="73" t="s">
        <v>578</v>
      </c>
      <c r="B32" s="48" t="s">
        <v>577</v>
      </c>
      <c r="C32" s="74">
        <v>1990.0</v>
      </c>
      <c r="D32" s="74">
        <v>1150.0</v>
      </c>
      <c r="E32" s="74">
        <v>840.0</v>
      </c>
      <c r="F32" s="75">
        <v>0.4221105527638191</v>
      </c>
      <c r="G32" s="9"/>
      <c r="H32" s="48"/>
      <c r="I32" s="74">
        <v>0.0</v>
      </c>
      <c r="J32" s="9" t="s">
        <v>2390</v>
      </c>
      <c r="K32" s="46"/>
    </row>
    <row r="33" ht="22.5" customHeight="1">
      <c r="A33" s="73" t="s">
        <v>580</v>
      </c>
      <c r="B33" s="48" t="s">
        <v>579</v>
      </c>
      <c r="C33" s="74">
        <v>1550.0</v>
      </c>
      <c r="D33" s="74">
        <v>1050.0</v>
      </c>
      <c r="E33" s="74">
        <v>500.0</v>
      </c>
      <c r="F33" s="75">
        <v>0.3225806451612903</v>
      </c>
      <c r="G33" s="9"/>
      <c r="H33" s="48"/>
      <c r="I33" s="74">
        <v>0.0</v>
      </c>
      <c r="J33" s="9" t="s">
        <v>2398</v>
      </c>
      <c r="K33" s="46"/>
    </row>
    <row r="34" ht="22.5" customHeight="1">
      <c r="A34" s="73" t="s">
        <v>588</v>
      </c>
      <c r="B34" s="48" t="s">
        <v>587</v>
      </c>
      <c r="C34" s="74">
        <v>1990.0</v>
      </c>
      <c r="D34" s="74">
        <v>1150.0</v>
      </c>
      <c r="E34" s="74">
        <v>840.0</v>
      </c>
      <c r="F34" s="75">
        <v>0.4221105527638191</v>
      </c>
      <c r="G34" s="9"/>
      <c r="H34" s="48"/>
      <c r="I34" s="74">
        <v>0.0</v>
      </c>
      <c r="J34" s="9" t="s">
        <v>2390</v>
      </c>
      <c r="K34" s="46"/>
    </row>
    <row r="35" ht="22.5" customHeight="1">
      <c r="A35" s="73">
        <v>9091.0</v>
      </c>
      <c r="B35" s="48" t="s">
        <v>726</v>
      </c>
      <c r="C35" s="74">
        <v>1950.0</v>
      </c>
      <c r="D35" s="74">
        <v>1300.0</v>
      </c>
      <c r="E35" s="74">
        <v>650.0</v>
      </c>
      <c r="F35" s="75">
        <v>0.3333333333333333</v>
      </c>
      <c r="G35" s="9" t="s">
        <v>2414</v>
      </c>
      <c r="H35" s="48" t="s">
        <v>58</v>
      </c>
      <c r="I35" s="74">
        <v>0.0</v>
      </c>
      <c r="J35" s="9" t="s">
        <v>2398</v>
      </c>
      <c r="K35" s="46"/>
    </row>
    <row r="36" ht="22.5" customHeight="1">
      <c r="A36" s="73">
        <v>8116.0</v>
      </c>
      <c r="B36" s="48" t="s">
        <v>730</v>
      </c>
      <c r="C36" s="74">
        <v>2490.0</v>
      </c>
      <c r="D36" s="74">
        <v>1700.0</v>
      </c>
      <c r="E36" s="74">
        <v>790.0</v>
      </c>
      <c r="F36" s="75">
        <v>0.3172690763052209</v>
      </c>
      <c r="G36" s="9" t="s">
        <v>2414</v>
      </c>
      <c r="H36" s="48" t="s">
        <v>2415</v>
      </c>
      <c r="I36" s="74">
        <v>0.0</v>
      </c>
      <c r="J36" s="9" t="s">
        <v>2398</v>
      </c>
      <c r="K36" s="46"/>
    </row>
    <row r="37" ht="22.5" customHeight="1">
      <c r="A37" s="73">
        <v>8558.0</v>
      </c>
      <c r="B37" s="48" t="s">
        <v>755</v>
      </c>
      <c r="C37" s="74">
        <v>1390.0</v>
      </c>
      <c r="D37" s="74">
        <v>790.0</v>
      </c>
      <c r="E37" s="74">
        <v>600.0</v>
      </c>
      <c r="F37" s="75">
        <v>0.4316546762589928</v>
      </c>
      <c r="G37" s="9"/>
      <c r="H37" s="48"/>
      <c r="I37" s="74">
        <v>0.0</v>
      </c>
      <c r="J37" s="9" t="s">
        <v>2390</v>
      </c>
      <c r="K37" s="46"/>
    </row>
    <row r="38" ht="22.5" customHeight="1">
      <c r="A38" s="73" t="s">
        <v>763</v>
      </c>
      <c r="B38" s="48" t="s">
        <v>762</v>
      </c>
      <c r="C38" s="74">
        <v>1.0</v>
      </c>
      <c r="D38" s="74">
        <v>0.0</v>
      </c>
      <c r="E38" s="74">
        <v>1.0</v>
      </c>
      <c r="F38" s="75">
        <v>0.0</v>
      </c>
      <c r="G38" s="9"/>
      <c r="H38" s="48"/>
      <c r="I38" s="74">
        <v>0.0</v>
      </c>
      <c r="J38" s="9"/>
      <c r="K38" s="46"/>
    </row>
    <row r="39" ht="22.5" customHeight="1">
      <c r="A39" s="73">
        <v>9258.0</v>
      </c>
      <c r="B39" s="48" t="s">
        <v>824</v>
      </c>
      <c r="C39" s="74">
        <v>2450.0</v>
      </c>
      <c r="D39" s="74">
        <v>1750.0</v>
      </c>
      <c r="E39" s="74">
        <v>700.0</v>
      </c>
      <c r="F39" s="75">
        <v>0.2857142857142857</v>
      </c>
      <c r="G39" s="9"/>
      <c r="H39" s="48"/>
      <c r="I39" s="74">
        <v>0.0</v>
      </c>
      <c r="J39" s="9" t="s">
        <v>2398</v>
      </c>
      <c r="K39" s="46"/>
    </row>
    <row r="40" ht="22.5" customHeight="1">
      <c r="A40" s="73">
        <v>8825.0</v>
      </c>
      <c r="B40" s="48" t="s">
        <v>826</v>
      </c>
      <c r="C40" s="74">
        <v>1450.0</v>
      </c>
      <c r="D40" s="74">
        <v>800.0</v>
      </c>
      <c r="E40" s="74">
        <v>650.0</v>
      </c>
      <c r="F40" s="75">
        <v>0.4482758620689655</v>
      </c>
      <c r="G40" s="9" t="s">
        <v>2413</v>
      </c>
      <c r="H40" s="48" t="s">
        <v>2416</v>
      </c>
      <c r="I40" s="74">
        <v>0.0</v>
      </c>
      <c r="J40" s="9" t="s">
        <v>2390</v>
      </c>
      <c r="K40" s="46"/>
    </row>
    <row r="41" ht="22.5" customHeight="1">
      <c r="A41" s="73" t="s">
        <v>893</v>
      </c>
      <c r="B41" s="48" t="s">
        <v>892</v>
      </c>
      <c r="C41" s="74">
        <v>2200.0</v>
      </c>
      <c r="D41" s="74">
        <v>1500.0</v>
      </c>
      <c r="E41" s="74">
        <v>700.0</v>
      </c>
      <c r="F41" s="75">
        <v>0.3181818181818182</v>
      </c>
      <c r="G41" s="9"/>
      <c r="H41" s="48"/>
      <c r="I41" s="74">
        <v>0.0</v>
      </c>
      <c r="J41" s="9"/>
      <c r="K41" s="76" t="s">
        <v>2417</v>
      </c>
    </row>
    <row r="42" ht="22.5" customHeight="1">
      <c r="A42" s="73" t="s">
        <v>913</v>
      </c>
      <c r="B42" s="48" t="s">
        <v>912</v>
      </c>
      <c r="C42" s="74">
        <v>1650.0</v>
      </c>
      <c r="D42" s="74">
        <v>1000.0</v>
      </c>
      <c r="E42" s="74">
        <v>650.0</v>
      </c>
      <c r="F42" s="75">
        <v>0.3939393939393939</v>
      </c>
      <c r="G42" s="9"/>
      <c r="H42" s="48"/>
      <c r="I42" s="74">
        <v>0.0</v>
      </c>
      <c r="J42" s="9"/>
      <c r="K42" s="76" t="s">
        <v>2418</v>
      </c>
    </row>
    <row r="43" ht="22.5" customHeight="1">
      <c r="A43" s="73" t="s">
        <v>916</v>
      </c>
      <c r="B43" s="48" t="s">
        <v>915</v>
      </c>
      <c r="C43" s="74">
        <v>1950.0</v>
      </c>
      <c r="D43" s="74">
        <v>1300.0</v>
      </c>
      <c r="E43" s="74">
        <v>650.0</v>
      </c>
      <c r="F43" s="75">
        <v>0.3333333333333333</v>
      </c>
      <c r="G43" s="9"/>
      <c r="H43" s="48"/>
      <c r="I43" s="74">
        <v>0.0</v>
      </c>
      <c r="J43" s="9"/>
      <c r="K43" s="46"/>
    </row>
    <row r="44" ht="22.5" customHeight="1">
      <c r="A44" s="73">
        <v>5022.0</v>
      </c>
      <c r="B44" s="48" t="s">
        <v>915</v>
      </c>
      <c r="C44" s="74">
        <v>1950.0</v>
      </c>
      <c r="D44" s="74">
        <v>1300.0</v>
      </c>
      <c r="E44" s="74">
        <v>650.0</v>
      </c>
      <c r="F44" s="75">
        <v>0.3333333333333333</v>
      </c>
      <c r="G44" s="9"/>
      <c r="H44" s="48"/>
      <c r="I44" s="74">
        <v>0.0</v>
      </c>
      <c r="J44" s="9"/>
      <c r="K44" s="46"/>
    </row>
    <row r="45" ht="22.5" customHeight="1">
      <c r="A45" s="73">
        <v>1302.0</v>
      </c>
      <c r="B45" s="48" t="s">
        <v>935</v>
      </c>
      <c r="C45" s="74">
        <v>1200.0</v>
      </c>
      <c r="D45" s="74">
        <v>650.0</v>
      </c>
      <c r="E45" s="74">
        <v>550.0</v>
      </c>
      <c r="F45" s="75">
        <v>0.4583333333333333</v>
      </c>
      <c r="G45" s="9"/>
      <c r="H45" s="48"/>
      <c r="I45" s="74">
        <v>0.0</v>
      </c>
      <c r="J45" s="9" t="s">
        <v>2390</v>
      </c>
      <c r="K45" s="76" t="s">
        <v>2419</v>
      </c>
    </row>
    <row r="46" ht="22.5" customHeight="1">
      <c r="A46" s="73">
        <v>8610.0</v>
      </c>
      <c r="B46" s="48" t="s">
        <v>963</v>
      </c>
      <c r="C46" s="74">
        <v>1190.0</v>
      </c>
      <c r="D46" s="74">
        <v>650.0</v>
      </c>
      <c r="E46" s="74">
        <v>540.0</v>
      </c>
      <c r="F46" s="75">
        <v>0.453781512605042</v>
      </c>
      <c r="G46" s="9"/>
      <c r="H46" s="48"/>
      <c r="I46" s="74">
        <v>0.0</v>
      </c>
      <c r="J46" s="9" t="s">
        <v>2390</v>
      </c>
      <c r="K46" s="46"/>
    </row>
    <row r="47" ht="22.5" customHeight="1">
      <c r="A47" s="73" t="s">
        <v>959</v>
      </c>
      <c r="B47" s="48" t="s">
        <v>958</v>
      </c>
      <c r="C47" s="74">
        <v>1800.0</v>
      </c>
      <c r="D47" s="74">
        <v>1170.0</v>
      </c>
      <c r="E47" s="74">
        <v>630.0</v>
      </c>
      <c r="F47" s="75">
        <v>0.35</v>
      </c>
      <c r="G47" s="9"/>
      <c r="H47" s="48"/>
      <c r="I47" s="74">
        <v>0.0</v>
      </c>
      <c r="J47" s="9" t="s">
        <v>2398</v>
      </c>
      <c r="K47" s="76" t="s">
        <v>2420</v>
      </c>
    </row>
    <row r="48" ht="22.5" customHeight="1">
      <c r="A48" s="73">
        <v>8765.0</v>
      </c>
      <c r="B48" s="48" t="s">
        <v>1014</v>
      </c>
      <c r="C48" s="74">
        <v>1800.0</v>
      </c>
      <c r="D48" s="74">
        <v>1280.0</v>
      </c>
      <c r="E48" s="74">
        <v>520.0</v>
      </c>
      <c r="F48" s="75">
        <v>0.28888888888888886</v>
      </c>
      <c r="G48" s="9"/>
      <c r="H48" s="48"/>
      <c r="I48" s="74">
        <v>0.0</v>
      </c>
      <c r="J48" s="9" t="s">
        <v>2390</v>
      </c>
      <c r="K48" s="46"/>
    </row>
    <row r="49" ht="22.5" customHeight="1">
      <c r="A49" s="73">
        <v>6612.0</v>
      </c>
      <c r="B49" s="48" t="s">
        <v>961</v>
      </c>
      <c r="C49" s="74">
        <v>850.0</v>
      </c>
      <c r="D49" s="74">
        <v>470.0</v>
      </c>
      <c r="E49" s="74">
        <v>380.0</v>
      </c>
      <c r="F49" s="75">
        <v>0.4470588235294118</v>
      </c>
      <c r="G49" s="9"/>
      <c r="H49" s="48"/>
      <c r="I49" s="74">
        <v>0.0</v>
      </c>
      <c r="J49" s="9" t="s">
        <v>2390</v>
      </c>
      <c r="K49" s="76" t="s">
        <v>2421</v>
      </c>
    </row>
    <row r="50" ht="22.5" customHeight="1">
      <c r="A50" s="73">
        <v>9425.0</v>
      </c>
      <c r="B50" s="48" t="s">
        <v>1055</v>
      </c>
      <c r="C50" s="74">
        <v>2700.0</v>
      </c>
      <c r="D50" s="74">
        <v>2000.0</v>
      </c>
      <c r="E50" s="74">
        <v>700.0</v>
      </c>
      <c r="F50" s="75">
        <v>0.25925925925925924</v>
      </c>
      <c r="G50" s="9"/>
      <c r="H50" s="48"/>
      <c r="I50" s="74">
        <v>0.0</v>
      </c>
      <c r="J50" s="9" t="s">
        <v>2398</v>
      </c>
      <c r="K50" s="46"/>
    </row>
    <row r="51" ht="22.5" customHeight="1">
      <c r="A51" s="73">
        <v>3225.0</v>
      </c>
      <c r="B51" s="48" t="s">
        <v>1011</v>
      </c>
      <c r="C51" s="74">
        <v>2350.0</v>
      </c>
      <c r="D51" s="74">
        <v>1700.0</v>
      </c>
      <c r="E51" s="74">
        <v>650.0</v>
      </c>
      <c r="F51" s="75">
        <v>0.2765957446808511</v>
      </c>
      <c r="G51" s="9"/>
      <c r="H51" s="48"/>
      <c r="I51" s="74">
        <v>0.0</v>
      </c>
      <c r="J51" s="9" t="s">
        <v>2398</v>
      </c>
      <c r="K51" s="46"/>
    </row>
    <row r="52" ht="22.5" customHeight="1">
      <c r="A52" s="73">
        <v>8321.0</v>
      </c>
      <c r="B52" s="48" t="s">
        <v>1006</v>
      </c>
      <c r="C52" s="74">
        <v>1350.0</v>
      </c>
      <c r="D52" s="74">
        <v>700.0</v>
      </c>
      <c r="E52" s="74">
        <v>650.0</v>
      </c>
      <c r="F52" s="75">
        <v>0.48148148148148145</v>
      </c>
      <c r="G52" s="9"/>
      <c r="H52" s="48"/>
      <c r="I52" s="74">
        <v>0.0</v>
      </c>
      <c r="J52" s="9" t="s">
        <v>2390</v>
      </c>
      <c r="K52" s="76" t="s">
        <v>2422</v>
      </c>
    </row>
    <row r="53" ht="22.5" customHeight="1">
      <c r="A53" s="73">
        <v>9275.0</v>
      </c>
      <c r="B53" s="48" t="s">
        <v>1058</v>
      </c>
      <c r="C53" s="74">
        <v>1390.0</v>
      </c>
      <c r="D53" s="74">
        <v>750.0</v>
      </c>
      <c r="E53" s="74">
        <v>640.0</v>
      </c>
      <c r="F53" s="75">
        <v>0.460431654676259</v>
      </c>
      <c r="G53" s="9"/>
      <c r="H53" s="48"/>
      <c r="I53" s="74">
        <v>0.0</v>
      </c>
      <c r="J53" s="9"/>
      <c r="K53" s="76" t="s">
        <v>2423</v>
      </c>
    </row>
    <row r="54" ht="22.5" customHeight="1">
      <c r="A54" s="73">
        <v>9277.0</v>
      </c>
      <c r="B54" s="48" t="s">
        <v>1081</v>
      </c>
      <c r="C54" s="74">
        <v>1415.0</v>
      </c>
      <c r="D54" s="74">
        <v>775.0</v>
      </c>
      <c r="E54" s="74">
        <v>640.0</v>
      </c>
      <c r="F54" s="75">
        <v>0.45229681978798586</v>
      </c>
      <c r="G54" s="9"/>
      <c r="H54" s="48"/>
      <c r="I54" s="74">
        <v>0.0</v>
      </c>
      <c r="J54" s="9"/>
      <c r="K54" s="46"/>
    </row>
    <row r="55" ht="22.5" customHeight="1">
      <c r="A55" s="73">
        <v>9083.0</v>
      </c>
      <c r="B55" s="48" t="s">
        <v>1082</v>
      </c>
      <c r="C55" s="74">
        <v>2400.0</v>
      </c>
      <c r="D55" s="74">
        <v>1800.0</v>
      </c>
      <c r="E55" s="74">
        <v>600.0</v>
      </c>
      <c r="F55" s="75">
        <v>0.25</v>
      </c>
      <c r="G55" s="9"/>
      <c r="H55" s="48"/>
      <c r="I55" s="74">
        <v>0.0</v>
      </c>
      <c r="J55" s="9"/>
      <c r="K55" s="46"/>
    </row>
    <row r="56" ht="22.5" customHeight="1">
      <c r="A56" s="73">
        <v>8770.0</v>
      </c>
      <c r="B56" s="48" t="s">
        <v>141</v>
      </c>
      <c r="C56" s="74">
        <v>1690.0</v>
      </c>
      <c r="D56" s="74">
        <v>1060.0</v>
      </c>
      <c r="E56" s="74">
        <v>630.0</v>
      </c>
      <c r="F56" s="75">
        <v>0.3727810650887574</v>
      </c>
      <c r="G56" s="9"/>
      <c r="H56" s="48"/>
      <c r="I56" s="74">
        <v>0.0</v>
      </c>
      <c r="J56" s="9"/>
      <c r="K56" s="76" t="s">
        <v>2424</v>
      </c>
    </row>
    <row r="57" ht="22.5" customHeight="1">
      <c r="A57" s="73" t="s">
        <v>1200</v>
      </c>
      <c r="B57" s="48" t="s">
        <v>1199</v>
      </c>
      <c r="C57" s="74">
        <v>725.0</v>
      </c>
      <c r="D57" s="74">
        <v>325.0</v>
      </c>
      <c r="E57" s="74">
        <v>400.0</v>
      </c>
      <c r="F57" s="75">
        <v>0.5517241379310345</v>
      </c>
      <c r="G57" s="9"/>
      <c r="H57" s="48"/>
      <c r="I57" s="74">
        <v>0.0</v>
      </c>
      <c r="J57" s="9" t="s">
        <v>2390</v>
      </c>
      <c r="K57" s="76" t="s">
        <v>2425</v>
      </c>
    </row>
    <row r="58" ht="22.5" customHeight="1">
      <c r="A58" s="73" t="s">
        <v>1202</v>
      </c>
      <c r="B58" s="48" t="s">
        <v>1201</v>
      </c>
      <c r="C58" s="74">
        <v>725.0</v>
      </c>
      <c r="D58" s="74">
        <v>325.0</v>
      </c>
      <c r="E58" s="74">
        <v>400.0</v>
      </c>
      <c r="F58" s="75">
        <v>0.5517241379310345</v>
      </c>
      <c r="G58" s="9"/>
      <c r="H58" s="48"/>
      <c r="I58" s="74">
        <v>0.0</v>
      </c>
      <c r="J58" s="9"/>
      <c r="K58" s="46"/>
    </row>
    <row r="59" ht="22.5" customHeight="1">
      <c r="A59" s="73" t="s">
        <v>1185</v>
      </c>
      <c r="B59" s="48" t="s">
        <v>1184</v>
      </c>
      <c r="C59" s="74">
        <v>845.0</v>
      </c>
      <c r="D59" s="74">
        <v>445.0</v>
      </c>
      <c r="E59" s="74">
        <v>400.0</v>
      </c>
      <c r="F59" s="75">
        <v>0.47337278106508873</v>
      </c>
      <c r="G59" s="9"/>
      <c r="H59" s="48"/>
      <c r="I59" s="74">
        <v>0.0</v>
      </c>
      <c r="J59" s="9" t="s">
        <v>2398</v>
      </c>
      <c r="K59" s="76" t="s">
        <v>2426</v>
      </c>
    </row>
    <row r="60" ht="22.5" customHeight="1">
      <c r="A60" s="73">
        <v>9301.0</v>
      </c>
      <c r="B60" s="48" t="s">
        <v>2427</v>
      </c>
      <c r="C60" s="74">
        <v>1900.0</v>
      </c>
      <c r="D60" s="74">
        <v>1300.0</v>
      </c>
      <c r="E60" s="74">
        <v>600.0</v>
      </c>
      <c r="F60" s="75">
        <v>0.3157894736842105</v>
      </c>
      <c r="G60" s="9"/>
      <c r="H60" s="48"/>
      <c r="I60" s="74">
        <v>0.0</v>
      </c>
      <c r="J60" s="9" t="s">
        <v>2390</v>
      </c>
      <c r="K60" s="46"/>
    </row>
    <row r="61" ht="22.5" customHeight="1">
      <c r="A61" s="73">
        <v>9031.0</v>
      </c>
      <c r="B61" s="48" t="s">
        <v>1195</v>
      </c>
      <c r="C61" s="74">
        <v>1900.0</v>
      </c>
      <c r="D61" s="74">
        <v>1300.0</v>
      </c>
      <c r="E61" s="74">
        <v>600.0</v>
      </c>
      <c r="F61" s="75">
        <v>0.3157894736842105</v>
      </c>
      <c r="G61" s="9"/>
      <c r="H61" s="48"/>
      <c r="I61" s="74">
        <v>0.0</v>
      </c>
      <c r="J61" s="9" t="s">
        <v>2390</v>
      </c>
      <c r="K61" s="76" t="s">
        <v>2428</v>
      </c>
    </row>
    <row r="62" ht="22.5" customHeight="1">
      <c r="A62" s="73" t="s">
        <v>1204</v>
      </c>
      <c r="B62" s="48" t="s">
        <v>1203</v>
      </c>
      <c r="C62" s="74">
        <v>725.0</v>
      </c>
      <c r="D62" s="74">
        <v>325.0</v>
      </c>
      <c r="E62" s="74">
        <v>400.0</v>
      </c>
      <c r="F62" s="75">
        <v>0.5517241379310345</v>
      </c>
      <c r="G62" s="9"/>
      <c r="H62" s="48"/>
      <c r="I62" s="74">
        <v>0.0</v>
      </c>
      <c r="J62" s="9" t="s">
        <v>2390</v>
      </c>
      <c r="K62" s="48"/>
    </row>
    <row r="63" ht="22.5" customHeight="1">
      <c r="A63" s="73">
        <v>5007.0</v>
      </c>
      <c r="B63" s="48" t="s">
        <v>1207</v>
      </c>
      <c r="C63" s="74">
        <v>1800.0</v>
      </c>
      <c r="D63" s="74">
        <v>1200.0</v>
      </c>
      <c r="E63" s="74">
        <v>600.0</v>
      </c>
      <c r="F63" s="75">
        <v>0.3333333333333333</v>
      </c>
      <c r="G63" s="9"/>
      <c r="H63" s="48"/>
      <c r="I63" s="74">
        <v>0.0</v>
      </c>
      <c r="J63" s="9"/>
      <c r="K63" s="48"/>
    </row>
    <row r="64" ht="22.5" customHeight="1">
      <c r="A64" s="73">
        <v>92212.0</v>
      </c>
      <c r="B64" s="48" t="s">
        <v>1212</v>
      </c>
      <c r="C64" s="74">
        <v>1700.0</v>
      </c>
      <c r="D64" s="74">
        <v>1100.0</v>
      </c>
      <c r="E64" s="74">
        <v>600.0</v>
      </c>
      <c r="F64" s="75">
        <v>0.35294117647058826</v>
      </c>
      <c r="G64" s="9"/>
      <c r="H64" s="48"/>
      <c r="I64" s="74">
        <v>0.0</v>
      </c>
      <c r="J64" s="9" t="s">
        <v>2390</v>
      </c>
      <c r="K64" s="48"/>
    </row>
    <row r="65" ht="22.5" customHeight="1">
      <c r="A65" s="73" t="s">
        <v>1233</v>
      </c>
      <c r="B65" s="48" t="s">
        <v>1232</v>
      </c>
      <c r="C65" s="74">
        <v>1550.0</v>
      </c>
      <c r="D65" s="74">
        <v>950.0</v>
      </c>
      <c r="E65" s="74">
        <v>600.0</v>
      </c>
      <c r="F65" s="75">
        <v>0.3870967741935484</v>
      </c>
      <c r="G65" s="9"/>
      <c r="H65" s="48"/>
      <c r="I65" s="74">
        <v>0.0</v>
      </c>
      <c r="J65" s="9"/>
      <c r="K65" s="48"/>
    </row>
    <row r="66" ht="22.5" customHeight="1">
      <c r="A66" s="73" t="s">
        <v>1255</v>
      </c>
      <c r="B66" s="48" t="s">
        <v>1254</v>
      </c>
      <c r="C66" s="74">
        <v>1200.0</v>
      </c>
      <c r="D66" s="74">
        <v>590.0</v>
      </c>
      <c r="E66" s="74">
        <v>610.0</v>
      </c>
      <c r="F66" s="75">
        <v>0.5083333333333333</v>
      </c>
      <c r="G66" s="9"/>
      <c r="H66" s="48"/>
      <c r="I66" s="74">
        <v>0.0</v>
      </c>
      <c r="J66" s="9"/>
      <c r="K66" s="48"/>
    </row>
    <row r="67" ht="22.5" customHeight="1">
      <c r="A67" s="73" t="s">
        <v>1378</v>
      </c>
      <c r="B67" s="48" t="s">
        <v>1293</v>
      </c>
      <c r="C67" s="74">
        <v>2900.0</v>
      </c>
      <c r="D67" s="74">
        <v>2170.0</v>
      </c>
      <c r="E67" s="74">
        <v>730.0</v>
      </c>
      <c r="F67" s="75">
        <v>0.2517241379310345</v>
      </c>
      <c r="G67" s="9"/>
      <c r="H67" s="48"/>
      <c r="I67" s="74">
        <v>0.0</v>
      </c>
      <c r="J67" s="9"/>
      <c r="K67" s="48"/>
    </row>
    <row r="68" ht="22.5" customHeight="1">
      <c r="A68" s="73">
        <v>8888.0</v>
      </c>
      <c r="B68" s="48" t="s">
        <v>1311</v>
      </c>
      <c r="C68" s="74">
        <v>1700.0</v>
      </c>
      <c r="D68" s="74">
        <v>1100.0</v>
      </c>
      <c r="E68" s="74">
        <v>600.0</v>
      </c>
      <c r="F68" s="75">
        <v>0.35294117647058826</v>
      </c>
      <c r="G68" s="9"/>
      <c r="H68" s="48"/>
      <c r="I68" s="74">
        <v>0.0</v>
      </c>
      <c r="J68" s="9"/>
      <c r="K68" s="48"/>
    </row>
    <row r="69" ht="22.5" customHeight="1">
      <c r="A69" s="73" t="s">
        <v>1315</v>
      </c>
      <c r="B69" s="48" t="s">
        <v>1314</v>
      </c>
      <c r="C69" s="74">
        <v>7000.0</v>
      </c>
      <c r="D69" s="74">
        <v>5500.0</v>
      </c>
      <c r="E69" s="74">
        <v>1500.0</v>
      </c>
      <c r="F69" s="75">
        <v>0.21428571428571427</v>
      </c>
      <c r="G69" s="9"/>
      <c r="H69" s="48"/>
      <c r="I69" s="74">
        <v>0.0</v>
      </c>
      <c r="J69" s="9"/>
      <c r="K69" s="48"/>
    </row>
    <row r="70" ht="22.5" customHeight="1">
      <c r="A70" s="73" t="s">
        <v>1318</v>
      </c>
      <c r="B70" s="48" t="s">
        <v>1317</v>
      </c>
      <c r="C70" s="74">
        <v>2900.0</v>
      </c>
      <c r="D70" s="74">
        <v>2200.0</v>
      </c>
      <c r="E70" s="74">
        <v>700.0</v>
      </c>
      <c r="F70" s="75">
        <v>0.2413793103448276</v>
      </c>
      <c r="G70" s="9"/>
      <c r="H70" s="48"/>
      <c r="I70" s="74">
        <v>0.0</v>
      </c>
      <c r="J70" s="9"/>
      <c r="K70" s="48"/>
    </row>
    <row r="71" ht="22.5" customHeight="1">
      <c r="A71" s="73" t="s">
        <v>1430</v>
      </c>
      <c r="B71" s="48" t="s">
        <v>1429</v>
      </c>
      <c r="C71" s="74">
        <v>7000.0</v>
      </c>
      <c r="D71" s="74">
        <v>5500.0</v>
      </c>
      <c r="E71" s="74">
        <v>1500.0</v>
      </c>
      <c r="F71" s="75">
        <v>0.21428571428571427</v>
      </c>
      <c r="G71" s="9"/>
      <c r="H71" s="48"/>
      <c r="I71" s="74">
        <v>0.0</v>
      </c>
      <c r="J71" s="9"/>
      <c r="K71" s="48"/>
    </row>
    <row r="72" ht="22.5" customHeight="1">
      <c r="A72" s="73" t="s">
        <v>1377</v>
      </c>
      <c r="B72" s="48" t="s">
        <v>1376</v>
      </c>
      <c r="C72" s="74">
        <v>7000.0</v>
      </c>
      <c r="D72" s="74">
        <v>5500.0</v>
      </c>
      <c r="E72" s="74">
        <v>1500.0</v>
      </c>
      <c r="F72" s="75">
        <v>0.21428571428571427</v>
      </c>
      <c r="G72" s="9"/>
      <c r="H72" s="48"/>
      <c r="I72" s="74">
        <v>0.0</v>
      </c>
      <c r="J72" s="9"/>
      <c r="K72" s="48"/>
    </row>
    <row r="73" ht="22.5" customHeight="1">
      <c r="A73" s="73" t="s">
        <v>1375</v>
      </c>
      <c r="B73" s="48" t="s">
        <v>1374</v>
      </c>
      <c r="C73" s="74">
        <v>7000.0</v>
      </c>
      <c r="D73" s="74">
        <v>5500.0</v>
      </c>
      <c r="E73" s="74">
        <v>1500.0</v>
      </c>
      <c r="F73" s="75">
        <v>0.21428571428571427</v>
      </c>
      <c r="G73" s="9"/>
      <c r="H73" s="48"/>
      <c r="I73" s="74">
        <v>0.0</v>
      </c>
      <c r="J73" s="9"/>
      <c r="K73" s="48"/>
    </row>
    <row r="74" ht="22.5" customHeight="1">
      <c r="A74" s="73" t="s">
        <v>1381</v>
      </c>
      <c r="B74" s="48" t="s">
        <v>1380</v>
      </c>
      <c r="C74" s="74">
        <v>6800.0</v>
      </c>
      <c r="D74" s="74">
        <v>5400.0</v>
      </c>
      <c r="E74" s="74">
        <v>1400.0</v>
      </c>
      <c r="F74" s="75">
        <v>0.20588235294117646</v>
      </c>
      <c r="G74" s="9"/>
      <c r="H74" s="48"/>
      <c r="I74" s="74">
        <v>0.0</v>
      </c>
      <c r="J74" s="9"/>
      <c r="K74" s="48"/>
    </row>
    <row r="75" ht="22.5" customHeight="1">
      <c r="A75" s="73" t="s">
        <v>1435</v>
      </c>
      <c r="B75" s="48" t="s">
        <v>1325</v>
      </c>
      <c r="C75" s="74">
        <v>6990.0</v>
      </c>
      <c r="D75" s="74">
        <v>5400.0</v>
      </c>
      <c r="E75" s="74">
        <v>1590.0</v>
      </c>
      <c r="F75" s="75">
        <v>0.22746781115879827</v>
      </c>
      <c r="G75" s="9"/>
      <c r="H75" s="48"/>
      <c r="I75" s="74">
        <v>0.0</v>
      </c>
      <c r="J75" s="9"/>
      <c r="K75" s="48"/>
    </row>
    <row r="76" ht="22.5" customHeight="1">
      <c r="A76" s="73" t="s">
        <v>1439</v>
      </c>
      <c r="B76" s="48" t="s">
        <v>1438</v>
      </c>
      <c r="C76" s="74">
        <v>7600.0</v>
      </c>
      <c r="D76" s="74">
        <v>6300.0</v>
      </c>
      <c r="E76" s="74">
        <v>1300.0</v>
      </c>
      <c r="F76" s="75">
        <v>0.17105263157894737</v>
      </c>
      <c r="G76" s="9"/>
      <c r="H76" s="48"/>
      <c r="I76" s="74">
        <v>0.0</v>
      </c>
      <c r="J76" s="9"/>
      <c r="K76" s="48"/>
    </row>
    <row r="77" ht="22.5" customHeight="1">
      <c r="A77" s="73" t="s">
        <v>1471</v>
      </c>
      <c r="B77" s="48" t="s">
        <v>1470</v>
      </c>
      <c r="C77" s="74">
        <v>990.0</v>
      </c>
      <c r="D77" s="74">
        <v>490.0</v>
      </c>
      <c r="E77" s="74">
        <v>500.0</v>
      </c>
      <c r="F77" s="75">
        <v>0.5050505050505051</v>
      </c>
      <c r="G77" s="9"/>
      <c r="H77" s="48"/>
      <c r="I77" s="74">
        <v>0.0</v>
      </c>
      <c r="J77" s="9"/>
      <c r="K77" s="48"/>
    </row>
    <row r="78" ht="22.5" customHeight="1">
      <c r="A78" s="73" t="s">
        <v>1489</v>
      </c>
      <c r="B78" s="48" t="s">
        <v>1488</v>
      </c>
      <c r="C78" s="74">
        <v>1700.0</v>
      </c>
      <c r="D78" s="74">
        <v>1200.0</v>
      </c>
      <c r="E78" s="74">
        <v>500.0</v>
      </c>
      <c r="F78" s="75">
        <v>0.29411764705882354</v>
      </c>
      <c r="G78" s="9"/>
      <c r="H78" s="48"/>
      <c r="I78" s="74">
        <v>0.0</v>
      </c>
      <c r="J78" s="9"/>
      <c r="K78" s="48"/>
    </row>
    <row r="79" ht="22.5" customHeight="1">
      <c r="A79" s="73">
        <v>9500.0</v>
      </c>
      <c r="B79" s="48" t="s">
        <v>1517</v>
      </c>
      <c r="C79" s="74">
        <v>2690.0</v>
      </c>
      <c r="D79" s="74">
        <v>1990.0</v>
      </c>
      <c r="E79" s="74">
        <v>700.0</v>
      </c>
      <c r="F79" s="75">
        <v>0.26022304832713755</v>
      </c>
      <c r="G79" s="9"/>
      <c r="H79" s="48"/>
      <c r="I79" s="74">
        <v>0.0</v>
      </c>
      <c r="J79" s="9"/>
      <c r="K79" s="48"/>
    </row>
    <row r="80" ht="22.5" customHeight="1">
      <c r="A80" s="73" t="s">
        <v>1524</v>
      </c>
      <c r="B80" s="48" t="s">
        <v>1523</v>
      </c>
      <c r="C80" s="74">
        <v>4200.0</v>
      </c>
      <c r="D80" s="74">
        <v>3300.0</v>
      </c>
      <c r="E80" s="74">
        <v>900.0</v>
      </c>
      <c r="F80" s="75">
        <v>0.21428571428571427</v>
      </c>
      <c r="G80" s="9"/>
      <c r="H80" s="48"/>
      <c r="I80" s="74">
        <v>0.0</v>
      </c>
      <c r="J80" s="9"/>
      <c r="K80" s="48"/>
    </row>
    <row r="81" ht="22.5" customHeight="1">
      <c r="A81" s="73" t="s">
        <v>1602</v>
      </c>
      <c r="B81" s="48" t="s">
        <v>1601</v>
      </c>
      <c r="C81" s="74">
        <v>1790.0</v>
      </c>
      <c r="D81" s="74">
        <v>1190.0</v>
      </c>
      <c r="E81" s="74">
        <v>600.0</v>
      </c>
      <c r="F81" s="75">
        <v>0.33519553072625696</v>
      </c>
      <c r="G81" s="9"/>
      <c r="H81" s="48"/>
      <c r="I81" s="74">
        <v>0.0</v>
      </c>
      <c r="J81" s="9"/>
      <c r="K81" s="48"/>
    </row>
    <row r="82" ht="22.5" customHeight="1">
      <c r="A82" s="73">
        <v>8684.0</v>
      </c>
      <c r="B82" s="48" t="s">
        <v>1609</v>
      </c>
      <c r="C82" s="74">
        <v>1950.0</v>
      </c>
      <c r="D82" s="74">
        <v>1350.0</v>
      </c>
      <c r="E82" s="74">
        <v>600.0</v>
      </c>
      <c r="F82" s="75">
        <v>0.3076923076923077</v>
      </c>
      <c r="G82" s="9"/>
      <c r="H82" s="48"/>
      <c r="I82" s="74">
        <v>0.0</v>
      </c>
      <c r="J82" s="9"/>
      <c r="K82" s="48"/>
    </row>
    <row r="83" ht="22.5" customHeight="1">
      <c r="A83" s="73">
        <v>8657.0</v>
      </c>
      <c r="B83" s="48" t="s">
        <v>1612</v>
      </c>
      <c r="C83" s="74">
        <v>2100.0</v>
      </c>
      <c r="D83" s="74">
        <v>1500.0</v>
      </c>
      <c r="E83" s="74">
        <v>600.0</v>
      </c>
      <c r="F83" s="75">
        <v>0.2857142857142857</v>
      </c>
      <c r="G83" s="9"/>
      <c r="H83" s="48"/>
      <c r="I83" s="74">
        <v>0.0</v>
      </c>
      <c r="J83" s="9"/>
      <c r="K83" s="48"/>
    </row>
    <row r="84" ht="22.5" customHeight="1">
      <c r="A84" s="73" t="s">
        <v>1620</v>
      </c>
      <c r="B84" s="48" t="s">
        <v>1619</v>
      </c>
      <c r="C84" s="74">
        <v>1650.0</v>
      </c>
      <c r="D84" s="74">
        <v>1050.0</v>
      </c>
      <c r="E84" s="74">
        <v>609.0</v>
      </c>
      <c r="F84" s="75">
        <v>0.3670886075949367</v>
      </c>
      <c r="G84" s="9"/>
      <c r="H84" s="48"/>
      <c r="I84" s="74">
        <v>0.0</v>
      </c>
      <c r="J84" s="9"/>
      <c r="K84" s="48"/>
    </row>
    <row r="85" ht="22.5" customHeight="1">
      <c r="A85" s="73" t="s">
        <v>1623</v>
      </c>
      <c r="B85" s="48" t="s">
        <v>1622</v>
      </c>
      <c r="C85" s="74">
        <v>1200.0</v>
      </c>
      <c r="D85" s="74">
        <v>770.0</v>
      </c>
      <c r="E85" s="74">
        <v>430.0</v>
      </c>
      <c r="F85" s="75">
        <v>0.35833333333333334</v>
      </c>
      <c r="G85" s="9"/>
      <c r="H85" s="48"/>
      <c r="I85" s="74">
        <v>0.0</v>
      </c>
      <c r="J85" s="9"/>
      <c r="K85" s="48"/>
    </row>
    <row r="86" ht="22.5" customHeight="1">
      <c r="A86" s="73" t="s">
        <v>1627</v>
      </c>
      <c r="B86" s="48" t="s">
        <v>1626</v>
      </c>
      <c r="C86" s="74">
        <v>1100.0</v>
      </c>
      <c r="D86" s="74">
        <v>680.0</v>
      </c>
      <c r="E86" s="74">
        <v>420.0</v>
      </c>
      <c r="F86" s="75">
        <v>0.38181818181818183</v>
      </c>
      <c r="G86" s="9"/>
      <c r="H86" s="48"/>
      <c r="I86" s="74">
        <v>0.0</v>
      </c>
      <c r="J86" s="9"/>
      <c r="K86" s="48"/>
    </row>
    <row r="87" ht="22.5" customHeight="1">
      <c r="A87" s="73" t="s">
        <v>1637</v>
      </c>
      <c r="B87" s="48" t="s">
        <v>1636</v>
      </c>
      <c r="C87" s="74">
        <v>1700.0</v>
      </c>
      <c r="D87" s="74">
        <v>1100.0</v>
      </c>
      <c r="E87" s="74">
        <v>600.0</v>
      </c>
      <c r="F87" s="75">
        <v>0.35294117647058826</v>
      </c>
      <c r="G87" s="9"/>
      <c r="H87" s="48"/>
      <c r="I87" s="74">
        <v>0.0</v>
      </c>
      <c r="J87" s="9"/>
      <c r="K87" s="48"/>
    </row>
    <row r="88" ht="22.5" customHeight="1">
      <c r="A88" s="73">
        <v>1653.0</v>
      </c>
      <c r="B88" s="48" t="s">
        <v>1653</v>
      </c>
      <c r="C88" s="74">
        <v>2500.0</v>
      </c>
      <c r="D88" s="74">
        <v>1700.0</v>
      </c>
      <c r="E88" s="74">
        <v>800.0</v>
      </c>
      <c r="F88" s="75">
        <v>0.32</v>
      </c>
      <c r="G88" s="9"/>
      <c r="H88" s="48"/>
      <c r="I88" s="74">
        <v>0.0</v>
      </c>
      <c r="J88" s="9"/>
      <c r="K88" s="48"/>
    </row>
    <row r="89" ht="22.5" customHeight="1">
      <c r="A89" s="73" t="s">
        <v>1672</v>
      </c>
      <c r="B89" s="48" t="s">
        <v>1671</v>
      </c>
      <c r="C89" s="74">
        <v>1200.0</v>
      </c>
      <c r="D89" s="74">
        <v>500.0</v>
      </c>
      <c r="E89" s="74">
        <v>700.0</v>
      </c>
      <c r="F89" s="75">
        <v>0.5833333333333334</v>
      </c>
      <c r="G89" s="9"/>
      <c r="H89" s="48"/>
      <c r="I89" s="74">
        <v>0.0</v>
      </c>
      <c r="J89" s="9"/>
      <c r="K89" s="48"/>
    </row>
    <row r="90" ht="22.5" customHeight="1">
      <c r="A90" s="73">
        <v>9408.0</v>
      </c>
      <c r="B90" s="48" t="s">
        <v>1676</v>
      </c>
      <c r="C90" s="74">
        <v>1650.0</v>
      </c>
      <c r="D90" s="74">
        <v>1050.0</v>
      </c>
      <c r="E90" s="74">
        <v>600.0</v>
      </c>
      <c r="F90" s="75">
        <v>0.36363636363636365</v>
      </c>
      <c r="G90" s="9"/>
      <c r="H90" s="48"/>
      <c r="I90" s="74">
        <v>0.0</v>
      </c>
      <c r="J90" s="9"/>
      <c r="K90" s="48"/>
    </row>
    <row r="91" ht="22.5" customHeight="1">
      <c r="A91" s="73" t="s">
        <v>1693</v>
      </c>
      <c r="B91" s="48" t="s">
        <v>1692</v>
      </c>
      <c r="C91" s="74">
        <v>1900.0</v>
      </c>
      <c r="D91" s="74">
        <v>1300.0</v>
      </c>
      <c r="E91" s="74">
        <v>600.0</v>
      </c>
      <c r="F91" s="75">
        <v>0.3157894736842105</v>
      </c>
      <c r="G91" s="9"/>
      <c r="H91" s="48"/>
      <c r="I91" s="74">
        <v>0.0</v>
      </c>
      <c r="J91" s="9"/>
      <c r="K91" s="48"/>
    </row>
    <row r="92" ht="22.5" customHeight="1">
      <c r="A92" s="73">
        <v>9064.0</v>
      </c>
      <c r="B92" s="48" t="s">
        <v>1723</v>
      </c>
      <c r="C92" s="74">
        <v>1590.0</v>
      </c>
      <c r="D92" s="74">
        <v>1000.0</v>
      </c>
      <c r="E92" s="74">
        <v>590.0</v>
      </c>
      <c r="F92" s="75">
        <v>0.3710691823899371</v>
      </c>
      <c r="G92" s="9"/>
      <c r="H92" s="48"/>
      <c r="I92" s="74">
        <v>0.0</v>
      </c>
      <c r="J92" s="9"/>
      <c r="K92" s="48"/>
    </row>
    <row r="93" ht="22.5" customHeight="1">
      <c r="A93" s="73" t="s">
        <v>1772</v>
      </c>
      <c r="B93" s="48" t="s">
        <v>1771</v>
      </c>
      <c r="C93" s="74">
        <v>2690.0</v>
      </c>
      <c r="D93" s="74">
        <v>2150.0</v>
      </c>
      <c r="E93" s="74">
        <v>540.0</v>
      </c>
      <c r="F93" s="75">
        <v>0.20074349442379183</v>
      </c>
      <c r="G93" s="9"/>
      <c r="H93" s="48"/>
      <c r="I93" s="74">
        <v>0.0</v>
      </c>
      <c r="J93" s="9"/>
      <c r="K93" s="48"/>
    </row>
    <row r="94" ht="22.5" customHeight="1">
      <c r="A94" s="73">
        <v>9620.0</v>
      </c>
      <c r="B94" s="48" t="s">
        <v>1784</v>
      </c>
      <c r="C94" s="74">
        <v>2390.0</v>
      </c>
      <c r="D94" s="74">
        <v>1790.0</v>
      </c>
      <c r="E94" s="74">
        <v>600.0</v>
      </c>
      <c r="F94" s="75">
        <v>0.2510460251046025</v>
      </c>
      <c r="G94" s="9"/>
      <c r="H94" s="48"/>
      <c r="I94" s="74">
        <v>0.0</v>
      </c>
      <c r="J94" s="9"/>
      <c r="K94" s="48"/>
    </row>
    <row r="95" ht="22.5" customHeight="1">
      <c r="A95" s="73">
        <v>5670.0</v>
      </c>
      <c r="B95" s="48" t="s">
        <v>1803</v>
      </c>
      <c r="C95" s="74">
        <v>2990.0</v>
      </c>
      <c r="D95" s="74">
        <v>2400.0</v>
      </c>
      <c r="E95" s="74">
        <v>590.0</v>
      </c>
      <c r="F95" s="75">
        <v>0.19732441471571907</v>
      </c>
      <c r="G95" s="9"/>
      <c r="H95" s="48"/>
      <c r="I95" s="74">
        <v>0.0</v>
      </c>
      <c r="J95" s="9"/>
      <c r="K95" s="48"/>
    </row>
    <row r="96" ht="22.5" customHeight="1">
      <c r="A96" s="73">
        <v>1639.0</v>
      </c>
      <c r="B96" s="48" t="s">
        <v>1821</v>
      </c>
      <c r="C96" s="74">
        <v>2990.0</v>
      </c>
      <c r="D96" s="74">
        <v>2400.0</v>
      </c>
      <c r="E96" s="74">
        <v>590.0</v>
      </c>
      <c r="F96" s="75">
        <v>0.19732441471571907</v>
      </c>
      <c r="G96" s="9"/>
      <c r="H96" s="48"/>
      <c r="I96" s="74">
        <v>0.0</v>
      </c>
      <c r="J96" s="9"/>
      <c r="K96" s="48"/>
    </row>
    <row r="97" ht="22.5" customHeight="1">
      <c r="A97" s="73">
        <v>9717.0</v>
      </c>
      <c r="B97" s="48" t="s">
        <v>1829</v>
      </c>
      <c r="C97" s="74">
        <v>1200.0</v>
      </c>
      <c r="D97" s="74">
        <v>650.0</v>
      </c>
      <c r="E97" s="74">
        <v>550.0</v>
      </c>
      <c r="F97" s="75">
        <v>0.4583333333333333</v>
      </c>
      <c r="G97" s="9"/>
      <c r="H97" s="48"/>
      <c r="I97" s="74">
        <v>0.0</v>
      </c>
      <c r="J97" s="9"/>
      <c r="K97" s="48"/>
    </row>
    <row r="98" ht="22.5" customHeight="1">
      <c r="A98" s="73">
        <v>9289.0</v>
      </c>
      <c r="B98" s="48" t="s">
        <v>1827</v>
      </c>
      <c r="C98" s="74">
        <v>1100.0</v>
      </c>
      <c r="D98" s="74">
        <v>650.0</v>
      </c>
      <c r="E98" s="74">
        <v>450.0</v>
      </c>
      <c r="F98" s="75">
        <v>0.4090909090909091</v>
      </c>
      <c r="G98" s="9"/>
      <c r="H98" s="48"/>
      <c r="I98" s="74">
        <v>0.0</v>
      </c>
      <c r="J98" s="9"/>
      <c r="K98" s="48"/>
    </row>
    <row r="99" ht="22.5" customHeight="1">
      <c r="A99" s="73">
        <v>9930.0</v>
      </c>
      <c r="B99" s="48" t="s">
        <v>1852</v>
      </c>
      <c r="C99" s="74">
        <v>2350.0</v>
      </c>
      <c r="D99" s="74">
        <v>1750.0</v>
      </c>
      <c r="E99" s="74">
        <v>600.0</v>
      </c>
      <c r="F99" s="75">
        <v>0.2553191489361702</v>
      </c>
      <c r="G99" s="9"/>
      <c r="H99" s="48"/>
      <c r="I99" s="74">
        <v>0.0</v>
      </c>
      <c r="J99" s="9"/>
      <c r="K99" s="48"/>
    </row>
    <row r="100" ht="22.5" customHeight="1">
      <c r="A100" s="73" t="s">
        <v>1889</v>
      </c>
      <c r="B100" s="48" t="s">
        <v>1888</v>
      </c>
      <c r="C100" s="74">
        <v>7400.0</v>
      </c>
      <c r="D100" s="74">
        <v>5900.0</v>
      </c>
      <c r="E100" s="74">
        <v>1500.0</v>
      </c>
      <c r="F100" s="75">
        <v>0.20270270270270271</v>
      </c>
      <c r="G100" s="9"/>
      <c r="H100" s="48"/>
      <c r="I100" s="74">
        <v>0.0</v>
      </c>
      <c r="J100" s="9"/>
      <c r="K100" s="48"/>
    </row>
    <row r="101" ht="22.5" customHeight="1">
      <c r="A101" s="73" t="s">
        <v>1893</v>
      </c>
      <c r="B101" s="48" t="s">
        <v>1892</v>
      </c>
      <c r="C101" s="74">
        <v>7000.0</v>
      </c>
      <c r="D101" s="74">
        <v>5500.0</v>
      </c>
      <c r="E101" s="74">
        <v>1500.0</v>
      </c>
      <c r="F101" s="75">
        <v>0.21428571428571427</v>
      </c>
      <c r="G101" s="9"/>
      <c r="H101" s="48"/>
      <c r="I101" s="74">
        <v>0.0</v>
      </c>
      <c r="J101" s="9"/>
      <c r="K101" s="48"/>
    </row>
    <row r="102" ht="22.5" customHeight="1">
      <c r="A102" s="73" t="s">
        <v>1895</v>
      </c>
      <c r="B102" s="48" t="s">
        <v>1894</v>
      </c>
      <c r="C102" s="74">
        <v>1550.0</v>
      </c>
      <c r="D102" s="74">
        <v>1015.0</v>
      </c>
      <c r="E102" s="74">
        <v>535.0</v>
      </c>
      <c r="F102" s="75">
        <v>0.34516129032258064</v>
      </c>
      <c r="G102" s="9"/>
      <c r="H102" s="48"/>
      <c r="I102" s="74">
        <v>0.0</v>
      </c>
      <c r="J102" s="9"/>
      <c r="K102" s="48"/>
    </row>
    <row r="103" ht="22.5" customHeight="1">
      <c r="A103" s="73">
        <v>9831.0</v>
      </c>
      <c r="B103" s="48" t="s">
        <v>1935</v>
      </c>
      <c r="C103" s="74">
        <v>2590.0</v>
      </c>
      <c r="D103" s="74">
        <v>1990.0</v>
      </c>
      <c r="E103" s="74">
        <v>600.0</v>
      </c>
      <c r="F103" s="75">
        <v>0.23166023166023167</v>
      </c>
      <c r="G103" s="9"/>
      <c r="H103" s="48"/>
      <c r="I103" s="74">
        <v>0.0</v>
      </c>
      <c r="J103" s="9"/>
      <c r="K103" s="48"/>
    </row>
    <row r="104" ht="22.5" customHeight="1">
      <c r="A104" s="73" t="s">
        <v>1992</v>
      </c>
      <c r="B104" s="48" t="s">
        <v>1991</v>
      </c>
      <c r="C104" s="74">
        <v>1200.0</v>
      </c>
      <c r="D104" s="74">
        <v>730.0</v>
      </c>
      <c r="E104" s="74">
        <v>470.0</v>
      </c>
      <c r="F104" s="75">
        <v>0.39166666666666666</v>
      </c>
      <c r="G104" s="9"/>
      <c r="H104" s="48"/>
      <c r="I104" s="74">
        <v>0.0</v>
      </c>
      <c r="J104" s="9"/>
      <c r="K104" s="48"/>
    </row>
    <row r="105" ht="22.5" customHeight="1">
      <c r="A105" s="73">
        <v>9158.0</v>
      </c>
      <c r="B105" s="48" t="s">
        <v>2021</v>
      </c>
      <c r="C105" s="74">
        <v>1250.0</v>
      </c>
      <c r="D105" s="74">
        <v>650.0</v>
      </c>
      <c r="E105" s="74">
        <v>1250.0</v>
      </c>
      <c r="F105" s="75">
        <v>0.0</v>
      </c>
      <c r="G105" s="9" t="s">
        <v>2413</v>
      </c>
      <c r="H105" s="48"/>
      <c r="I105" s="74">
        <v>0.0</v>
      </c>
      <c r="J105" s="9" t="s">
        <v>2390</v>
      </c>
      <c r="K105" s="48"/>
    </row>
    <row r="106" ht="22.5" customHeight="1">
      <c r="A106" s="73" t="s">
        <v>2059</v>
      </c>
      <c r="B106" s="48" t="s">
        <v>2058</v>
      </c>
      <c r="C106" s="74">
        <v>1550.0</v>
      </c>
      <c r="D106" s="74">
        <v>950.0</v>
      </c>
      <c r="E106" s="74">
        <v>600.0</v>
      </c>
      <c r="F106" s="75">
        <v>0.3870967741935484</v>
      </c>
      <c r="G106" s="9"/>
      <c r="H106" s="48"/>
      <c r="I106" s="74">
        <v>0.0</v>
      </c>
      <c r="J106" s="9"/>
      <c r="K106" s="48"/>
    </row>
    <row r="107" ht="22.5" customHeight="1">
      <c r="A107" s="73" t="s">
        <v>2243</v>
      </c>
      <c r="B107" s="48" t="s">
        <v>2242</v>
      </c>
      <c r="C107" s="74">
        <v>1990.0</v>
      </c>
      <c r="D107" s="74">
        <v>1390.0</v>
      </c>
      <c r="E107" s="74">
        <v>1990.0</v>
      </c>
      <c r="F107" s="75">
        <v>0.0</v>
      </c>
      <c r="G107" s="9"/>
      <c r="H107" s="48" t="s">
        <v>58</v>
      </c>
      <c r="I107" s="74">
        <v>0.0</v>
      </c>
      <c r="J107" s="9"/>
      <c r="K107" s="48"/>
    </row>
    <row r="108" ht="22.5" customHeight="1">
      <c r="A108" s="73" t="s">
        <v>2251</v>
      </c>
      <c r="B108" s="48" t="s">
        <v>2250</v>
      </c>
      <c r="C108" s="74">
        <v>1350.0</v>
      </c>
      <c r="D108" s="74">
        <v>750.0</v>
      </c>
      <c r="E108" s="74">
        <v>1350.0</v>
      </c>
      <c r="F108" s="75">
        <v>0.0</v>
      </c>
      <c r="G108" s="9"/>
      <c r="H108" s="48"/>
      <c r="I108" s="74">
        <v>0.0</v>
      </c>
      <c r="J108" s="9"/>
      <c r="K108" s="48"/>
    </row>
    <row r="109" ht="22.5" customHeight="1">
      <c r="A109" s="73">
        <v>8012.0</v>
      </c>
      <c r="B109" s="48" t="s">
        <v>2277</v>
      </c>
      <c r="C109" s="74">
        <v>2990.0</v>
      </c>
      <c r="D109" s="74">
        <v>2390.0</v>
      </c>
      <c r="E109" s="74">
        <v>2990.0</v>
      </c>
      <c r="F109" s="75">
        <v>0.0</v>
      </c>
      <c r="G109" s="9"/>
      <c r="H109" s="48"/>
      <c r="I109" s="74">
        <v>0.0</v>
      </c>
      <c r="J109" s="9"/>
      <c r="K109" s="48"/>
    </row>
    <row r="110" ht="22.5" customHeight="1">
      <c r="A110" s="73" t="s">
        <v>2262</v>
      </c>
      <c r="B110" s="48" t="s">
        <v>2261</v>
      </c>
      <c r="C110" s="74">
        <v>3900.0</v>
      </c>
      <c r="D110" s="74">
        <v>3000.0</v>
      </c>
      <c r="E110" s="74">
        <v>3900.0</v>
      </c>
      <c r="F110" s="75">
        <v>0.0</v>
      </c>
      <c r="G110" s="9"/>
      <c r="H110" s="48"/>
      <c r="I110" s="74">
        <v>0.0</v>
      </c>
      <c r="J110" s="9"/>
      <c r="K110" s="48"/>
    </row>
    <row r="111" ht="22.5" customHeight="1">
      <c r="A111" s="73">
        <v>7367.0</v>
      </c>
      <c r="B111" s="48" t="s">
        <v>2311</v>
      </c>
      <c r="C111" s="74">
        <v>2600.0</v>
      </c>
      <c r="D111" s="74">
        <v>2050.0</v>
      </c>
      <c r="E111" s="74">
        <v>550.0</v>
      </c>
      <c r="F111" s="75">
        <v>0.21153846153846154</v>
      </c>
      <c r="G111" s="9"/>
      <c r="H111" s="48"/>
      <c r="I111" s="74">
        <v>0.0</v>
      </c>
      <c r="J111" s="9"/>
      <c r="K111" s="48"/>
    </row>
    <row r="112" ht="22.5" customHeight="1">
      <c r="A112" s="73">
        <v>9272.0</v>
      </c>
      <c r="B112" s="48" t="s">
        <v>2307</v>
      </c>
      <c r="C112" s="74">
        <v>1750.0</v>
      </c>
      <c r="D112" s="74">
        <v>1150.0</v>
      </c>
      <c r="E112" s="74">
        <v>600.0</v>
      </c>
      <c r="F112" s="75">
        <v>0.34285714285714286</v>
      </c>
      <c r="G112" s="9"/>
      <c r="H112" s="48"/>
      <c r="I112" s="74">
        <v>0.0</v>
      </c>
      <c r="J112" s="9"/>
      <c r="K112" s="48"/>
    </row>
    <row r="113" ht="22.5" customHeight="1">
      <c r="A113" s="73">
        <v>8837.0</v>
      </c>
      <c r="B113" s="48" t="s">
        <v>2306</v>
      </c>
      <c r="C113" s="74">
        <v>1500.0</v>
      </c>
      <c r="D113" s="74">
        <v>900.0</v>
      </c>
      <c r="E113" s="74">
        <v>600.0</v>
      </c>
      <c r="F113" s="75">
        <v>0.4</v>
      </c>
      <c r="G113" s="9"/>
      <c r="H113" s="48"/>
      <c r="I113" s="74">
        <v>0.0</v>
      </c>
      <c r="J113" s="9"/>
      <c r="K113" s="48"/>
    </row>
    <row r="114" ht="22.5" customHeight="1">
      <c r="A114" s="73">
        <v>9586.0</v>
      </c>
      <c r="B114" s="48" t="s">
        <v>2301</v>
      </c>
      <c r="C114" s="74">
        <v>2590.0</v>
      </c>
      <c r="D114" s="74">
        <v>1990.0</v>
      </c>
      <c r="E114" s="74">
        <v>600.0</v>
      </c>
      <c r="F114" s="75">
        <v>0.23166023166023167</v>
      </c>
      <c r="G114" s="9"/>
      <c r="H114" s="48"/>
      <c r="I114" s="74">
        <v>0.0</v>
      </c>
      <c r="J114" s="9"/>
      <c r="K114" s="48"/>
    </row>
    <row r="115" ht="22.5" customHeight="1">
      <c r="A115" s="73">
        <v>9686.0</v>
      </c>
      <c r="B115" s="48" t="s">
        <v>2296</v>
      </c>
      <c r="C115" s="74">
        <v>2150.0</v>
      </c>
      <c r="D115" s="74">
        <v>1550.0</v>
      </c>
      <c r="E115" s="74">
        <v>600.0</v>
      </c>
      <c r="F115" s="75">
        <v>0.27906976744186046</v>
      </c>
      <c r="G115" s="9"/>
      <c r="H115" s="48"/>
      <c r="I115" s="74">
        <v>0.0</v>
      </c>
      <c r="J115" s="9"/>
      <c r="K115" s="48"/>
    </row>
    <row r="116" ht="22.5" customHeight="1">
      <c r="A116" s="73">
        <v>627.0</v>
      </c>
      <c r="B116" s="48" t="s">
        <v>2284</v>
      </c>
      <c r="C116" s="74">
        <v>850.0</v>
      </c>
      <c r="D116" s="74">
        <v>450.0</v>
      </c>
      <c r="E116" s="74">
        <v>400.0</v>
      </c>
      <c r="F116" s="75">
        <v>0.47058823529411764</v>
      </c>
      <c r="G116" s="9"/>
      <c r="H116" s="48"/>
      <c r="I116" s="74">
        <v>0.0</v>
      </c>
      <c r="J116" s="9"/>
      <c r="K116" s="48"/>
    </row>
    <row r="117" ht="22.5" customHeight="1">
      <c r="A117" s="73">
        <v>8970.0</v>
      </c>
      <c r="B117" s="48" t="s">
        <v>2282</v>
      </c>
      <c r="C117" s="74">
        <v>2300.0</v>
      </c>
      <c r="D117" s="74">
        <v>1700.0</v>
      </c>
      <c r="E117" s="74">
        <v>600.0</v>
      </c>
      <c r="F117" s="75">
        <v>0.2608695652173913</v>
      </c>
      <c r="G117" s="9"/>
      <c r="H117" s="48"/>
      <c r="I117" s="74">
        <v>0.0</v>
      </c>
      <c r="J117" s="9"/>
      <c r="K117" s="48"/>
    </row>
    <row r="118" ht="22.5" customHeight="1">
      <c r="A118" s="73">
        <v>9273.0</v>
      </c>
      <c r="B118" s="48" t="s">
        <v>2333</v>
      </c>
      <c r="C118" s="74">
        <v>1600.0</v>
      </c>
      <c r="D118" s="74">
        <v>1000.0</v>
      </c>
      <c r="E118" s="74">
        <v>600.0</v>
      </c>
      <c r="F118" s="75">
        <v>0.375</v>
      </c>
      <c r="G118" s="9"/>
      <c r="H118" s="48"/>
      <c r="I118" s="74">
        <v>0.0</v>
      </c>
      <c r="J118" s="9"/>
      <c r="K118" s="48"/>
    </row>
    <row r="119" ht="22.5" customHeight="1">
      <c r="A119" s="73" t="s">
        <v>2342</v>
      </c>
      <c r="B119" s="48" t="s">
        <v>2341</v>
      </c>
      <c r="C119" s="74">
        <v>6000.0</v>
      </c>
      <c r="D119" s="74">
        <v>4500.0</v>
      </c>
      <c r="E119" s="74">
        <v>1500.0</v>
      </c>
      <c r="F119" s="75">
        <v>0.25</v>
      </c>
      <c r="G119" s="9"/>
      <c r="H119" s="48"/>
      <c r="I119" s="74">
        <v>0.0</v>
      </c>
      <c r="J119" s="9"/>
      <c r="K119" s="48"/>
    </row>
  </sheetData>
  <conditionalFormatting sqref="F2:F28">
    <cfRule type="cellIs" dxfId="14" priority="1" stopIfTrue="1" operator="greaterThan">
      <formula>0.4</formula>
    </cfRule>
  </conditionalFormatting>
  <conditionalFormatting sqref="F2:F28">
    <cfRule type="cellIs" dxfId="15" priority="2" stopIfTrue="1" operator="lessThan">
      <formula>0.2</formula>
    </cfRule>
  </conditionalFormatting>
  <dataValidations>
    <dataValidation type="list" allowBlank="1" showDropDown="1" showErrorMessage="1" sqref="J2:J119">
      <formula1>"Áo,Giày,Quần,Khác,Set/Bộ,Váy"</formula1>
    </dataValidation>
    <dataValidation type="list" allowBlank="1" showDropDown="1" showErrorMessage="1" sqref="G2:G119">
      <formula1>"FZ,M,S,35,36,37,38,39,40,L,M,S,S,35,36,37,38,L,37"</formula1>
    </dataValidation>
    <dataValidation type="custom" allowBlank="1" showDropDown="1" sqref="A2:A119 C2:F119 I2:I119">
      <formula1>AND(ISNUMBER(A2),(NOT(OR(NOT(ISERROR(DATEVALUE(A2))), AND(ISNUMBER(A2), LEFT(CELL("format", A2))="D")))))</formula1>
    </dataValidation>
  </dataValidations>
  <hyperlinks>
    <hyperlink r:id="rId1" ref="K2"/>
    <hyperlink r:id="rId2" ref="K41"/>
    <hyperlink r:id="rId3" ref="K42"/>
    <hyperlink r:id="rId4" ref="K45"/>
    <hyperlink r:id="rId5" ref="K47"/>
    <hyperlink r:id="rId6" ref="K49"/>
    <hyperlink r:id="rId7" ref="K52"/>
    <hyperlink r:id="rId8" ref="K53"/>
    <hyperlink r:id="rId9" ref="K56"/>
    <hyperlink r:id="rId10" ref="K57"/>
    <hyperlink r:id="rId11" ref="K59"/>
    <hyperlink r:id="rId12" ref="K61"/>
  </hyperlinks>
  <drawing r:id="rId13"/>
  <tableParts count="1">
    <tablePart r:id="rId1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63"/>
    <col customWidth="1" min="3" max="3" width="15.13"/>
    <col customWidth="1" min="4" max="4" width="12.63"/>
  </cols>
  <sheetData>
    <row r="1">
      <c r="A1" s="77" t="s">
        <v>2429</v>
      </c>
    </row>
    <row r="3">
      <c r="B3" s="2" t="s">
        <v>2430</v>
      </c>
      <c r="C3" s="2" t="s">
        <v>2431</v>
      </c>
    </row>
    <row r="4">
      <c r="A4" s="2" t="s">
        <v>2432</v>
      </c>
      <c r="B4" s="2" t="s">
        <v>2433</v>
      </c>
      <c r="C4" s="38">
        <f>COUNTIFS('NHẬP ĐƠN'!A2:A1000,"&lt;&gt;",'NHẬP ĐƠN'!I2:I1000,"&lt;&gt;Đã xoá")</f>
        <v>938</v>
      </c>
    </row>
    <row r="5">
      <c r="A5" s="2" t="s">
        <v>2434</v>
      </c>
      <c r="B5" s="2" t="s">
        <v>2435</v>
      </c>
      <c r="C5" s="11">
        <f>SUMPRODUCT(('NHẬP ĐƠN'!I$2:I$1000&lt;&gt;"Đã xoá")*('NHẬP ĐƠN'!G$2:G$1000)*('NHẬP ĐƠN'!F$2:F$1000))</f>
        <v>1459900</v>
      </c>
    </row>
    <row r="6">
      <c r="A6" s="2" t="s">
        <v>2436</v>
      </c>
      <c r="B6" s="2" t="s">
        <v>2437</v>
      </c>
      <c r="C6" s="11">
        <f>SUMPRODUCT(('NHẬP ĐƠN'!I$2:I$1000&lt;&gt;"Đã xoá")*('NHẬP ĐƠN'!G$2:G$1000-IFERROR(VLOOKUP('NHẬP ĐƠN'!C$2:C$1000,CATALOG!A:D,4,FALSE),0))*('NHẬP ĐƠN'!F$2:F$1000))</f>
        <v>618320</v>
      </c>
    </row>
    <row r="7">
      <c r="A7" s="2" t="s">
        <v>2438</v>
      </c>
      <c r="B7" s="2" t="s">
        <v>473</v>
      </c>
      <c r="C7" s="38">
        <f>COUNTIF('NHẬP ĐƠN'!I2:I1000,"Về kho")</f>
        <v>5</v>
      </c>
    </row>
    <row r="8">
      <c r="A8" s="2" t="s">
        <v>2439</v>
      </c>
      <c r="B8" s="2" t="s">
        <v>14</v>
      </c>
      <c r="C8" s="38">
        <f>COUNTIF('NHẬP ĐƠN'!I2:I1000,"Đã gửi")</f>
        <v>933</v>
      </c>
    </row>
    <row r="10">
      <c r="B10" s="2" t="s">
        <v>8</v>
      </c>
      <c r="C10" s="2" t="s">
        <v>2440</v>
      </c>
      <c r="D10" s="78"/>
    </row>
    <row r="11">
      <c r="A11" s="2" t="s">
        <v>2441</v>
      </c>
      <c r="B11" s="2" t="s">
        <v>2442</v>
      </c>
      <c r="C11" s="38">
        <f>COUNTIF('NHẬP ĐƠN'!I2:I1000,"CHƯA ĐẶT")</f>
        <v>0</v>
      </c>
      <c r="D11" s="79"/>
    </row>
    <row r="12">
      <c r="A12" s="2" t="s">
        <v>2443</v>
      </c>
      <c r="B12" s="2" t="s">
        <v>1183</v>
      </c>
      <c r="C12" s="38">
        <f>COUNTIF('NHẬP ĐƠN'!I2:I1000,"Chờ hàng")</f>
        <v>0</v>
      </c>
      <c r="D12" s="79"/>
    </row>
    <row r="13">
      <c r="A13" s="2" t="s">
        <v>2444</v>
      </c>
      <c r="B13" s="2" t="s">
        <v>2445</v>
      </c>
      <c r="C13" s="38">
        <f>COUNTIF('NHẬP ĐƠN'!I2:I1000,"Đang ship")</f>
        <v>0</v>
      </c>
      <c r="D13" s="79"/>
    </row>
    <row r="14">
      <c r="A14" s="2" t="s">
        <v>2446</v>
      </c>
      <c r="B14" s="2" t="s">
        <v>473</v>
      </c>
      <c r="C14" s="38">
        <f>COUNTIF('NHẬP ĐƠN'!I2:I1000,"Về kho")</f>
        <v>5</v>
      </c>
      <c r="D14" s="79"/>
    </row>
    <row r="15">
      <c r="A15" s="2" t="s">
        <v>2447</v>
      </c>
      <c r="B15" s="2" t="s">
        <v>14</v>
      </c>
      <c r="C15" s="38">
        <f>COUNTIF('NHẬP ĐƠN'!I2:I1000,"Đã gửi")</f>
        <v>933</v>
      </c>
      <c r="D15" s="79"/>
    </row>
    <row r="17">
      <c r="B17" s="78"/>
    </row>
    <row r="30">
      <c r="B30" s="7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8567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4" max="4" width="13.88"/>
    <col customWidth="1" min="6" max="6" width="25.13"/>
    <col customWidth="1" min="7" max="7" width="13.88"/>
    <col customWidth="1" min="11" max="11" width="27.63"/>
  </cols>
  <sheetData>
    <row r="1">
      <c r="A1" s="80" t="s">
        <v>0</v>
      </c>
      <c r="B1" s="80" t="s">
        <v>2448</v>
      </c>
      <c r="C1" s="80" t="s">
        <v>2449</v>
      </c>
      <c r="D1" s="80" t="s">
        <v>2435</v>
      </c>
      <c r="E1" s="80" t="s">
        <v>2450</v>
      </c>
      <c r="F1" s="80" t="s">
        <v>2451</v>
      </c>
      <c r="G1" s="80" t="s">
        <v>2452</v>
      </c>
      <c r="H1" s="1" t="s">
        <v>2453</v>
      </c>
      <c r="I1" s="1" t="s">
        <v>2454</v>
      </c>
      <c r="J1" s="1" t="s">
        <v>2455</v>
      </c>
      <c r="K1" s="81" t="s">
        <v>2456</v>
      </c>
      <c r="L1" s="1" t="s">
        <v>2457</v>
      </c>
      <c r="M1" s="1" t="s">
        <v>2451</v>
      </c>
    </row>
    <row r="2">
      <c r="A2" s="38" t="str">
        <f>IFERROR(__xludf.DUMMYFUNCTION("SORT(UNIQUE(FILTER('NHẬP ĐƠN'!A2:A661, 'NHẬP ĐƠN'!A2:A661&lt;&gt;"""", 'NHẬP ĐƠN'!I2:I661&lt;&gt;""Đã xoá"")))"),"#REF!")</f>
        <v>#REF!</v>
      </c>
      <c r="B2" s="38" t="str">
        <f>IF(A2="","",COUNTIFS('NHẬP ĐƠN'!A:A,A2,'NHẬP ĐƠN'!I:I,"&lt;&gt;Đã xoá"))</f>
        <v>#REF!</v>
      </c>
      <c r="C2" s="38" t="str">
        <f>IF(A2="","",SUMPRODUCT(('NHẬP ĐƠN'!A$2:A$1000=A2)*('NHẬP ĐƠN'!I$2:I$1000&lt;&gt;"Đã xoá")*('NHẬP ĐƠN'!F$2:F$1000)))</f>
        <v>#REF!</v>
      </c>
      <c r="D2" s="11" t="str">
        <f>IF(A2="","",SUMPRODUCT(('NHẬP ĐƠN'!A$2:A$1000=A2)*('NHẬP ĐƠN'!I$2:I$1000&lt;&gt;"Đã xoá")*('NHẬP ĐƠN'!G$2:G$1000)*('NHẬP ĐƠN'!F$2:F$1000)))</f>
        <v>#REF!</v>
      </c>
      <c r="E2" s="11" t="str">
        <f t="shared" ref="E2:E350" si="1">IF(B2&gt;0,D2/B2,"")</f>
        <v>#REF!</v>
      </c>
      <c r="F2" s="38" t="str">
        <f>IFERROR(VLOOKUP(A2,'NHẬP ĐƠN'!A:J,10,FALSE),"")</f>
        <v/>
      </c>
      <c r="G2" s="38" t="str">
        <f t="shared" ref="G2:G350" si="2">IF(A2="","",IF(OR(D2&gt;=10000,B2&gt;=5),"⭐ VIP",IF(B2&gt;=3,"💎 Thân thiết","👤 Thường")))</f>
        <v>#REF!</v>
      </c>
      <c r="H2" s="2" t="s">
        <v>2458</v>
      </c>
      <c r="I2" s="2" t="s">
        <v>2459</v>
      </c>
      <c r="J2" s="2" t="s">
        <v>2460</v>
      </c>
      <c r="K2" s="82" t="s">
        <v>2461</v>
      </c>
    </row>
    <row r="3">
      <c r="A3" s="38"/>
      <c r="B3" s="38" t="str">
        <f>IF(A3="","",COUNTIFS('NHẬP ĐƠN'!A:A,A3,'NHẬP ĐƠN'!I:I,"&lt;&gt;Đã xoá"))</f>
        <v/>
      </c>
      <c r="C3" s="38" t="str">
        <f>IF(A3="","",SUMPRODUCT(('NHẬP ĐƠN'!A$2:A$1000=A3)*('NHẬP ĐƠN'!I$2:I$1000&lt;&gt;"Đã xoá")*('NHẬP ĐƠN'!F$2:F$1000)))</f>
        <v/>
      </c>
      <c r="D3" s="11" t="str">
        <f>IF(A3="","",SUMPRODUCT(('NHẬP ĐƠN'!A$2:A$1000=A3)*('NHẬP ĐƠN'!I$2:I$1000&lt;&gt;"Đã xoá")*('NHẬP ĐƠN'!G$2:G$1000)*('NHẬP ĐƠN'!F$2:F$1000)))</f>
        <v/>
      </c>
      <c r="E3" s="11" t="str">
        <f t="shared" si="1"/>
        <v>#DIV/0!</v>
      </c>
      <c r="F3" s="38" t="str">
        <f>IFERROR(VLOOKUP(A3,'NHẬP ĐƠN'!A:J,10,FALSE),"")</f>
        <v/>
      </c>
      <c r="G3" s="38" t="str">
        <f t="shared" si="2"/>
        <v/>
      </c>
      <c r="H3" s="2" t="s">
        <v>2462</v>
      </c>
      <c r="I3" s="2" t="s">
        <v>2463</v>
      </c>
      <c r="J3" s="2" t="s">
        <v>2464</v>
      </c>
      <c r="K3" s="82" t="s">
        <v>2465</v>
      </c>
    </row>
    <row r="4">
      <c r="A4" s="38"/>
      <c r="B4" s="38" t="str">
        <f>IF(A4="","",COUNTIFS('NHẬP ĐƠN'!A:A,A4,'NHẬP ĐƠN'!I:I,"&lt;&gt;Đã xoá"))</f>
        <v/>
      </c>
      <c r="C4" s="38" t="str">
        <f>IF(A4="","",SUMPRODUCT(('NHẬP ĐƠN'!A$2:A$1000=A4)*('NHẬP ĐƠN'!I$2:I$1000&lt;&gt;"Đã xoá")*('NHẬP ĐƠN'!F$2:F$1000)))</f>
        <v/>
      </c>
      <c r="D4" s="11" t="str">
        <f>IF(A4="","",SUMPRODUCT(('NHẬP ĐƠN'!A$2:A$1000=A4)*('NHẬP ĐƠN'!I$2:I$1000&lt;&gt;"Đã xoá")*('NHẬP ĐƠN'!G$2:G$1000)*('NHẬP ĐƠN'!F$2:F$1000)))</f>
        <v/>
      </c>
      <c r="E4" s="11" t="str">
        <f t="shared" si="1"/>
        <v>#DIV/0!</v>
      </c>
      <c r="F4" s="38" t="str">
        <f>IFERROR(VLOOKUP(A4,'NHẬP ĐƠN'!A:J,10,FALSE),"")</f>
        <v/>
      </c>
      <c r="G4" s="38" t="str">
        <f t="shared" si="2"/>
        <v/>
      </c>
      <c r="K4" s="83"/>
    </row>
    <row r="5">
      <c r="A5" s="38"/>
      <c r="B5" s="38" t="str">
        <f>IF(A5="","",COUNTIFS('NHẬP ĐƠN'!A:A,A5,'NHẬP ĐƠN'!I:I,"&lt;&gt;Đã xoá"))</f>
        <v/>
      </c>
      <c r="C5" s="38" t="str">
        <f>IF(A5="","",SUMPRODUCT(('NHẬP ĐƠN'!A$2:A$1000=A5)*('NHẬP ĐƠN'!I$2:I$1000&lt;&gt;"Đã xoá")*('NHẬP ĐƠN'!F$2:F$1000)))</f>
        <v/>
      </c>
      <c r="D5" s="11" t="str">
        <f>IF(A5="","",SUMPRODUCT(('NHẬP ĐƠN'!A$2:A$1000=A5)*('NHẬP ĐƠN'!I$2:I$1000&lt;&gt;"Đã xoá")*('NHẬP ĐƠN'!G$2:G$1000)*('NHẬP ĐƠN'!F$2:F$1000)))</f>
        <v/>
      </c>
      <c r="E5" s="11" t="str">
        <f t="shared" si="1"/>
        <v>#DIV/0!</v>
      </c>
      <c r="F5" s="38" t="str">
        <f>IFERROR(VLOOKUP(A5,'NHẬP ĐƠN'!A:J,10,FALSE),"")</f>
        <v/>
      </c>
      <c r="G5" s="38" t="str">
        <f t="shared" si="2"/>
        <v/>
      </c>
      <c r="K5" s="83"/>
    </row>
    <row r="6">
      <c r="A6" s="38"/>
      <c r="B6" s="38" t="str">
        <f>IF(A6="","",COUNTIFS('NHẬP ĐƠN'!A:A,A6,'NHẬP ĐƠN'!I:I,"&lt;&gt;Đã xoá"))</f>
        <v/>
      </c>
      <c r="C6" s="38" t="str">
        <f>IF(A6="","",SUMPRODUCT(('NHẬP ĐƠN'!A$2:A$1000=A6)*('NHẬP ĐƠN'!I$2:I$1000&lt;&gt;"Đã xoá")*('NHẬP ĐƠN'!F$2:F$1000)))</f>
        <v/>
      </c>
      <c r="D6" s="11" t="str">
        <f>IF(A6="","",SUMPRODUCT(('NHẬP ĐƠN'!A$2:A$1000=A6)*('NHẬP ĐƠN'!I$2:I$1000&lt;&gt;"Đã xoá")*('NHẬP ĐƠN'!G$2:G$1000)*('NHẬP ĐƠN'!F$2:F$1000)))</f>
        <v/>
      </c>
      <c r="E6" s="11" t="str">
        <f t="shared" si="1"/>
        <v>#DIV/0!</v>
      </c>
      <c r="F6" s="38" t="str">
        <f>IFERROR(VLOOKUP(A6,'NHẬP ĐƠN'!A:J,10,FALSE),"")</f>
        <v/>
      </c>
      <c r="G6" s="38" t="str">
        <f t="shared" si="2"/>
        <v/>
      </c>
      <c r="K6" s="83"/>
    </row>
    <row r="7">
      <c r="A7" s="38"/>
      <c r="B7" s="38" t="str">
        <f>IF(A7="","",COUNTIFS('NHẬP ĐƠN'!A:A,A7,'NHẬP ĐƠN'!I:I,"&lt;&gt;Đã xoá"))</f>
        <v/>
      </c>
      <c r="C7" s="38" t="str">
        <f>IF(A7="","",SUMPRODUCT(('NHẬP ĐƠN'!A$2:A$1000=A7)*('NHẬP ĐƠN'!I$2:I$1000&lt;&gt;"Đã xoá")*('NHẬP ĐƠN'!F$2:F$1000)))</f>
        <v/>
      </c>
      <c r="D7" s="11" t="str">
        <f>IF(A7="","",SUMPRODUCT(('NHẬP ĐƠN'!A$2:A$1000=A7)*('NHẬP ĐƠN'!I$2:I$1000&lt;&gt;"Đã xoá")*('NHẬP ĐƠN'!G$2:G$1000)*('NHẬP ĐƠN'!F$2:F$1000)))</f>
        <v/>
      </c>
      <c r="E7" s="11" t="str">
        <f t="shared" si="1"/>
        <v>#DIV/0!</v>
      </c>
      <c r="F7" s="38" t="str">
        <f>IFERROR(VLOOKUP(A7,'NHẬP ĐƠN'!A:J,10,FALSE),"")</f>
        <v/>
      </c>
      <c r="G7" s="38" t="str">
        <f t="shared" si="2"/>
        <v/>
      </c>
      <c r="H7" s="2" t="s">
        <v>2466</v>
      </c>
      <c r="I7" s="2" t="s">
        <v>2467</v>
      </c>
      <c r="J7" s="2" t="s">
        <v>2468</v>
      </c>
      <c r="K7" s="82" t="s">
        <v>2469</v>
      </c>
      <c r="L7" s="2">
        <v>8.080359847E9</v>
      </c>
    </row>
    <row r="8">
      <c r="A8" s="38"/>
      <c r="B8" s="38" t="str">
        <f>IF(A8="","",COUNTIFS('NHẬP ĐƠN'!A:A,A8,'NHẬP ĐƠN'!I:I,"&lt;&gt;Đã xoá"))</f>
        <v/>
      </c>
      <c r="C8" s="38" t="str">
        <f>IF(A8="","",SUMPRODUCT(('NHẬP ĐƠN'!A$2:A$1000=A8)*('NHẬP ĐƠN'!I$2:I$1000&lt;&gt;"Đã xoá")*('NHẬP ĐƠN'!F$2:F$1000)))</f>
        <v/>
      </c>
      <c r="D8" s="11" t="str">
        <f>IF(A8="","",SUMPRODUCT(('NHẬP ĐƠN'!A$2:A$1000=A8)*('NHẬP ĐƠN'!I$2:I$1000&lt;&gt;"Đã xoá")*('NHẬP ĐƠN'!G$2:G$1000)*('NHẬP ĐƠN'!F$2:F$1000)))</f>
        <v/>
      </c>
      <c r="E8" s="11" t="str">
        <f t="shared" si="1"/>
        <v>#DIV/0!</v>
      </c>
      <c r="F8" s="38" t="str">
        <f>IFERROR(VLOOKUP(A8,'NHẬP ĐƠN'!A:J,10,FALSE),"")</f>
        <v/>
      </c>
      <c r="G8" s="38" t="str">
        <f t="shared" si="2"/>
        <v/>
      </c>
      <c r="K8" s="83"/>
    </row>
    <row r="9">
      <c r="A9" s="38"/>
      <c r="B9" s="38" t="str">
        <f>IF(A9="","",COUNTIFS('NHẬP ĐƠN'!A:A,A9,'NHẬP ĐƠN'!I:I,"&lt;&gt;Đã xoá"))</f>
        <v/>
      </c>
      <c r="C9" s="38" t="str">
        <f>IF(A9="","",SUMPRODUCT(('NHẬP ĐƠN'!A$2:A$1000=A9)*('NHẬP ĐƠN'!I$2:I$1000&lt;&gt;"Đã xoá")*('NHẬP ĐƠN'!F$2:F$1000)))</f>
        <v/>
      </c>
      <c r="D9" s="11" t="str">
        <f>IF(A9="","",SUMPRODUCT(('NHẬP ĐƠN'!A$2:A$1000=A9)*('NHẬP ĐƠN'!I$2:I$1000&lt;&gt;"Đã xoá")*('NHẬP ĐƠN'!G$2:G$1000)*('NHẬP ĐƠN'!F$2:F$1000)))</f>
        <v/>
      </c>
      <c r="E9" s="11" t="str">
        <f t="shared" si="1"/>
        <v>#DIV/0!</v>
      </c>
      <c r="F9" s="38" t="str">
        <f>IFERROR(VLOOKUP(A9,'NHẬP ĐƠN'!A:J,10,FALSE),"")</f>
        <v/>
      </c>
      <c r="G9" s="38" t="str">
        <f t="shared" si="2"/>
        <v/>
      </c>
      <c r="H9" s="2" t="s">
        <v>2470</v>
      </c>
      <c r="I9" s="2" t="s">
        <v>2467</v>
      </c>
      <c r="J9" s="2" t="s">
        <v>2471</v>
      </c>
      <c r="K9" s="82" t="s">
        <v>2472</v>
      </c>
      <c r="L9" s="2">
        <v>8.073500318E9</v>
      </c>
    </row>
    <row r="10">
      <c r="A10" s="38"/>
      <c r="B10" s="38" t="str">
        <f>IF(A10="","",COUNTIFS('NHẬP ĐƠN'!A:A,A10,'NHẬP ĐƠN'!I:I,"&lt;&gt;Đã xoá"))</f>
        <v/>
      </c>
      <c r="C10" s="38" t="str">
        <f>IF(A10="","",SUMPRODUCT(('NHẬP ĐƠN'!A$2:A$1000=A10)*('NHẬP ĐƠN'!I$2:I$1000&lt;&gt;"Đã xoá")*('NHẬP ĐƠN'!F$2:F$1000)))</f>
        <v/>
      </c>
      <c r="D10" s="11" t="str">
        <f>IF(A10="","",SUMPRODUCT(('NHẬP ĐƠN'!A$2:A$1000=A10)*('NHẬP ĐƠN'!I$2:I$1000&lt;&gt;"Đã xoá")*('NHẬP ĐƠN'!G$2:G$1000)*('NHẬP ĐƠN'!F$2:F$1000)))</f>
        <v/>
      </c>
      <c r="E10" s="11" t="str">
        <f t="shared" si="1"/>
        <v>#DIV/0!</v>
      </c>
      <c r="F10" s="38" t="str">
        <f>IFERROR(VLOOKUP(A10,'NHẬP ĐƠN'!A:J,10,FALSE),"")</f>
        <v/>
      </c>
      <c r="G10" s="38" t="str">
        <f t="shared" si="2"/>
        <v/>
      </c>
      <c r="H10" s="2" t="s">
        <v>2473</v>
      </c>
      <c r="I10" s="2" t="s">
        <v>2474</v>
      </c>
      <c r="J10" s="2" t="s">
        <v>2475</v>
      </c>
      <c r="K10" s="82" t="s">
        <v>2476</v>
      </c>
      <c r="L10" s="2">
        <v>9.030991196E9</v>
      </c>
    </row>
    <row r="11">
      <c r="A11" s="38"/>
      <c r="B11" s="38" t="str">
        <f>IF(A11="","",COUNTIFS('NHẬP ĐƠN'!A:A,A11,'NHẬP ĐƠN'!I:I,"&lt;&gt;Đã xoá"))</f>
        <v/>
      </c>
      <c r="C11" s="38" t="str">
        <f>IF(A11="","",SUMPRODUCT(('NHẬP ĐƠN'!A$2:A$1000=A11)*('NHẬP ĐƠN'!I$2:I$1000&lt;&gt;"Đã xoá")*('NHẬP ĐƠN'!F$2:F$1000)))</f>
        <v/>
      </c>
      <c r="D11" s="11" t="str">
        <f>IF(A11="","",SUMPRODUCT(('NHẬP ĐƠN'!A$2:A$1000=A11)*('NHẬP ĐƠN'!I$2:I$1000&lt;&gt;"Đã xoá")*('NHẬP ĐƠN'!G$2:G$1000)*('NHẬP ĐƠN'!F$2:F$1000)))</f>
        <v/>
      </c>
      <c r="E11" s="11" t="str">
        <f t="shared" si="1"/>
        <v>#DIV/0!</v>
      </c>
      <c r="F11" s="38" t="str">
        <f>IFERROR(VLOOKUP(A11,'NHẬP ĐƠN'!A:J,10,FALSE),"")</f>
        <v/>
      </c>
      <c r="G11" s="38" t="str">
        <f t="shared" si="2"/>
        <v/>
      </c>
      <c r="K11" s="83"/>
    </row>
    <row r="12">
      <c r="A12" s="38"/>
      <c r="B12" s="38" t="str">
        <f>IF(A12="","",COUNTIFS('NHẬP ĐƠN'!A:A,A12,'NHẬP ĐƠN'!I:I,"&lt;&gt;Đã xoá"))</f>
        <v/>
      </c>
      <c r="C12" s="38" t="str">
        <f>IF(A12="","",SUMPRODUCT(('NHẬP ĐƠN'!A$2:A$1000=A12)*('NHẬP ĐƠN'!I$2:I$1000&lt;&gt;"Đã xoá")*('NHẬP ĐƠN'!F$2:F$1000)))</f>
        <v/>
      </c>
      <c r="D12" s="11" t="str">
        <f>IF(A12="","",SUMPRODUCT(('NHẬP ĐƠN'!A$2:A$1000=A12)*('NHẬP ĐƠN'!I$2:I$1000&lt;&gt;"Đã xoá")*('NHẬP ĐƠN'!G$2:G$1000)*('NHẬP ĐƠN'!F$2:F$1000)))</f>
        <v/>
      </c>
      <c r="E12" s="11" t="str">
        <f t="shared" si="1"/>
        <v>#DIV/0!</v>
      </c>
      <c r="F12" s="38" t="str">
        <f>IFERROR(VLOOKUP(A12,'NHẬP ĐƠN'!A:J,10,FALSE),"")</f>
        <v/>
      </c>
      <c r="G12" s="38" t="str">
        <f t="shared" si="2"/>
        <v/>
      </c>
      <c r="H12" s="2" t="s">
        <v>2477</v>
      </c>
      <c r="I12" s="2" t="s">
        <v>2478</v>
      </c>
      <c r="J12" s="2" t="s">
        <v>2479</v>
      </c>
      <c r="K12" s="82" t="s">
        <v>2480</v>
      </c>
    </row>
    <row r="13">
      <c r="A13" s="38"/>
      <c r="B13" s="38" t="str">
        <f>IF(A13="","",COUNTIFS('NHẬP ĐƠN'!A:A,A13,'NHẬP ĐƠN'!I:I,"&lt;&gt;Đã xoá"))</f>
        <v/>
      </c>
      <c r="C13" s="38" t="str">
        <f>IF(A13="","",SUMPRODUCT(('NHẬP ĐƠN'!A$2:A$1000=A13)*('NHẬP ĐƠN'!I$2:I$1000&lt;&gt;"Đã xoá")*('NHẬP ĐƠN'!F$2:F$1000)))</f>
        <v/>
      </c>
      <c r="D13" s="11" t="str">
        <f>IF(A13="","",SUMPRODUCT(('NHẬP ĐƠN'!A$2:A$1000=A13)*('NHẬP ĐƠN'!I$2:I$1000&lt;&gt;"Đã xoá")*('NHẬP ĐƠN'!G$2:G$1000)*('NHẬP ĐƠN'!F$2:F$1000)))</f>
        <v/>
      </c>
      <c r="E13" s="11" t="str">
        <f t="shared" si="1"/>
        <v>#DIV/0!</v>
      </c>
      <c r="F13" s="38" t="str">
        <f>IFERROR(VLOOKUP(A13,'NHẬP ĐƠN'!A:J,10,FALSE),"")</f>
        <v/>
      </c>
      <c r="G13" s="38" t="str">
        <f t="shared" si="2"/>
        <v/>
      </c>
      <c r="K13" s="83"/>
    </row>
    <row r="14">
      <c r="A14" s="38"/>
      <c r="B14" s="38" t="str">
        <f>IF(A14="","",COUNTIFS('NHẬP ĐƠN'!A:A,A14,'NHẬP ĐƠN'!I:I,"&lt;&gt;Đã xoá"))</f>
        <v/>
      </c>
      <c r="C14" s="38" t="str">
        <f>IF(A14="","",SUMPRODUCT(('NHẬP ĐƠN'!A$2:A$1000=A14)*('NHẬP ĐƠN'!I$2:I$1000&lt;&gt;"Đã xoá")*('NHẬP ĐƠN'!F$2:F$1000)))</f>
        <v/>
      </c>
      <c r="D14" s="11" t="str">
        <f>IF(A14="","",SUMPRODUCT(('NHẬP ĐƠN'!A$2:A$1000=A14)*('NHẬP ĐƠN'!I$2:I$1000&lt;&gt;"Đã xoá")*('NHẬP ĐƠN'!G$2:G$1000)*('NHẬP ĐƠN'!F$2:F$1000)))</f>
        <v/>
      </c>
      <c r="E14" s="11" t="str">
        <f t="shared" si="1"/>
        <v>#DIV/0!</v>
      </c>
      <c r="F14" s="38" t="str">
        <f>IFERROR(VLOOKUP(A14,'NHẬP ĐƠN'!A:J,10,FALSE),"")</f>
        <v/>
      </c>
      <c r="G14" s="38" t="str">
        <f t="shared" si="2"/>
        <v/>
      </c>
      <c r="K14" s="83"/>
    </row>
    <row r="15">
      <c r="A15" s="38"/>
      <c r="B15" s="38" t="str">
        <f>IF(A15="","",COUNTIFS('NHẬP ĐƠN'!A:A,A15,'NHẬP ĐƠN'!I:I,"&lt;&gt;Đã xoá"))</f>
        <v/>
      </c>
      <c r="C15" s="38" t="str">
        <f>IF(A15="","",SUMPRODUCT(('NHẬP ĐƠN'!A$2:A$1000=A15)*('NHẬP ĐƠN'!I$2:I$1000&lt;&gt;"Đã xoá")*('NHẬP ĐƠN'!F$2:F$1000)))</f>
        <v/>
      </c>
      <c r="D15" s="11" t="str">
        <f>IF(A15="","",SUMPRODUCT(('NHẬP ĐƠN'!A$2:A$1000=A15)*('NHẬP ĐƠN'!I$2:I$1000&lt;&gt;"Đã xoá")*('NHẬP ĐƠN'!G$2:G$1000)*('NHẬP ĐƠN'!F$2:F$1000)))</f>
        <v/>
      </c>
      <c r="E15" s="11" t="str">
        <f t="shared" si="1"/>
        <v>#DIV/0!</v>
      </c>
      <c r="F15" s="38" t="str">
        <f>IFERROR(VLOOKUP(A15,'NHẬP ĐƠN'!A:J,10,FALSE),"")</f>
        <v/>
      </c>
      <c r="G15" s="38" t="str">
        <f t="shared" si="2"/>
        <v/>
      </c>
      <c r="K15" s="83"/>
    </row>
    <row r="16">
      <c r="A16" s="38"/>
      <c r="B16" s="38" t="str">
        <f>IF(A16="","",COUNTIFS('NHẬP ĐƠN'!A:A,A16,'NHẬP ĐƠN'!I:I,"&lt;&gt;Đã xoá"))</f>
        <v/>
      </c>
      <c r="C16" s="38" t="str">
        <f>IF(A16="","",SUMPRODUCT(('NHẬP ĐƠN'!A$2:A$1000=A16)*('NHẬP ĐƠN'!I$2:I$1000&lt;&gt;"Đã xoá")*('NHẬP ĐƠN'!F$2:F$1000)))</f>
        <v/>
      </c>
      <c r="D16" s="11" t="str">
        <f>IF(A16="","",SUMPRODUCT(('NHẬP ĐƠN'!A$2:A$1000=A16)*('NHẬP ĐƠN'!I$2:I$1000&lt;&gt;"Đã xoá")*('NHẬP ĐƠN'!G$2:G$1000)*('NHẬP ĐƠN'!F$2:F$1000)))</f>
        <v/>
      </c>
      <c r="E16" s="11" t="str">
        <f t="shared" si="1"/>
        <v>#DIV/0!</v>
      </c>
      <c r="F16" s="38" t="str">
        <f>IFERROR(VLOOKUP(A16,'NHẬP ĐƠN'!A:J,10,FALSE),"")</f>
        <v/>
      </c>
      <c r="G16" s="38" t="str">
        <f t="shared" si="2"/>
        <v/>
      </c>
      <c r="K16" s="83"/>
    </row>
    <row r="17">
      <c r="A17" s="38"/>
      <c r="B17" s="38" t="str">
        <f>IF(A17="","",COUNTIFS('NHẬP ĐƠN'!A:A,A17,'NHẬP ĐƠN'!I:I,"&lt;&gt;Đã xoá"))</f>
        <v/>
      </c>
      <c r="C17" s="38" t="str">
        <f>IF(A17="","",SUMPRODUCT(('NHẬP ĐƠN'!A$2:A$1000=A17)*('NHẬP ĐƠN'!I$2:I$1000&lt;&gt;"Đã xoá")*('NHẬP ĐƠN'!F$2:F$1000)))</f>
        <v/>
      </c>
      <c r="D17" s="11" t="str">
        <f>IF(A17="","",SUMPRODUCT(('NHẬP ĐƠN'!A$2:A$1000=A17)*('NHẬP ĐƠN'!I$2:I$1000&lt;&gt;"Đã xoá")*('NHẬP ĐƠN'!G$2:G$1000)*('NHẬP ĐƠN'!F$2:F$1000)))</f>
        <v/>
      </c>
      <c r="E17" s="11" t="str">
        <f t="shared" si="1"/>
        <v>#DIV/0!</v>
      </c>
      <c r="F17" s="38" t="str">
        <f>IFERROR(VLOOKUP(A17,'NHẬP ĐƠN'!A:J,10,FALSE),"")</f>
        <v/>
      </c>
      <c r="G17" s="38" t="str">
        <f t="shared" si="2"/>
        <v/>
      </c>
      <c r="K17" s="83"/>
    </row>
    <row r="18">
      <c r="A18" s="38"/>
      <c r="B18" s="38" t="str">
        <f>IF(A18="","",COUNTIFS('NHẬP ĐƠN'!A:A,A18,'NHẬP ĐƠN'!I:I,"&lt;&gt;Đã xoá"))</f>
        <v/>
      </c>
      <c r="C18" s="38" t="str">
        <f>IF(A18="","",SUMPRODUCT(('NHẬP ĐƠN'!A$2:A$1000=A18)*('NHẬP ĐƠN'!I$2:I$1000&lt;&gt;"Đã xoá")*('NHẬP ĐƠN'!F$2:F$1000)))</f>
        <v/>
      </c>
      <c r="D18" s="11" t="str">
        <f>IF(A18="","",SUMPRODUCT(('NHẬP ĐƠN'!A$2:A$1000=A18)*('NHẬP ĐƠN'!I$2:I$1000&lt;&gt;"Đã xoá")*('NHẬP ĐƠN'!G$2:G$1000)*('NHẬP ĐƠN'!F$2:F$1000)))</f>
        <v/>
      </c>
      <c r="E18" s="11" t="str">
        <f t="shared" si="1"/>
        <v>#DIV/0!</v>
      </c>
      <c r="F18" s="38" t="str">
        <f>IFERROR(VLOOKUP(A18,'NHẬP ĐƠN'!A:J,10,FALSE),"")</f>
        <v/>
      </c>
      <c r="G18" s="38" t="str">
        <f t="shared" si="2"/>
        <v/>
      </c>
      <c r="K18" s="83"/>
    </row>
    <row r="19">
      <c r="A19" s="38"/>
      <c r="B19" s="38" t="str">
        <f>IF(A19="","",COUNTIFS('NHẬP ĐƠN'!A:A,A19,'NHẬP ĐƠN'!I:I,"&lt;&gt;Đã xoá"))</f>
        <v/>
      </c>
      <c r="C19" s="38" t="str">
        <f>IF(A19="","",SUMPRODUCT(('NHẬP ĐƠN'!A$2:A$1000=A19)*('NHẬP ĐƠN'!I$2:I$1000&lt;&gt;"Đã xoá")*('NHẬP ĐƠN'!F$2:F$1000)))</f>
        <v/>
      </c>
      <c r="D19" s="11" t="str">
        <f>IF(A19="","",SUMPRODUCT(('NHẬP ĐƠN'!A$2:A$1000=A19)*('NHẬP ĐƠN'!I$2:I$1000&lt;&gt;"Đã xoá")*('NHẬP ĐƠN'!G$2:G$1000)*('NHẬP ĐƠN'!F$2:F$1000)))</f>
        <v/>
      </c>
      <c r="E19" s="11" t="str">
        <f t="shared" si="1"/>
        <v>#DIV/0!</v>
      </c>
      <c r="F19" s="38" t="str">
        <f>IFERROR(VLOOKUP(A19,'NHẬP ĐƠN'!A:J,10,FALSE),"")</f>
        <v/>
      </c>
      <c r="G19" s="38" t="str">
        <f t="shared" si="2"/>
        <v/>
      </c>
      <c r="K19" s="83"/>
    </row>
    <row r="20">
      <c r="A20" s="38"/>
      <c r="B20" s="38" t="str">
        <f>IF(A20="","",COUNTIFS('NHẬP ĐƠN'!A:A,A20,'NHẬP ĐƠN'!I:I,"&lt;&gt;Đã xoá"))</f>
        <v/>
      </c>
      <c r="C20" s="38" t="str">
        <f>IF(A20="","",SUMPRODUCT(('NHẬP ĐƠN'!A$2:A$1000=A20)*('NHẬP ĐƠN'!I$2:I$1000&lt;&gt;"Đã xoá")*('NHẬP ĐƠN'!F$2:F$1000)))</f>
        <v/>
      </c>
      <c r="D20" s="11" t="str">
        <f>IF(A20="","",SUMPRODUCT(('NHẬP ĐƠN'!A$2:A$1000=A20)*('NHẬP ĐƠN'!I$2:I$1000&lt;&gt;"Đã xoá")*('NHẬP ĐƠN'!G$2:G$1000)*('NHẬP ĐƠN'!F$2:F$1000)))</f>
        <v/>
      </c>
      <c r="E20" s="11" t="str">
        <f t="shared" si="1"/>
        <v>#DIV/0!</v>
      </c>
      <c r="F20" s="38" t="str">
        <f>IFERROR(VLOOKUP(A20,'NHẬP ĐƠN'!A:J,10,FALSE),"")</f>
        <v/>
      </c>
      <c r="G20" s="38" t="str">
        <f t="shared" si="2"/>
        <v/>
      </c>
      <c r="K20" s="83"/>
    </row>
    <row r="21">
      <c r="A21" s="38"/>
      <c r="B21" s="38" t="str">
        <f>IF(A21="","",COUNTIFS('NHẬP ĐƠN'!A:A,A21,'NHẬP ĐƠN'!I:I,"&lt;&gt;Đã xoá"))</f>
        <v/>
      </c>
      <c r="C21" s="38" t="str">
        <f>IF(A21="","",SUMPRODUCT(('NHẬP ĐƠN'!A$2:A$1000=A21)*('NHẬP ĐƠN'!I$2:I$1000&lt;&gt;"Đã xoá")*('NHẬP ĐƠN'!F$2:F$1000)))</f>
        <v/>
      </c>
      <c r="D21" s="11" t="str">
        <f>IF(A21="","",SUMPRODUCT(('NHẬP ĐƠN'!A$2:A$1000=A21)*('NHẬP ĐƠN'!I$2:I$1000&lt;&gt;"Đã xoá")*('NHẬP ĐƠN'!G$2:G$1000)*('NHẬP ĐƠN'!F$2:F$1000)))</f>
        <v/>
      </c>
      <c r="E21" s="11" t="str">
        <f t="shared" si="1"/>
        <v>#DIV/0!</v>
      </c>
      <c r="F21" s="38" t="str">
        <f>IFERROR(VLOOKUP(A21,'NHẬP ĐƠN'!A:J,10,FALSE),"")</f>
        <v/>
      </c>
      <c r="G21" s="38" t="str">
        <f t="shared" si="2"/>
        <v/>
      </c>
      <c r="K21" s="83"/>
    </row>
    <row r="22">
      <c r="A22" s="38"/>
      <c r="B22" s="38" t="str">
        <f>IF(A22="","",COUNTIFS('NHẬP ĐƠN'!A:A,A22,'NHẬP ĐƠN'!I:I,"&lt;&gt;Đã xoá"))</f>
        <v/>
      </c>
      <c r="C22" s="38" t="str">
        <f>IF(A22="","",SUMPRODUCT(('NHẬP ĐƠN'!A$2:A$1000=A22)*('NHẬP ĐƠN'!I$2:I$1000&lt;&gt;"Đã xoá")*('NHẬP ĐƠN'!F$2:F$1000)))</f>
        <v/>
      </c>
      <c r="D22" s="11" t="str">
        <f>IF(A22="","",SUMPRODUCT(('NHẬP ĐƠN'!A$2:A$1000=A22)*('NHẬP ĐƠN'!I$2:I$1000&lt;&gt;"Đã xoá")*('NHẬP ĐƠN'!G$2:G$1000)*('NHẬP ĐƠN'!F$2:F$1000)))</f>
        <v/>
      </c>
      <c r="E22" s="11" t="str">
        <f t="shared" si="1"/>
        <v>#DIV/0!</v>
      </c>
      <c r="F22" s="38" t="str">
        <f>IFERROR(VLOOKUP(A22,'NHẬP ĐƠN'!A:J,10,FALSE),"")</f>
        <v/>
      </c>
      <c r="G22" s="38" t="str">
        <f t="shared" si="2"/>
        <v/>
      </c>
      <c r="K22" s="83"/>
    </row>
    <row r="23">
      <c r="A23" s="38"/>
      <c r="B23" s="38" t="str">
        <f>IF(A23="","",COUNTIFS('NHẬP ĐƠN'!A:A,A23,'NHẬP ĐƠN'!I:I,"&lt;&gt;Đã xoá"))</f>
        <v/>
      </c>
      <c r="C23" s="38" t="str">
        <f>IF(A23="","",SUMPRODUCT(('NHẬP ĐƠN'!A$2:A$1000=A23)*('NHẬP ĐƠN'!I$2:I$1000&lt;&gt;"Đã xoá")*('NHẬP ĐƠN'!F$2:F$1000)))</f>
        <v/>
      </c>
      <c r="D23" s="11" t="str">
        <f>IF(A23="","",SUMPRODUCT(('NHẬP ĐƠN'!A$2:A$1000=A23)*('NHẬP ĐƠN'!I$2:I$1000&lt;&gt;"Đã xoá")*('NHẬP ĐƠN'!G$2:G$1000)*('NHẬP ĐƠN'!F$2:F$1000)))</f>
        <v/>
      </c>
      <c r="E23" s="11" t="str">
        <f t="shared" si="1"/>
        <v>#DIV/0!</v>
      </c>
      <c r="F23" s="38" t="str">
        <f>IFERROR(VLOOKUP(A23,'NHẬP ĐƠN'!A:J,10,FALSE),"")</f>
        <v/>
      </c>
      <c r="G23" s="38" t="str">
        <f t="shared" si="2"/>
        <v/>
      </c>
      <c r="K23" s="83"/>
    </row>
    <row r="24">
      <c r="A24" s="38"/>
      <c r="B24" s="38" t="str">
        <f>IF(A24="","",COUNTIFS('NHẬP ĐƠN'!A:A,A24,'NHẬP ĐƠN'!I:I,"&lt;&gt;Đã xoá"))</f>
        <v/>
      </c>
      <c r="C24" s="38" t="str">
        <f>IF(A24="","",SUMPRODUCT(('NHẬP ĐƠN'!A$2:A$1000=A24)*('NHẬP ĐƠN'!I$2:I$1000&lt;&gt;"Đã xoá")*('NHẬP ĐƠN'!F$2:F$1000)))</f>
        <v/>
      </c>
      <c r="D24" s="11" t="str">
        <f>IF(A24="","",SUMPRODUCT(('NHẬP ĐƠN'!A$2:A$1000=A24)*('NHẬP ĐƠN'!I$2:I$1000&lt;&gt;"Đã xoá")*('NHẬP ĐƠN'!G$2:G$1000)*('NHẬP ĐƠN'!F$2:F$1000)))</f>
        <v/>
      </c>
      <c r="E24" s="11" t="str">
        <f t="shared" si="1"/>
        <v>#DIV/0!</v>
      </c>
      <c r="F24" s="38" t="str">
        <f>IFERROR(VLOOKUP(A24,'NHẬP ĐƠN'!A:J,10,FALSE),"")</f>
        <v/>
      </c>
      <c r="G24" s="38" t="str">
        <f t="shared" si="2"/>
        <v/>
      </c>
      <c r="K24" s="83"/>
    </row>
    <row r="25">
      <c r="A25" s="38"/>
      <c r="B25" s="38" t="str">
        <f>IF(A25="","",COUNTIFS('NHẬP ĐƠN'!A:A,A25,'NHẬP ĐƠN'!I:I,"&lt;&gt;Đã xoá"))</f>
        <v/>
      </c>
      <c r="C25" s="38" t="str">
        <f>IF(A25="","",SUMPRODUCT(('NHẬP ĐƠN'!A$2:A$1000=A25)*('NHẬP ĐƠN'!I$2:I$1000&lt;&gt;"Đã xoá")*('NHẬP ĐƠN'!F$2:F$1000)))</f>
        <v/>
      </c>
      <c r="D25" s="11" t="str">
        <f>IF(A25="","",SUMPRODUCT(('NHẬP ĐƠN'!A$2:A$1000=A25)*('NHẬP ĐƠN'!I$2:I$1000&lt;&gt;"Đã xoá")*('NHẬP ĐƠN'!G$2:G$1000)*('NHẬP ĐƠN'!F$2:F$1000)))</f>
        <v/>
      </c>
      <c r="E25" s="11" t="str">
        <f t="shared" si="1"/>
        <v>#DIV/0!</v>
      </c>
      <c r="F25" s="38" t="str">
        <f>IFERROR(VLOOKUP(A25,'NHẬP ĐƠN'!A:J,10,FALSE),"")</f>
        <v/>
      </c>
      <c r="G25" s="38" t="str">
        <f t="shared" si="2"/>
        <v/>
      </c>
      <c r="K25" s="83"/>
    </row>
    <row r="26">
      <c r="A26" s="38"/>
      <c r="B26" s="38" t="str">
        <f>IF(A26="","",COUNTIFS('NHẬP ĐƠN'!A:A,A26,'NHẬP ĐƠN'!I:I,"&lt;&gt;Đã xoá"))</f>
        <v/>
      </c>
      <c r="C26" s="38" t="str">
        <f>IF(A26="","",SUMPRODUCT(('NHẬP ĐƠN'!A$2:A$1000=A26)*('NHẬP ĐƠN'!I$2:I$1000&lt;&gt;"Đã xoá")*('NHẬP ĐƠN'!F$2:F$1000)))</f>
        <v/>
      </c>
      <c r="D26" s="11" t="str">
        <f>IF(A26="","",SUMPRODUCT(('NHẬP ĐƠN'!A$2:A$1000=A26)*('NHẬP ĐƠN'!I$2:I$1000&lt;&gt;"Đã xoá")*('NHẬP ĐƠN'!G$2:G$1000)*('NHẬP ĐƠN'!F$2:F$1000)))</f>
        <v/>
      </c>
      <c r="E26" s="11" t="str">
        <f t="shared" si="1"/>
        <v>#DIV/0!</v>
      </c>
      <c r="F26" s="38" t="str">
        <f>IFERROR(VLOOKUP(A26,'NHẬP ĐƠN'!A:J,10,FALSE),"")</f>
        <v/>
      </c>
      <c r="G26" s="38" t="str">
        <f t="shared" si="2"/>
        <v/>
      </c>
      <c r="K26" s="83"/>
    </row>
    <row r="27">
      <c r="A27" s="38"/>
      <c r="B27" s="38" t="str">
        <f>IF(A27="","",COUNTIFS('NHẬP ĐƠN'!A:A,A27,'NHẬP ĐƠN'!I:I,"&lt;&gt;Đã xoá"))</f>
        <v/>
      </c>
      <c r="C27" s="38" t="str">
        <f>IF(A27="","",SUMPRODUCT(('NHẬP ĐƠN'!A$2:A$1000=A27)*('NHẬP ĐƠN'!I$2:I$1000&lt;&gt;"Đã xoá")*('NHẬP ĐƠN'!F$2:F$1000)))</f>
        <v/>
      </c>
      <c r="D27" s="11" t="str">
        <f>IF(A27="","",SUMPRODUCT(('NHẬP ĐƠN'!A$2:A$1000=A27)*('NHẬP ĐƠN'!I$2:I$1000&lt;&gt;"Đã xoá")*('NHẬP ĐƠN'!G$2:G$1000)*('NHẬP ĐƠN'!F$2:F$1000)))</f>
        <v/>
      </c>
      <c r="E27" s="11" t="str">
        <f t="shared" si="1"/>
        <v>#DIV/0!</v>
      </c>
      <c r="F27" s="38" t="str">
        <f>IFERROR(VLOOKUP(A27,'NHẬP ĐƠN'!A:J,10,FALSE),"")</f>
        <v/>
      </c>
      <c r="G27" s="38" t="str">
        <f t="shared" si="2"/>
        <v/>
      </c>
      <c r="K27" s="83"/>
    </row>
    <row r="28">
      <c r="A28" s="38"/>
      <c r="B28" s="38" t="str">
        <f>IF(A28="","",COUNTIFS('NHẬP ĐƠN'!A:A,A28,'NHẬP ĐƠN'!I:I,"&lt;&gt;Đã xoá"))</f>
        <v/>
      </c>
      <c r="C28" s="38" t="str">
        <f>IF(A28="","",SUMPRODUCT(('NHẬP ĐƠN'!A$2:A$1000=A28)*('NHẬP ĐƠN'!I$2:I$1000&lt;&gt;"Đã xoá")*('NHẬP ĐƠN'!F$2:F$1000)))</f>
        <v/>
      </c>
      <c r="D28" s="11" t="str">
        <f>IF(A28="","",SUMPRODUCT(('NHẬP ĐƠN'!A$2:A$1000=A28)*('NHẬP ĐƠN'!I$2:I$1000&lt;&gt;"Đã xoá")*('NHẬP ĐƠN'!G$2:G$1000)*('NHẬP ĐƠN'!F$2:F$1000)))</f>
        <v/>
      </c>
      <c r="E28" s="11" t="str">
        <f t="shared" si="1"/>
        <v>#DIV/0!</v>
      </c>
      <c r="F28" s="38" t="str">
        <f>IFERROR(VLOOKUP(A28,'NHẬP ĐƠN'!A:J,10,FALSE),"")</f>
        <v/>
      </c>
      <c r="G28" s="38" t="str">
        <f t="shared" si="2"/>
        <v/>
      </c>
      <c r="K28" s="83"/>
    </row>
    <row r="29">
      <c r="A29" s="38"/>
      <c r="B29" s="38" t="str">
        <f>IF(A29="","",COUNTIFS('NHẬP ĐƠN'!A:A,A29,'NHẬP ĐƠN'!I:I,"&lt;&gt;Đã xoá"))</f>
        <v/>
      </c>
      <c r="C29" s="38" t="str">
        <f>IF(A29="","",SUMPRODUCT(('NHẬP ĐƠN'!A$2:A$1000=A29)*('NHẬP ĐƠN'!I$2:I$1000&lt;&gt;"Đã xoá")*('NHẬP ĐƠN'!F$2:F$1000)))</f>
        <v/>
      </c>
      <c r="D29" s="11" t="str">
        <f>IF(A29="","",SUMPRODUCT(('NHẬP ĐƠN'!A$2:A$1000=A29)*('NHẬP ĐƠN'!I$2:I$1000&lt;&gt;"Đã xoá")*('NHẬP ĐƠN'!G$2:G$1000)*('NHẬP ĐƠN'!F$2:F$1000)))</f>
        <v/>
      </c>
      <c r="E29" s="11" t="str">
        <f t="shared" si="1"/>
        <v>#DIV/0!</v>
      </c>
      <c r="F29" s="38" t="str">
        <f>IFERROR(VLOOKUP(A29,'NHẬP ĐƠN'!A:J,10,FALSE),"")</f>
        <v/>
      </c>
      <c r="G29" s="38" t="str">
        <f t="shared" si="2"/>
        <v/>
      </c>
      <c r="K29" s="83"/>
    </row>
    <row r="30">
      <c r="A30" s="38"/>
      <c r="B30" s="38" t="str">
        <f>IF(A30="","",COUNTIFS('NHẬP ĐƠN'!A:A,A30,'NHẬP ĐƠN'!I:I,"&lt;&gt;Đã xoá"))</f>
        <v/>
      </c>
      <c r="C30" s="38" t="str">
        <f>IF(A30="","",SUMPRODUCT(('NHẬP ĐƠN'!A$2:A$1000=A30)*('NHẬP ĐƠN'!I$2:I$1000&lt;&gt;"Đã xoá")*('NHẬP ĐƠN'!F$2:F$1000)))</f>
        <v/>
      </c>
      <c r="D30" s="11" t="str">
        <f>IF(A30="","",SUMPRODUCT(('NHẬP ĐƠN'!A$2:A$1000=A30)*('NHẬP ĐƠN'!I$2:I$1000&lt;&gt;"Đã xoá")*('NHẬP ĐƠN'!G$2:G$1000)*('NHẬP ĐƠN'!F$2:F$1000)))</f>
        <v/>
      </c>
      <c r="E30" s="11" t="str">
        <f t="shared" si="1"/>
        <v>#DIV/0!</v>
      </c>
      <c r="F30" s="38" t="str">
        <f>IFERROR(VLOOKUP(A30,'NHẬP ĐƠN'!A:J,10,FALSE),"")</f>
        <v/>
      </c>
      <c r="G30" s="38" t="str">
        <f t="shared" si="2"/>
        <v/>
      </c>
      <c r="H30" s="2" t="s">
        <v>2481</v>
      </c>
      <c r="I30" s="2" t="s">
        <v>2482</v>
      </c>
      <c r="J30" s="2" t="s">
        <v>2483</v>
      </c>
      <c r="K30" s="82" t="s">
        <v>2484</v>
      </c>
    </row>
    <row r="31">
      <c r="A31" s="38"/>
      <c r="B31" s="38" t="str">
        <f>IF(A31="","",COUNTIFS('NHẬP ĐƠN'!A:A,A31,'NHẬP ĐƠN'!I:I,"&lt;&gt;Đã xoá"))</f>
        <v/>
      </c>
      <c r="C31" s="38" t="str">
        <f>IF(A31="","",SUMPRODUCT(('NHẬP ĐƠN'!A$2:A$1000=A31)*('NHẬP ĐƠN'!I$2:I$1000&lt;&gt;"Đã xoá")*('NHẬP ĐƠN'!F$2:F$1000)))</f>
        <v/>
      </c>
      <c r="D31" s="11" t="str">
        <f>IF(A31="","",SUMPRODUCT(('NHẬP ĐƠN'!A$2:A$1000=A31)*('NHẬP ĐƠN'!I$2:I$1000&lt;&gt;"Đã xoá")*('NHẬP ĐƠN'!G$2:G$1000)*('NHẬP ĐƠN'!F$2:F$1000)))</f>
        <v/>
      </c>
      <c r="E31" s="11" t="str">
        <f t="shared" si="1"/>
        <v>#DIV/0!</v>
      </c>
      <c r="F31" s="38" t="str">
        <f>IFERROR(VLOOKUP(A31,'NHẬP ĐƠN'!A:J,10,FALSE),"")</f>
        <v/>
      </c>
      <c r="G31" s="38" t="str">
        <f t="shared" si="2"/>
        <v/>
      </c>
      <c r="H31" s="2" t="s">
        <v>2485</v>
      </c>
      <c r="I31" s="2" t="s">
        <v>2474</v>
      </c>
      <c r="J31" s="2" t="s">
        <v>2486</v>
      </c>
      <c r="K31" s="82" t="s">
        <v>2487</v>
      </c>
      <c r="L31" s="2">
        <v>8.069613369E9</v>
      </c>
    </row>
    <row r="32">
      <c r="A32" s="38"/>
      <c r="B32" s="38" t="str">
        <f>IF(A32="","",COUNTIFS('NHẬP ĐƠN'!A:A,A32,'NHẬP ĐƠN'!I:I,"&lt;&gt;Đã xoá"))</f>
        <v/>
      </c>
      <c r="C32" s="38" t="str">
        <f>IF(A32="","",SUMPRODUCT(('NHẬP ĐƠN'!A$2:A$1000=A32)*('NHẬP ĐƠN'!I$2:I$1000&lt;&gt;"Đã xoá")*('NHẬP ĐƠN'!F$2:F$1000)))</f>
        <v/>
      </c>
      <c r="D32" s="11" t="str">
        <f>IF(A32="","",SUMPRODUCT(('NHẬP ĐƠN'!A$2:A$1000=A32)*('NHẬP ĐƠN'!I$2:I$1000&lt;&gt;"Đã xoá")*('NHẬP ĐƠN'!G$2:G$1000)*('NHẬP ĐƠN'!F$2:F$1000)))</f>
        <v/>
      </c>
      <c r="E32" s="11" t="str">
        <f t="shared" si="1"/>
        <v>#DIV/0!</v>
      </c>
      <c r="F32" s="38" t="str">
        <f>IFERROR(VLOOKUP(A32,'NHẬP ĐƠN'!A:J,10,FALSE),"")</f>
        <v/>
      </c>
      <c r="G32" s="38" t="str">
        <f t="shared" si="2"/>
        <v/>
      </c>
      <c r="K32" s="83"/>
    </row>
    <row r="33">
      <c r="A33" s="38"/>
      <c r="B33" s="38" t="str">
        <f>IF(A33="","",COUNTIFS('NHẬP ĐƠN'!A:A,A33,'NHẬP ĐƠN'!I:I,"&lt;&gt;Đã xoá"))</f>
        <v/>
      </c>
      <c r="C33" s="38" t="str">
        <f>IF(A33="","",SUMPRODUCT(('NHẬP ĐƠN'!A$2:A$1000=A33)*('NHẬP ĐƠN'!I$2:I$1000&lt;&gt;"Đã xoá")*('NHẬP ĐƠN'!F$2:F$1000)))</f>
        <v/>
      </c>
      <c r="D33" s="11" t="str">
        <f>IF(A33="","",SUMPRODUCT(('NHẬP ĐƠN'!A$2:A$1000=A33)*('NHẬP ĐƠN'!I$2:I$1000&lt;&gt;"Đã xoá")*('NHẬP ĐƠN'!G$2:G$1000)*('NHẬP ĐƠN'!F$2:F$1000)))</f>
        <v/>
      </c>
      <c r="E33" s="11" t="str">
        <f t="shared" si="1"/>
        <v>#DIV/0!</v>
      </c>
      <c r="F33" s="38" t="str">
        <f>IFERROR(VLOOKUP(A33,'NHẬP ĐƠN'!A:J,10,FALSE),"")</f>
        <v/>
      </c>
      <c r="G33" s="38" t="str">
        <f t="shared" si="2"/>
        <v/>
      </c>
      <c r="H33" s="2" t="s">
        <v>2488</v>
      </c>
      <c r="I33" s="2" t="s">
        <v>2478</v>
      </c>
      <c r="J33" s="2" t="s">
        <v>2489</v>
      </c>
      <c r="K33" s="82" t="s">
        <v>2490</v>
      </c>
      <c r="L33" s="2">
        <v>9.030991196E9</v>
      </c>
    </row>
    <row r="34">
      <c r="A34" s="38"/>
      <c r="B34" s="38" t="str">
        <f>IF(A34="","",COUNTIFS('NHẬP ĐƠN'!A:A,A34,'NHẬP ĐƠN'!I:I,"&lt;&gt;Đã xoá"))</f>
        <v/>
      </c>
      <c r="C34" s="38" t="str">
        <f>IF(A34="","",SUMPRODUCT(('NHẬP ĐƠN'!A$2:A$1000=A34)*('NHẬP ĐƠN'!I$2:I$1000&lt;&gt;"Đã xoá")*('NHẬP ĐƠN'!F$2:F$1000)))</f>
        <v/>
      </c>
      <c r="D34" s="11" t="str">
        <f>IF(A34="","",SUMPRODUCT(('NHẬP ĐƠN'!A$2:A$1000=A34)*('NHẬP ĐƠN'!I$2:I$1000&lt;&gt;"Đã xoá")*('NHẬP ĐƠN'!G$2:G$1000)*('NHẬP ĐƠN'!F$2:F$1000)))</f>
        <v/>
      </c>
      <c r="E34" s="11" t="str">
        <f t="shared" si="1"/>
        <v>#DIV/0!</v>
      </c>
      <c r="F34" s="38" t="str">
        <f>IFERROR(VLOOKUP(A34,'NHẬP ĐƠN'!A:J,10,FALSE),"")</f>
        <v/>
      </c>
      <c r="G34" s="38" t="str">
        <f t="shared" si="2"/>
        <v/>
      </c>
      <c r="H34" s="2" t="s">
        <v>2491</v>
      </c>
      <c r="I34" s="2" t="s">
        <v>2478</v>
      </c>
      <c r="J34" s="2" t="s">
        <v>2492</v>
      </c>
      <c r="K34" s="82" t="s">
        <v>2493</v>
      </c>
      <c r="L34" s="2">
        <v>9.030991196E9</v>
      </c>
    </row>
    <row r="35">
      <c r="A35" s="38"/>
      <c r="B35" s="38" t="str">
        <f>IF(A35="","",COUNTIFS('NHẬP ĐƠN'!A:A,A35,'NHẬP ĐƠN'!I:I,"&lt;&gt;Đã xoá"))</f>
        <v/>
      </c>
      <c r="C35" s="38" t="str">
        <f>IF(A35="","",SUMPRODUCT(('NHẬP ĐƠN'!A$2:A$1000=A35)*('NHẬP ĐƠN'!I$2:I$1000&lt;&gt;"Đã xoá")*('NHẬP ĐƠN'!F$2:F$1000)))</f>
        <v/>
      </c>
      <c r="D35" s="11" t="str">
        <f>IF(A35="","",SUMPRODUCT(('NHẬP ĐƠN'!A$2:A$1000=A35)*('NHẬP ĐƠN'!I$2:I$1000&lt;&gt;"Đã xoá")*('NHẬP ĐƠN'!G$2:G$1000)*('NHẬP ĐƠN'!F$2:F$1000)))</f>
        <v/>
      </c>
      <c r="E35" s="11" t="str">
        <f t="shared" si="1"/>
        <v>#DIV/0!</v>
      </c>
      <c r="F35" s="38" t="str">
        <f>IFERROR(VLOOKUP(A35,'NHẬP ĐƠN'!A:J,10,FALSE),"")</f>
        <v/>
      </c>
      <c r="G35" s="38" t="str">
        <f t="shared" si="2"/>
        <v/>
      </c>
      <c r="H35" s="2" t="s">
        <v>2488</v>
      </c>
      <c r="I35" s="2" t="s">
        <v>2478</v>
      </c>
      <c r="J35" s="2" t="s">
        <v>2489</v>
      </c>
      <c r="K35" s="82" t="s">
        <v>2490</v>
      </c>
    </row>
    <row r="36">
      <c r="A36" s="38"/>
      <c r="B36" s="38" t="str">
        <f>IF(A36="","",COUNTIFS('NHẬP ĐƠN'!A:A,A36,'NHẬP ĐƠN'!I:I,"&lt;&gt;Đã xoá"))</f>
        <v/>
      </c>
      <c r="C36" s="38" t="str">
        <f>IF(A36="","",SUMPRODUCT(('NHẬP ĐƠN'!A$2:A$1000=A36)*('NHẬP ĐƠN'!I$2:I$1000&lt;&gt;"Đã xoá")*('NHẬP ĐƠN'!F$2:F$1000)))</f>
        <v/>
      </c>
      <c r="D36" s="11" t="str">
        <f>IF(A36="","",SUMPRODUCT(('NHẬP ĐƠN'!A$2:A$1000=A36)*('NHẬP ĐƠN'!I$2:I$1000&lt;&gt;"Đã xoá")*('NHẬP ĐƠN'!G$2:G$1000)*('NHẬP ĐƠN'!F$2:F$1000)))</f>
        <v/>
      </c>
      <c r="E36" s="11" t="str">
        <f t="shared" si="1"/>
        <v>#DIV/0!</v>
      </c>
      <c r="F36" s="38" t="str">
        <f>IFERROR(VLOOKUP(A36,'NHẬP ĐƠN'!A:J,10,FALSE),"")</f>
        <v/>
      </c>
      <c r="G36" s="38" t="str">
        <f t="shared" si="2"/>
        <v/>
      </c>
      <c r="K36" s="83"/>
    </row>
    <row r="37">
      <c r="A37" s="38"/>
      <c r="B37" s="38" t="str">
        <f>IF(A37="","",COUNTIFS('NHẬP ĐƠN'!A:A,A37,'NHẬP ĐƠN'!I:I,"&lt;&gt;Đã xoá"))</f>
        <v/>
      </c>
      <c r="C37" s="38" t="str">
        <f>IF(A37="","",SUMPRODUCT(('NHẬP ĐƠN'!A$2:A$1000=A37)*('NHẬP ĐƠN'!I$2:I$1000&lt;&gt;"Đã xoá")*('NHẬP ĐƠN'!F$2:F$1000)))</f>
        <v/>
      </c>
      <c r="D37" s="11" t="str">
        <f>IF(A37="","",SUMPRODUCT(('NHẬP ĐƠN'!A$2:A$1000=A37)*('NHẬP ĐƠN'!I$2:I$1000&lt;&gt;"Đã xoá")*('NHẬP ĐƠN'!G$2:G$1000)*('NHẬP ĐƠN'!F$2:F$1000)))</f>
        <v/>
      </c>
      <c r="E37" s="11" t="str">
        <f t="shared" si="1"/>
        <v>#DIV/0!</v>
      </c>
      <c r="F37" s="38" t="str">
        <f>IFERROR(VLOOKUP(A37,'NHẬP ĐƠN'!A:J,10,FALSE),"")</f>
        <v/>
      </c>
      <c r="G37" s="38" t="str">
        <f t="shared" si="2"/>
        <v/>
      </c>
      <c r="K37" s="83"/>
    </row>
    <row r="38">
      <c r="A38" s="38"/>
      <c r="B38" s="38" t="str">
        <f>IF(A38="","",COUNTIFS('NHẬP ĐƠN'!A:A,A38,'NHẬP ĐƠN'!I:I,"&lt;&gt;Đã xoá"))</f>
        <v/>
      </c>
      <c r="C38" s="38" t="str">
        <f>IF(A38="","",SUMPRODUCT(('NHẬP ĐƠN'!A$2:A$1000=A38)*('NHẬP ĐƠN'!I$2:I$1000&lt;&gt;"Đã xoá")*('NHẬP ĐƠN'!F$2:F$1000)))</f>
        <v/>
      </c>
      <c r="D38" s="11" t="str">
        <f>IF(A38="","",SUMPRODUCT(('NHẬP ĐƠN'!A$2:A$1000=A38)*('NHẬP ĐƠN'!I$2:I$1000&lt;&gt;"Đã xoá")*('NHẬP ĐƠN'!G$2:G$1000)*('NHẬP ĐƠN'!F$2:F$1000)))</f>
        <v/>
      </c>
      <c r="E38" s="11" t="str">
        <f t="shared" si="1"/>
        <v>#DIV/0!</v>
      </c>
      <c r="F38" s="38" t="str">
        <f>IFERROR(VLOOKUP(A38,'NHẬP ĐƠN'!A:J,10,FALSE),"")</f>
        <v/>
      </c>
      <c r="G38" s="38" t="str">
        <f t="shared" si="2"/>
        <v/>
      </c>
      <c r="K38" s="83"/>
    </row>
    <row r="39">
      <c r="A39" s="38"/>
      <c r="B39" s="38" t="str">
        <f>IF(A39="","",COUNTIFS('NHẬP ĐƠN'!A:A,A39,'NHẬP ĐƠN'!I:I,"&lt;&gt;Đã xoá"))</f>
        <v/>
      </c>
      <c r="C39" s="38" t="str">
        <f>IF(A39="","",SUMPRODUCT(('NHẬP ĐƠN'!A$2:A$1000=A39)*('NHẬP ĐƠN'!I$2:I$1000&lt;&gt;"Đã xoá")*('NHẬP ĐƠN'!F$2:F$1000)))</f>
        <v/>
      </c>
      <c r="D39" s="11" t="str">
        <f>IF(A39="","",SUMPRODUCT(('NHẬP ĐƠN'!A$2:A$1000=A39)*('NHẬP ĐƠN'!I$2:I$1000&lt;&gt;"Đã xoá")*('NHẬP ĐƠN'!G$2:G$1000)*('NHẬP ĐƠN'!F$2:F$1000)))</f>
        <v/>
      </c>
      <c r="E39" s="11" t="str">
        <f t="shared" si="1"/>
        <v>#DIV/0!</v>
      </c>
      <c r="F39" s="38" t="str">
        <f>IFERROR(VLOOKUP(A39,'NHẬP ĐƠN'!A:J,10,FALSE),"")</f>
        <v/>
      </c>
      <c r="G39" s="38" t="str">
        <f t="shared" si="2"/>
        <v/>
      </c>
      <c r="K39" s="83"/>
    </row>
    <row r="40">
      <c r="A40" s="38"/>
      <c r="B40" s="38" t="str">
        <f>IF(A40="","",COUNTIFS('NHẬP ĐƠN'!A:A,A40,'NHẬP ĐƠN'!I:I,"&lt;&gt;Đã xoá"))</f>
        <v/>
      </c>
      <c r="C40" s="38" t="str">
        <f>IF(A40="","",SUMPRODUCT(('NHẬP ĐƠN'!A$2:A$1000=A40)*('NHẬP ĐƠN'!I$2:I$1000&lt;&gt;"Đã xoá")*('NHẬP ĐƠN'!F$2:F$1000)))</f>
        <v/>
      </c>
      <c r="D40" s="11" t="str">
        <f>IF(A40="","",SUMPRODUCT(('NHẬP ĐƠN'!A$2:A$1000=A40)*('NHẬP ĐƠN'!I$2:I$1000&lt;&gt;"Đã xoá")*('NHẬP ĐƠN'!G$2:G$1000)*('NHẬP ĐƠN'!F$2:F$1000)))</f>
        <v/>
      </c>
      <c r="E40" s="11" t="str">
        <f t="shared" si="1"/>
        <v>#DIV/0!</v>
      </c>
      <c r="F40" s="38" t="str">
        <f>IFERROR(VLOOKUP(A40,'NHẬP ĐƠN'!A:J,10,FALSE),"")</f>
        <v/>
      </c>
      <c r="G40" s="38" t="str">
        <f t="shared" si="2"/>
        <v/>
      </c>
      <c r="K40" s="83"/>
    </row>
    <row r="41">
      <c r="A41" s="38"/>
      <c r="B41" s="38" t="str">
        <f>IF(A41="","",COUNTIFS('NHẬP ĐƠN'!A:A,A41,'NHẬP ĐƠN'!I:I,"&lt;&gt;Đã xoá"))</f>
        <v/>
      </c>
      <c r="C41" s="38" t="str">
        <f>IF(A41="","",SUMPRODUCT(('NHẬP ĐƠN'!A$2:A$1000=A41)*('NHẬP ĐƠN'!I$2:I$1000&lt;&gt;"Đã xoá")*('NHẬP ĐƠN'!F$2:F$1000)))</f>
        <v/>
      </c>
      <c r="D41" s="11" t="str">
        <f>IF(A41="","",SUMPRODUCT(('NHẬP ĐƠN'!A$2:A$1000=A41)*('NHẬP ĐƠN'!I$2:I$1000&lt;&gt;"Đã xoá")*('NHẬP ĐƠN'!G$2:G$1000)*('NHẬP ĐƠN'!F$2:F$1000)))</f>
        <v/>
      </c>
      <c r="E41" s="11" t="str">
        <f t="shared" si="1"/>
        <v>#DIV/0!</v>
      </c>
      <c r="F41" s="38" t="str">
        <f>IFERROR(VLOOKUP(A41,'NHẬP ĐƠN'!A:J,10,FALSE),"")</f>
        <v/>
      </c>
      <c r="G41" s="38" t="str">
        <f t="shared" si="2"/>
        <v/>
      </c>
      <c r="H41" s="2" t="s">
        <v>2494</v>
      </c>
      <c r="I41" s="2" t="s">
        <v>2482</v>
      </c>
      <c r="J41" s="2" t="s">
        <v>2495</v>
      </c>
      <c r="K41" s="82" t="s">
        <v>2496</v>
      </c>
      <c r="L41" s="2">
        <v>9.030991196E9</v>
      </c>
    </row>
    <row r="42">
      <c r="A42" s="38"/>
      <c r="B42" s="38" t="str">
        <f>IF(A42="","",COUNTIFS('NHẬP ĐƠN'!A:A,A42,'NHẬP ĐƠN'!I:I,"&lt;&gt;Đã xoá"))</f>
        <v/>
      </c>
      <c r="C42" s="38" t="str">
        <f>IF(A42="","",SUMPRODUCT(('NHẬP ĐƠN'!A$2:A$1000=A42)*('NHẬP ĐƠN'!I$2:I$1000&lt;&gt;"Đã xoá")*('NHẬP ĐƠN'!F$2:F$1000)))</f>
        <v/>
      </c>
      <c r="D42" s="11" t="str">
        <f>IF(A42="","",SUMPRODUCT(('NHẬP ĐƠN'!A$2:A$1000=A42)*('NHẬP ĐƠN'!I$2:I$1000&lt;&gt;"Đã xoá")*('NHẬP ĐƠN'!G$2:G$1000)*('NHẬP ĐƠN'!F$2:F$1000)))</f>
        <v/>
      </c>
      <c r="E42" s="11" t="str">
        <f t="shared" si="1"/>
        <v>#DIV/0!</v>
      </c>
      <c r="F42" s="38" t="str">
        <f>IFERROR(VLOOKUP(A42,'NHẬP ĐƠN'!A:J,10,FALSE),"")</f>
        <v/>
      </c>
      <c r="G42" s="38" t="str">
        <f t="shared" si="2"/>
        <v/>
      </c>
      <c r="K42" s="83"/>
    </row>
    <row r="43">
      <c r="A43" s="38"/>
      <c r="B43" s="38" t="str">
        <f>IF(A43="","",COUNTIFS('NHẬP ĐƠN'!A:A,A43,'NHẬP ĐƠN'!I:I,"&lt;&gt;Đã xoá"))</f>
        <v/>
      </c>
      <c r="C43" s="38" t="str">
        <f>IF(A43="","",SUMPRODUCT(('NHẬP ĐƠN'!A$2:A$1000=A43)*('NHẬP ĐƠN'!I$2:I$1000&lt;&gt;"Đã xoá")*('NHẬP ĐƠN'!F$2:F$1000)))</f>
        <v/>
      </c>
      <c r="D43" s="11" t="str">
        <f>IF(A43="","",SUMPRODUCT(('NHẬP ĐƠN'!A$2:A$1000=A43)*('NHẬP ĐƠN'!I$2:I$1000&lt;&gt;"Đã xoá")*('NHẬP ĐƠN'!G$2:G$1000)*('NHẬP ĐƠN'!F$2:F$1000)))</f>
        <v/>
      </c>
      <c r="E43" s="11" t="str">
        <f t="shared" si="1"/>
        <v>#DIV/0!</v>
      </c>
      <c r="F43" s="38" t="str">
        <f>IFERROR(VLOOKUP(A43,'NHẬP ĐƠN'!A:J,10,FALSE),"")</f>
        <v/>
      </c>
      <c r="G43" s="38" t="str">
        <f t="shared" si="2"/>
        <v/>
      </c>
      <c r="K43" s="83"/>
    </row>
    <row r="44">
      <c r="A44" s="38"/>
      <c r="B44" s="38" t="str">
        <f>IF(A44="","",COUNTIFS('NHẬP ĐƠN'!A:A,A44,'NHẬP ĐƠN'!I:I,"&lt;&gt;Đã xoá"))</f>
        <v/>
      </c>
      <c r="C44" s="38" t="str">
        <f>IF(A44="","",SUMPRODUCT(('NHẬP ĐƠN'!A$2:A$1000=A44)*('NHẬP ĐƠN'!I$2:I$1000&lt;&gt;"Đã xoá")*('NHẬP ĐƠN'!F$2:F$1000)))</f>
        <v/>
      </c>
      <c r="D44" s="11" t="str">
        <f>IF(A44="","",SUMPRODUCT(('NHẬP ĐƠN'!A$2:A$1000=A44)*('NHẬP ĐƠN'!I$2:I$1000&lt;&gt;"Đã xoá")*('NHẬP ĐƠN'!G$2:G$1000)*('NHẬP ĐƠN'!F$2:F$1000)))</f>
        <v/>
      </c>
      <c r="E44" s="11" t="str">
        <f t="shared" si="1"/>
        <v>#DIV/0!</v>
      </c>
      <c r="F44" s="38" t="str">
        <f>IFERROR(VLOOKUP(A44,'NHẬP ĐƠN'!A:J,10,FALSE),"")</f>
        <v/>
      </c>
      <c r="G44" s="38" t="str">
        <f t="shared" si="2"/>
        <v/>
      </c>
      <c r="K44" s="83"/>
    </row>
    <row r="45">
      <c r="A45" s="38"/>
      <c r="B45" s="38" t="str">
        <f>IF(A45="","",COUNTIFS('NHẬP ĐƠN'!A:A,A45,'NHẬP ĐƠN'!I:I,"&lt;&gt;Đã xoá"))</f>
        <v/>
      </c>
      <c r="C45" s="38" t="str">
        <f>IF(A45="","",SUMPRODUCT(('NHẬP ĐƠN'!A$2:A$1000=A45)*('NHẬP ĐƠN'!I$2:I$1000&lt;&gt;"Đã xoá")*('NHẬP ĐƠN'!F$2:F$1000)))</f>
        <v/>
      </c>
      <c r="D45" s="11" t="str">
        <f>IF(A45="","",SUMPRODUCT(('NHẬP ĐƠN'!A$2:A$1000=A45)*('NHẬP ĐƠN'!I$2:I$1000&lt;&gt;"Đã xoá")*('NHẬP ĐƠN'!G$2:G$1000)*('NHẬP ĐƠN'!F$2:F$1000)))</f>
        <v/>
      </c>
      <c r="E45" s="11" t="str">
        <f t="shared" si="1"/>
        <v>#DIV/0!</v>
      </c>
      <c r="F45" s="38" t="str">
        <f>IFERROR(VLOOKUP(A45,'NHẬP ĐƠN'!A:J,10,FALSE),"")</f>
        <v/>
      </c>
      <c r="G45" s="38" t="str">
        <f t="shared" si="2"/>
        <v/>
      </c>
      <c r="H45" s="2" t="s">
        <v>2497</v>
      </c>
      <c r="I45" s="2" t="s">
        <v>2498</v>
      </c>
      <c r="J45" s="2" t="s">
        <v>2499</v>
      </c>
      <c r="K45" s="82" t="s">
        <v>2500</v>
      </c>
      <c r="L45" s="2">
        <v>8.297422E8</v>
      </c>
    </row>
    <row r="46">
      <c r="A46" s="38"/>
      <c r="B46" s="38" t="str">
        <f>IF(A46="","",COUNTIFS('NHẬP ĐƠN'!A:A,A46,'NHẬP ĐƠN'!I:I,"&lt;&gt;Đã xoá"))</f>
        <v/>
      </c>
      <c r="C46" s="38" t="str">
        <f>IF(A46="","",SUMPRODUCT(('NHẬP ĐƠN'!A$2:A$1000=A46)*('NHẬP ĐƠN'!I$2:I$1000&lt;&gt;"Đã xoá")*('NHẬP ĐƠN'!F$2:F$1000)))</f>
        <v/>
      </c>
      <c r="D46" s="11" t="str">
        <f>IF(A46="","",SUMPRODUCT(('NHẬP ĐƠN'!A$2:A$1000=A46)*('NHẬP ĐƠN'!I$2:I$1000&lt;&gt;"Đã xoá")*('NHẬP ĐƠN'!G$2:G$1000)*('NHẬP ĐƠN'!F$2:F$1000)))</f>
        <v/>
      </c>
      <c r="E46" s="11" t="str">
        <f t="shared" si="1"/>
        <v>#DIV/0!</v>
      </c>
      <c r="F46" s="38" t="str">
        <f>IFERROR(VLOOKUP(A46,'NHẬP ĐƠN'!A:J,10,FALSE),"")</f>
        <v/>
      </c>
      <c r="G46" s="38" t="str">
        <f t="shared" si="2"/>
        <v/>
      </c>
      <c r="K46" s="83"/>
    </row>
    <row r="47">
      <c r="A47" s="38"/>
      <c r="B47" s="38" t="str">
        <f>IF(A47="","",COUNTIFS('NHẬP ĐƠN'!A:A,A47,'NHẬP ĐƠN'!I:I,"&lt;&gt;Đã xoá"))</f>
        <v/>
      </c>
      <c r="C47" s="38" t="str">
        <f>IF(A47="","",SUMPRODUCT(('NHẬP ĐƠN'!A$2:A$1000=A47)*('NHẬP ĐƠN'!I$2:I$1000&lt;&gt;"Đã xoá")*('NHẬP ĐƠN'!F$2:F$1000)))</f>
        <v/>
      </c>
      <c r="D47" s="11" t="str">
        <f>IF(A47="","",SUMPRODUCT(('NHẬP ĐƠN'!A$2:A$1000=A47)*('NHẬP ĐƠN'!I$2:I$1000&lt;&gt;"Đã xoá")*('NHẬP ĐƠN'!G$2:G$1000)*('NHẬP ĐƠN'!F$2:F$1000)))</f>
        <v/>
      </c>
      <c r="E47" s="11" t="str">
        <f t="shared" si="1"/>
        <v>#DIV/0!</v>
      </c>
      <c r="F47" s="38" t="str">
        <f>IFERROR(VLOOKUP(A47,'NHẬP ĐƠN'!A:J,10,FALSE),"")</f>
        <v/>
      </c>
      <c r="G47" s="38" t="str">
        <f t="shared" si="2"/>
        <v/>
      </c>
      <c r="K47" s="83"/>
    </row>
    <row r="48">
      <c r="A48" s="38"/>
      <c r="B48" s="38" t="str">
        <f>IF(A48="","",COUNTIFS('NHẬP ĐƠN'!A:A,A48,'NHẬP ĐƠN'!I:I,"&lt;&gt;Đã xoá"))</f>
        <v/>
      </c>
      <c r="C48" s="38" t="str">
        <f>IF(A48="","",SUMPRODUCT(('NHẬP ĐƠN'!A$2:A$1000=A48)*('NHẬP ĐƠN'!I$2:I$1000&lt;&gt;"Đã xoá")*('NHẬP ĐƠN'!F$2:F$1000)))</f>
        <v/>
      </c>
      <c r="D48" s="11" t="str">
        <f>IF(A48="","",SUMPRODUCT(('NHẬP ĐƠN'!A$2:A$1000=A48)*('NHẬP ĐƠN'!I$2:I$1000&lt;&gt;"Đã xoá")*('NHẬP ĐƠN'!G$2:G$1000)*('NHẬP ĐƠN'!F$2:F$1000)))</f>
        <v/>
      </c>
      <c r="E48" s="11" t="str">
        <f t="shared" si="1"/>
        <v>#DIV/0!</v>
      </c>
      <c r="F48" s="38" t="str">
        <f>IFERROR(VLOOKUP(A48,'NHẬP ĐƠN'!A:J,10,FALSE),"")</f>
        <v/>
      </c>
      <c r="G48" s="38" t="str">
        <f t="shared" si="2"/>
        <v/>
      </c>
      <c r="H48" s="2" t="s">
        <v>2501</v>
      </c>
      <c r="I48" s="2" t="s">
        <v>2502</v>
      </c>
      <c r="J48" s="2" t="s">
        <v>2503</v>
      </c>
      <c r="K48" s="82" t="s">
        <v>2504</v>
      </c>
      <c r="L48" s="2">
        <v>9.030991196E9</v>
      </c>
    </row>
    <row r="49">
      <c r="A49" s="38"/>
      <c r="B49" s="38" t="str">
        <f>IF(A49="","",COUNTIFS('NHẬP ĐƠN'!A:A,A49,'NHẬP ĐƠN'!I:I,"&lt;&gt;Đã xoá"))</f>
        <v/>
      </c>
      <c r="C49" s="38" t="str">
        <f>IF(A49="","",SUMPRODUCT(('NHẬP ĐƠN'!A$2:A$1000=A49)*('NHẬP ĐƠN'!I$2:I$1000&lt;&gt;"Đã xoá")*('NHẬP ĐƠN'!F$2:F$1000)))</f>
        <v/>
      </c>
      <c r="D49" s="11" t="str">
        <f>IF(A49="","",SUMPRODUCT(('NHẬP ĐƠN'!A$2:A$1000=A49)*('NHẬP ĐƠN'!I$2:I$1000&lt;&gt;"Đã xoá")*('NHẬP ĐƠN'!G$2:G$1000)*('NHẬP ĐƠN'!F$2:F$1000)))</f>
        <v/>
      </c>
      <c r="E49" s="11" t="str">
        <f t="shared" si="1"/>
        <v>#DIV/0!</v>
      </c>
      <c r="F49" s="38" t="str">
        <f>IFERROR(VLOOKUP(A49,'NHẬP ĐƠN'!A:J,10,FALSE),"")</f>
        <v/>
      </c>
      <c r="G49" s="38" t="str">
        <f t="shared" si="2"/>
        <v/>
      </c>
      <c r="K49" s="83"/>
    </row>
    <row r="50">
      <c r="A50" s="38"/>
      <c r="B50" s="38" t="str">
        <f>IF(A50="","",COUNTIFS('NHẬP ĐƠN'!A:A,A50,'NHẬP ĐƠN'!I:I,"&lt;&gt;Đã xoá"))</f>
        <v/>
      </c>
      <c r="C50" s="38" t="str">
        <f>IF(A50="","",SUMPRODUCT(('NHẬP ĐƠN'!A$2:A$1000=A50)*('NHẬP ĐƠN'!I$2:I$1000&lt;&gt;"Đã xoá")*('NHẬP ĐƠN'!F$2:F$1000)))</f>
        <v/>
      </c>
      <c r="D50" s="11" t="str">
        <f>IF(A50="","",SUMPRODUCT(('NHẬP ĐƠN'!A$2:A$1000=A50)*('NHẬP ĐƠN'!I$2:I$1000&lt;&gt;"Đã xoá")*('NHẬP ĐƠN'!G$2:G$1000)*('NHẬP ĐƠN'!F$2:F$1000)))</f>
        <v/>
      </c>
      <c r="E50" s="11" t="str">
        <f t="shared" si="1"/>
        <v>#DIV/0!</v>
      </c>
      <c r="F50" s="38" t="str">
        <f>IFERROR(VLOOKUP(A50,'NHẬP ĐƠN'!A:J,10,FALSE),"")</f>
        <v/>
      </c>
      <c r="G50" s="38" t="str">
        <f t="shared" si="2"/>
        <v/>
      </c>
      <c r="K50" s="83"/>
    </row>
    <row r="51">
      <c r="A51" s="38"/>
      <c r="B51" s="38" t="str">
        <f>IF(A51="","",COUNTIFS('NHẬP ĐƠN'!A:A,A51,'NHẬP ĐƠN'!I:I,"&lt;&gt;Đã xoá"))</f>
        <v/>
      </c>
      <c r="C51" s="38" t="str">
        <f>IF(A51="","",SUMPRODUCT(('NHẬP ĐƠN'!A$2:A$1000=A51)*('NHẬP ĐƠN'!I$2:I$1000&lt;&gt;"Đã xoá")*('NHẬP ĐƠN'!F$2:F$1000)))</f>
        <v/>
      </c>
      <c r="D51" s="11" t="str">
        <f>IF(A51="","",SUMPRODUCT(('NHẬP ĐƠN'!A$2:A$1000=A51)*('NHẬP ĐƠN'!I$2:I$1000&lt;&gt;"Đã xoá")*('NHẬP ĐƠN'!G$2:G$1000)*('NHẬP ĐƠN'!F$2:F$1000)))</f>
        <v/>
      </c>
      <c r="E51" s="11" t="str">
        <f t="shared" si="1"/>
        <v>#DIV/0!</v>
      </c>
      <c r="F51" s="38" t="str">
        <f>IFERROR(VLOOKUP(A51,'NHẬP ĐƠN'!A:J,10,FALSE),"")</f>
        <v/>
      </c>
      <c r="G51" s="38" t="str">
        <f t="shared" si="2"/>
        <v/>
      </c>
      <c r="K51" s="83"/>
    </row>
    <row r="52">
      <c r="A52" s="38"/>
      <c r="B52" s="38" t="str">
        <f>IF(A52="","",COUNTIFS('NHẬP ĐƠN'!A:A,A52,'NHẬP ĐƠN'!I:I,"&lt;&gt;Đã xoá"))</f>
        <v/>
      </c>
      <c r="C52" s="38" t="str">
        <f>IF(A52="","",SUMPRODUCT(('NHẬP ĐƠN'!A$2:A$1000=A52)*('NHẬP ĐƠN'!I$2:I$1000&lt;&gt;"Đã xoá")*('NHẬP ĐƠN'!F$2:F$1000)))</f>
        <v/>
      </c>
      <c r="D52" s="11" t="str">
        <f>IF(A52="","",SUMPRODUCT(('NHẬP ĐƠN'!A$2:A$1000=A52)*('NHẬP ĐƠN'!I$2:I$1000&lt;&gt;"Đã xoá")*('NHẬP ĐƠN'!G$2:G$1000)*('NHẬP ĐƠN'!F$2:F$1000)))</f>
        <v/>
      </c>
      <c r="E52" s="11" t="str">
        <f t="shared" si="1"/>
        <v>#DIV/0!</v>
      </c>
      <c r="F52" s="38" t="str">
        <f>IFERROR(VLOOKUP(A52,'NHẬP ĐƠN'!A:J,10,FALSE),"")</f>
        <v/>
      </c>
      <c r="G52" s="38" t="str">
        <f t="shared" si="2"/>
        <v/>
      </c>
      <c r="K52" s="83"/>
    </row>
    <row r="53">
      <c r="A53" s="38"/>
      <c r="B53" s="38" t="str">
        <f>IF(A53="","",COUNTIFS('NHẬP ĐƠN'!A:A,A53,'NHẬP ĐƠN'!I:I,"&lt;&gt;Đã xoá"))</f>
        <v/>
      </c>
      <c r="C53" s="38" t="str">
        <f>IF(A53="","",SUMPRODUCT(('NHẬP ĐƠN'!A$2:A$1000=A53)*('NHẬP ĐƠN'!I$2:I$1000&lt;&gt;"Đã xoá")*('NHẬP ĐƠN'!F$2:F$1000)))</f>
        <v/>
      </c>
      <c r="D53" s="11" t="str">
        <f>IF(A53="","",SUMPRODUCT(('NHẬP ĐƠN'!A$2:A$1000=A53)*('NHẬP ĐƠN'!I$2:I$1000&lt;&gt;"Đã xoá")*('NHẬP ĐƠN'!G$2:G$1000)*('NHẬP ĐƠN'!F$2:F$1000)))</f>
        <v/>
      </c>
      <c r="E53" s="11" t="str">
        <f t="shared" si="1"/>
        <v>#DIV/0!</v>
      </c>
      <c r="F53" s="38" t="str">
        <f>IFERROR(VLOOKUP(A53,'NHẬP ĐƠN'!A:J,10,FALSE),"")</f>
        <v/>
      </c>
      <c r="G53" s="38" t="str">
        <f t="shared" si="2"/>
        <v/>
      </c>
      <c r="H53" s="2" t="s">
        <v>2505</v>
      </c>
      <c r="I53" s="2" t="s">
        <v>2474</v>
      </c>
      <c r="J53" s="2" t="s">
        <v>2506</v>
      </c>
      <c r="K53" s="82" t="s">
        <v>2507</v>
      </c>
      <c r="L53" s="2">
        <v>9.030991196E9</v>
      </c>
    </row>
    <row r="54">
      <c r="A54" s="38"/>
      <c r="B54" s="38" t="str">
        <f>IF(A54="","",COUNTIFS('NHẬP ĐƠN'!A:A,A54,'NHẬP ĐƠN'!I:I,"&lt;&gt;Đã xoá"))</f>
        <v/>
      </c>
      <c r="C54" s="38" t="str">
        <f>IF(A54="","",SUMPRODUCT(('NHẬP ĐƠN'!A$2:A$1000=A54)*('NHẬP ĐƠN'!I$2:I$1000&lt;&gt;"Đã xoá")*('NHẬP ĐƠN'!F$2:F$1000)))</f>
        <v/>
      </c>
      <c r="D54" s="11" t="str">
        <f>IF(A54="","",SUMPRODUCT(('NHẬP ĐƠN'!A$2:A$1000=A54)*('NHẬP ĐƠN'!I$2:I$1000&lt;&gt;"Đã xoá")*('NHẬP ĐƠN'!G$2:G$1000)*('NHẬP ĐƠN'!F$2:F$1000)))</f>
        <v/>
      </c>
      <c r="E54" s="11" t="str">
        <f t="shared" si="1"/>
        <v>#DIV/0!</v>
      </c>
      <c r="F54" s="38" t="str">
        <f>IFERROR(VLOOKUP(A54,'NHẬP ĐƠN'!A:J,10,FALSE),"")</f>
        <v/>
      </c>
      <c r="G54" s="38" t="str">
        <f t="shared" si="2"/>
        <v/>
      </c>
      <c r="K54" s="83"/>
    </row>
    <row r="55">
      <c r="A55" s="38"/>
      <c r="B55" s="38" t="str">
        <f>IF(A55="","",COUNTIFS('NHẬP ĐƠN'!A:A,A55,'NHẬP ĐƠN'!I:I,"&lt;&gt;Đã xoá"))</f>
        <v/>
      </c>
      <c r="C55" s="38" t="str">
        <f>IF(A55="","",SUMPRODUCT(('NHẬP ĐƠN'!A$2:A$1000=A55)*('NHẬP ĐƠN'!I$2:I$1000&lt;&gt;"Đã xoá")*('NHẬP ĐƠN'!F$2:F$1000)))</f>
        <v/>
      </c>
      <c r="D55" s="11" t="str">
        <f>IF(A55="","",SUMPRODUCT(('NHẬP ĐƠN'!A$2:A$1000=A55)*('NHẬP ĐƠN'!I$2:I$1000&lt;&gt;"Đã xoá")*('NHẬP ĐƠN'!G$2:G$1000)*('NHẬP ĐƠN'!F$2:F$1000)))</f>
        <v/>
      </c>
      <c r="E55" s="11" t="str">
        <f t="shared" si="1"/>
        <v>#DIV/0!</v>
      </c>
      <c r="F55" s="38" t="str">
        <f>IFERROR(VLOOKUP(A55,'NHẬP ĐƠN'!A:J,10,FALSE),"")</f>
        <v/>
      </c>
      <c r="G55" s="38" t="str">
        <f t="shared" si="2"/>
        <v/>
      </c>
      <c r="K55" s="83"/>
    </row>
    <row r="56">
      <c r="A56" s="38"/>
      <c r="B56" s="38" t="str">
        <f>IF(A56="","",COUNTIFS('NHẬP ĐƠN'!A:A,A56,'NHẬP ĐƠN'!I:I,"&lt;&gt;Đã xoá"))</f>
        <v/>
      </c>
      <c r="C56" s="38" t="str">
        <f>IF(A56="","",SUMPRODUCT(('NHẬP ĐƠN'!A$2:A$1000=A56)*('NHẬP ĐƠN'!I$2:I$1000&lt;&gt;"Đã xoá")*('NHẬP ĐƠN'!F$2:F$1000)))</f>
        <v/>
      </c>
      <c r="D56" s="11" t="str">
        <f>IF(A56="","",SUMPRODUCT(('NHẬP ĐƠN'!A$2:A$1000=A56)*('NHẬP ĐƠN'!I$2:I$1000&lt;&gt;"Đã xoá")*('NHẬP ĐƠN'!G$2:G$1000)*('NHẬP ĐƠN'!F$2:F$1000)))</f>
        <v/>
      </c>
      <c r="E56" s="11" t="str">
        <f t="shared" si="1"/>
        <v>#DIV/0!</v>
      </c>
      <c r="F56" s="38" t="str">
        <f>IFERROR(VLOOKUP(A56,'NHẬP ĐƠN'!A:J,10,FALSE),"")</f>
        <v/>
      </c>
      <c r="G56" s="38" t="str">
        <f t="shared" si="2"/>
        <v/>
      </c>
      <c r="K56" s="83"/>
    </row>
    <row r="57">
      <c r="A57" s="38"/>
      <c r="B57" s="38" t="str">
        <f>IF(A57="","",COUNTIFS('NHẬP ĐƠN'!A:A,A57,'NHẬP ĐƠN'!I:I,"&lt;&gt;Đã xoá"))</f>
        <v/>
      </c>
      <c r="C57" s="38" t="str">
        <f>IF(A57="","",SUMPRODUCT(('NHẬP ĐƠN'!A$2:A$1000=A57)*('NHẬP ĐƠN'!I$2:I$1000&lt;&gt;"Đã xoá")*('NHẬP ĐƠN'!F$2:F$1000)))</f>
        <v/>
      </c>
      <c r="D57" s="11" t="str">
        <f>IF(A57="","",SUMPRODUCT(('NHẬP ĐƠN'!A$2:A$1000=A57)*('NHẬP ĐƠN'!I$2:I$1000&lt;&gt;"Đã xoá")*('NHẬP ĐƠN'!G$2:G$1000)*('NHẬP ĐƠN'!F$2:F$1000)))</f>
        <v/>
      </c>
      <c r="E57" s="11" t="str">
        <f t="shared" si="1"/>
        <v>#DIV/0!</v>
      </c>
      <c r="F57" s="38" t="str">
        <f>IFERROR(VLOOKUP(A57,'NHẬP ĐƠN'!A:J,10,FALSE),"")</f>
        <v/>
      </c>
      <c r="G57" s="38" t="str">
        <f t="shared" si="2"/>
        <v/>
      </c>
      <c r="H57" s="2" t="s">
        <v>2508</v>
      </c>
      <c r="I57" s="2" t="s">
        <v>2509</v>
      </c>
      <c r="J57" s="2" t="s">
        <v>2510</v>
      </c>
      <c r="K57" s="82" t="s">
        <v>2511</v>
      </c>
      <c r="L57" s="2" t="s">
        <v>2512</v>
      </c>
    </row>
    <row r="58">
      <c r="A58" s="38"/>
      <c r="B58" s="38" t="str">
        <f>IF(A58="","",COUNTIFS('NHẬP ĐƠN'!A:A,A58,'NHẬP ĐƠN'!I:I,"&lt;&gt;Đã xoá"))</f>
        <v/>
      </c>
      <c r="C58" s="38" t="str">
        <f>IF(A58="","",SUMPRODUCT(('NHẬP ĐƠN'!A$2:A$1000=A58)*('NHẬP ĐƠN'!I$2:I$1000&lt;&gt;"Đã xoá")*('NHẬP ĐƠN'!F$2:F$1000)))</f>
        <v/>
      </c>
      <c r="D58" s="11" t="str">
        <f>IF(A58="","",SUMPRODUCT(('NHẬP ĐƠN'!A$2:A$1000=A58)*('NHẬP ĐƠN'!I$2:I$1000&lt;&gt;"Đã xoá")*('NHẬP ĐƠN'!G$2:G$1000)*('NHẬP ĐƠN'!F$2:F$1000)))</f>
        <v/>
      </c>
      <c r="E58" s="11" t="str">
        <f t="shared" si="1"/>
        <v>#DIV/0!</v>
      </c>
      <c r="F58" s="38" t="str">
        <f>IFERROR(VLOOKUP(A58,'NHẬP ĐƠN'!A:J,10,FALSE),"")</f>
        <v/>
      </c>
      <c r="G58" s="38" t="str">
        <f t="shared" si="2"/>
        <v/>
      </c>
      <c r="K58" s="83"/>
    </row>
    <row r="59">
      <c r="A59" s="38"/>
      <c r="B59" s="38" t="str">
        <f>IF(A59="","",COUNTIFS('NHẬP ĐƠN'!A:A,A59,'NHẬP ĐƠN'!I:I,"&lt;&gt;Đã xoá"))</f>
        <v/>
      </c>
      <c r="C59" s="38" t="str">
        <f>IF(A59="","",SUMPRODUCT(('NHẬP ĐƠN'!A$2:A$1000=A59)*('NHẬP ĐƠN'!I$2:I$1000&lt;&gt;"Đã xoá")*('NHẬP ĐƠN'!F$2:F$1000)))</f>
        <v/>
      </c>
      <c r="D59" s="11" t="str">
        <f>IF(A59="","",SUMPRODUCT(('NHẬP ĐƠN'!A$2:A$1000=A59)*('NHẬP ĐƠN'!I$2:I$1000&lt;&gt;"Đã xoá")*('NHẬP ĐƠN'!G$2:G$1000)*('NHẬP ĐƠN'!F$2:F$1000)))</f>
        <v/>
      </c>
      <c r="E59" s="11" t="str">
        <f t="shared" si="1"/>
        <v>#DIV/0!</v>
      </c>
      <c r="F59" s="38" t="str">
        <f>IFERROR(VLOOKUP(A59,'NHẬP ĐƠN'!A:J,10,FALSE),"")</f>
        <v/>
      </c>
      <c r="G59" s="38" t="str">
        <f t="shared" si="2"/>
        <v/>
      </c>
      <c r="H59" s="2" t="s">
        <v>2477</v>
      </c>
      <c r="I59" s="2" t="s">
        <v>2478</v>
      </c>
      <c r="J59" s="2" t="s">
        <v>2479</v>
      </c>
      <c r="K59" s="82" t="s">
        <v>2513</v>
      </c>
      <c r="L59" s="2">
        <v>8.080359847E9</v>
      </c>
    </row>
    <row r="60">
      <c r="A60" s="38"/>
      <c r="B60" s="38" t="str">
        <f>IF(A60="","",COUNTIFS('NHẬP ĐƠN'!A:A,A60,'NHẬP ĐƠN'!I:I,"&lt;&gt;Đã xoá"))</f>
        <v/>
      </c>
      <c r="C60" s="38" t="str">
        <f>IF(A60="","",SUMPRODUCT(('NHẬP ĐƠN'!A$2:A$1000=A60)*('NHẬP ĐƠN'!I$2:I$1000&lt;&gt;"Đã xoá")*('NHẬP ĐƠN'!F$2:F$1000)))</f>
        <v/>
      </c>
      <c r="D60" s="11" t="str">
        <f>IF(A60="","",SUMPRODUCT(('NHẬP ĐƠN'!A$2:A$1000=A60)*('NHẬP ĐƠN'!I$2:I$1000&lt;&gt;"Đã xoá")*('NHẬP ĐƠN'!G$2:G$1000)*('NHẬP ĐƠN'!F$2:F$1000)))</f>
        <v/>
      </c>
      <c r="E60" s="11" t="str">
        <f t="shared" si="1"/>
        <v>#DIV/0!</v>
      </c>
      <c r="F60" s="38" t="str">
        <f>IFERROR(VLOOKUP(A60,'NHẬP ĐƠN'!A:J,10,FALSE),"")</f>
        <v/>
      </c>
      <c r="G60" s="38" t="str">
        <f t="shared" si="2"/>
        <v/>
      </c>
      <c r="K60" s="83"/>
    </row>
    <row r="61">
      <c r="A61" s="38"/>
      <c r="B61" s="38" t="str">
        <f>IF(A61="","",COUNTIFS('NHẬP ĐƠN'!A:A,A61,'NHẬP ĐƠN'!I:I,"&lt;&gt;Đã xoá"))</f>
        <v/>
      </c>
      <c r="C61" s="38" t="str">
        <f>IF(A61="","",SUMPRODUCT(('NHẬP ĐƠN'!A$2:A$1000=A61)*('NHẬP ĐƠN'!I$2:I$1000&lt;&gt;"Đã xoá")*('NHẬP ĐƠN'!F$2:F$1000)))</f>
        <v/>
      </c>
      <c r="D61" s="11" t="str">
        <f>IF(A61="","",SUMPRODUCT(('NHẬP ĐƠN'!A$2:A$1000=A61)*('NHẬP ĐƠN'!I$2:I$1000&lt;&gt;"Đã xoá")*('NHẬP ĐƠN'!G$2:G$1000)*('NHẬP ĐƠN'!F$2:F$1000)))</f>
        <v/>
      </c>
      <c r="E61" s="11" t="str">
        <f t="shared" si="1"/>
        <v>#DIV/0!</v>
      </c>
      <c r="F61" s="38" t="str">
        <f>IFERROR(VLOOKUP(A61,'NHẬP ĐƠN'!A:J,10,FALSE),"")</f>
        <v/>
      </c>
      <c r="G61" s="38" t="str">
        <f t="shared" si="2"/>
        <v/>
      </c>
      <c r="K61" s="83"/>
    </row>
    <row r="62">
      <c r="A62" s="38"/>
      <c r="B62" s="38" t="str">
        <f>IF(A62="","",COUNTIFS('NHẬP ĐƠN'!A:A,A62,'NHẬP ĐƠN'!I:I,"&lt;&gt;Đã xoá"))</f>
        <v/>
      </c>
      <c r="C62" s="38" t="str">
        <f>IF(A62="","",SUMPRODUCT(('NHẬP ĐƠN'!A$2:A$1000=A62)*('NHẬP ĐƠN'!I$2:I$1000&lt;&gt;"Đã xoá")*('NHẬP ĐƠN'!F$2:F$1000)))</f>
        <v/>
      </c>
      <c r="D62" s="11" t="str">
        <f>IF(A62="","",SUMPRODUCT(('NHẬP ĐƠN'!A$2:A$1000=A62)*('NHẬP ĐƠN'!I$2:I$1000&lt;&gt;"Đã xoá")*('NHẬP ĐƠN'!G$2:G$1000)*('NHẬP ĐƠN'!F$2:F$1000)))</f>
        <v/>
      </c>
      <c r="E62" s="11" t="str">
        <f t="shared" si="1"/>
        <v>#DIV/0!</v>
      </c>
      <c r="F62" s="38" t="str">
        <f>IFERROR(VLOOKUP(A62,'NHẬP ĐƠN'!A:J,10,FALSE),"")</f>
        <v/>
      </c>
      <c r="G62" s="38" t="str">
        <f t="shared" si="2"/>
        <v/>
      </c>
      <c r="K62" s="83"/>
    </row>
    <row r="63">
      <c r="A63" s="38"/>
      <c r="B63" s="38" t="str">
        <f>IF(A63="","",COUNTIFS('NHẬP ĐƠN'!A:A,A63,'NHẬP ĐƠN'!I:I,"&lt;&gt;Đã xoá"))</f>
        <v/>
      </c>
      <c r="C63" s="38" t="str">
        <f>IF(A63="","",SUMPRODUCT(('NHẬP ĐƠN'!A$2:A$1000=A63)*('NHẬP ĐƠN'!I$2:I$1000&lt;&gt;"Đã xoá")*('NHẬP ĐƠN'!F$2:F$1000)))</f>
        <v/>
      </c>
      <c r="D63" s="11" t="str">
        <f>IF(A63="","",SUMPRODUCT(('NHẬP ĐƠN'!A$2:A$1000=A63)*('NHẬP ĐƠN'!I$2:I$1000&lt;&gt;"Đã xoá")*('NHẬP ĐƠN'!G$2:G$1000)*('NHẬP ĐƠN'!F$2:F$1000)))</f>
        <v/>
      </c>
      <c r="E63" s="11" t="str">
        <f t="shared" si="1"/>
        <v>#DIV/0!</v>
      </c>
      <c r="F63" s="38" t="str">
        <f>IFERROR(VLOOKUP(A63,'NHẬP ĐƠN'!A:J,10,FALSE),"")</f>
        <v/>
      </c>
      <c r="G63" s="38" t="str">
        <f t="shared" si="2"/>
        <v/>
      </c>
      <c r="H63" s="2" t="s">
        <v>2514</v>
      </c>
      <c r="I63" s="2" t="s">
        <v>2474</v>
      </c>
      <c r="J63" s="2" t="s">
        <v>2515</v>
      </c>
      <c r="K63" s="82" t="s">
        <v>2516</v>
      </c>
      <c r="L63" s="2">
        <v>8.080359847E9</v>
      </c>
    </row>
    <row r="64">
      <c r="A64" s="38"/>
      <c r="B64" s="38" t="str">
        <f>IF(A64="","",COUNTIFS('NHẬP ĐƠN'!A:A,A64,'NHẬP ĐƠN'!I:I,"&lt;&gt;Đã xoá"))</f>
        <v/>
      </c>
      <c r="C64" s="38" t="str">
        <f>IF(A64="","",SUMPRODUCT(('NHẬP ĐƠN'!A$2:A$1000=A64)*('NHẬP ĐƠN'!I$2:I$1000&lt;&gt;"Đã xoá")*('NHẬP ĐƠN'!F$2:F$1000)))</f>
        <v/>
      </c>
      <c r="D64" s="11" t="str">
        <f>IF(A64="","",SUMPRODUCT(('NHẬP ĐƠN'!A$2:A$1000=A64)*('NHẬP ĐƠN'!I$2:I$1000&lt;&gt;"Đã xoá")*('NHẬP ĐƠN'!G$2:G$1000)*('NHẬP ĐƠN'!F$2:F$1000)))</f>
        <v/>
      </c>
      <c r="E64" s="11" t="str">
        <f t="shared" si="1"/>
        <v>#DIV/0!</v>
      </c>
      <c r="F64" s="38" t="str">
        <f>IFERROR(VLOOKUP(A64,'NHẬP ĐƠN'!A:J,10,FALSE),"")</f>
        <v/>
      </c>
      <c r="G64" s="38" t="str">
        <f t="shared" si="2"/>
        <v/>
      </c>
      <c r="K64" s="83"/>
    </row>
    <row r="65">
      <c r="A65" s="38"/>
      <c r="B65" s="38" t="str">
        <f>IF(A65="","",COUNTIFS('NHẬP ĐƠN'!A:A,A65,'NHẬP ĐƠN'!I:I,"&lt;&gt;Đã xoá"))</f>
        <v/>
      </c>
      <c r="C65" s="38" t="str">
        <f>IF(A65="","",SUMPRODUCT(('NHẬP ĐƠN'!A$2:A$1000=A65)*('NHẬP ĐƠN'!I$2:I$1000&lt;&gt;"Đã xoá")*('NHẬP ĐƠN'!F$2:F$1000)))</f>
        <v/>
      </c>
      <c r="D65" s="11" t="str">
        <f>IF(A65="","",SUMPRODUCT(('NHẬP ĐƠN'!A$2:A$1000=A65)*('NHẬP ĐƠN'!I$2:I$1000&lt;&gt;"Đã xoá")*('NHẬP ĐƠN'!G$2:G$1000)*('NHẬP ĐƠN'!F$2:F$1000)))</f>
        <v/>
      </c>
      <c r="E65" s="11" t="str">
        <f t="shared" si="1"/>
        <v>#DIV/0!</v>
      </c>
      <c r="F65" s="38" t="str">
        <f>IFERROR(VLOOKUP(A65,'NHẬP ĐƠN'!A:J,10,FALSE),"")</f>
        <v/>
      </c>
      <c r="G65" s="38" t="str">
        <f t="shared" si="2"/>
        <v/>
      </c>
      <c r="K65" s="83"/>
    </row>
    <row r="66">
      <c r="A66" s="38"/>
      <c r="B66" s="38" t="str">
        <f>IF(A66="","",COUNTIFS('NHẬP ĐƠN'!A:A,A66,'NHẬP ĐƠN'!I:I,"&lt;&gt;Đã xoá"))</f>
        <v/>
      </c>
      <c r="C66" s="38" t="str">
        <f>IF(A66="","",SUMPRODUCT(('NHẬP ĐƠN'!A$2:A$1000=A66)*('NHẬP ĐƠN'!I$2:I$1000&lt;&gt;"Đã xoá")*('NHẬP ĐƠN'!F$2:F$1000)))</f>
        <v/>
      </c>
      <c r="D66" s="11" t="str">
        <f>IF(A66="","",SUMPRODUCT(('NHẬP ĐƠN'!A$2:A$1000=A66)*('NHẬP ĐƠN'!I$2:I$1000&lt;&gt;"Đã xoá")*('NHẬP ĐƠN'!G$2:G$1000)*('NHẬP ĐƠN'!F$2:F$1000)))</f>
        <v/>
      </c>
      <c r="E66" s="11" t="str">
        <f t="shared" si="1"/>
        <v>#DIV/0!</v>
      </c>
      <c r="F66" s="38" t="str">
        <f>IFERROR(VLOOKUP(A66,'NHẬP ĐƠN'!A:J,10,FALSE),"")</f>
        <v/>
      </c>
      <c r="G66" s="38" t="str">
        <f t="shared" si="2"/>
        <v/>
      </c>
      <c r="K66" s="83"/>
    </row>
    <row r="67">
      <c r="A67" s="38"/>
      <c r="B67" s="38" t="str">
        <f>IF(A67="","",COUNTIFS('NHẬP ĐƠN'!A:A,A67,'NHẬP ĐƠN'!I:I,"&lt;&gt;Đã xoá"))</f>
        <v/>
      </c>
      <c r="C67" s="38" t="str">
        <f>IF(A67="","",SUMPRODUCT(('NHẬP ĐƠN'!A$2:A$1000=A67)*('NHẬP ĐƠN'!I$2:I$1000&lt;&gt;"Đã xoá")*('NHẬP ĐƠN'!F$2:F$1000)))</f>
        <v/>
      </c>
      <c r="D67" s="11" t="str">
        <f>IF(A67="","",SUMPRODUCT(('NHẬP ĐƠN'!A$2:A$1000=A67)*('NHẬP ĐƠN'!I$2:I$1000&lt;&gt;"Đã xoá")*('NHẬP ĐƠN'!G$2:G$1000)*('NHẬP ĐƠN'!F$2:F$1000)))</f>
        <v/>
      </c>
      <c r="E67" s="11" t="str">
        <f t="shared" si="1"/>
        <v>#DIV/0!</v>
      </c>
      <c r="F67" s="38" t="str">
        <f>IFERROR(VLOOKUP(A67,'NHẬP ĐƠN'!A:J,10,FALSE),"")</f>
        <v/>
      </c>
      <c r="G67" s="38" t="str">
        <f t="shared" si="2"/>
        <v/>
      </c>
      <c r="H67" s="2" t="s">
        <v>2517</v>
      </c>
      <c r="I67" s="2" t="s">
        <v>2518</v>
      </c>
      <c r="J67" s="2" t="s">
        <v>2519</v>
      </c>
      <c r="K67" s="82" t="s">
        <v>2520</v>
      </c>
      <c r="L67" s="2">
        <v>9.030991196E9</v>
      </c>
    </row>
    <row r="68">
      <c r="A68" s="38"/>
      <c r="B68" s="38" t="str">
        <f>IF(A68="","",COUNTIFS('NHẬP ĐƠN'!A:A,A68,'NHẬP ĐƠN'!I:I,"&lt;&gt;Đã xoá"))</f>
        <v/>
      </c>
      <c r="C68" s="38" t="str">
        <f>IF(A68="","",SUMPRODUCT(('NHẬP ĐƠN'!A$2:A$1000=A68)*('NHẬP ĐƠN'!I$2:I$1000&lt;&gt;"Đã xoá")*('NHẬP ĐƠN'!F$2:F$1000)))</f>
        <v/>
      </c>
      <c r="D68" s="11" t="str">
        <f>IF(A68="","",SUMPRODUCT(('NHẬP ĐƠN'!A$2:A$1000=A68)*('NHẬP ĐƠN'!I$2:I$1000&lt;&gt;"Đã xoá")*('NHẬP ĐƠN'!G$2:G$1000)*('NHẬP ĐƠN'!F$2:F$1000)))</f>
        <v/>
      </c>
      <c r="E68" s="11" t="str">
        <f t="shared" si="1"/>
        <v>#DIV/0!</v>
      </c>
      <c r="F68" s="38" t="str">
        <f>IFERROR(VLOOKUP(A68,'NHẬP ĐƠN'!A:J,10,FALSE),"")</f>
        <v/>
      </c>
      <c r="G68" s="38" t="str">
        <f t="shared" si="2"/>
        <v/>
      </c>
      <c r="H68" s="2" t="s">
        <v>2521</v>
      </c>
      <c r="I68" s="2" t="s">
        <v>2467</v>
      </c>
      <c r="J68" s="2" t="s">
        <v>2471</v>
      </c>
      <c r="K68" s="82" t="s">
        <v>2522</v>
      </c>
      <c r="L68" s="2">
        <v>9.030991196E9</v>
      </c>
    </row>
    <row r="69">
      <c r="A69" s="38"/>
      <c r="B69" s="38" t="str">
        <f>IF(A69="","",COUNTIFS('NHẬP ĐƠN'!A:A,A69,'NHẬP ĐƠN'!I:I,"&lt;&gt;Đã xoá"))</f>
        <v/>
      </c>
      <c r="C69" s="38" t="str">
        <f>IF(A69="","",SUMPRODUCT(('NHẬP ĐƠN'!A$2:A$1000=A69)*('NHẬP ĐƠN'!I$2:I$1000&lt;&gt;"Đã xoá")*('NHẬP ĐƠN'!F$2:F$1000)))</f>
        <v/>
      </c>
      <c r="D69" s="11" t="str">
        <f>IF(A69="","",SUMPRODUCT(('NHẬP ĐƠN'!A$2:A$1000=A69)*('NHẬP ĐƠN'!I$2:I$1000&lt;&gt;"Đã xoá")*('NHẬP ĐƠN'!G$2:G$1000)*('NHẬP ĐƠN'!F$2:F$1000)))</f>
        <v/>
      </c>
      <c r="E69" s="11" t="str">
        <f t="shared" si="1"/>
        <v>#DIV/0!</v>
      </c>
      <c r="F69" s="38" t="str">
        <f>IFERROR(VLOOKUP(A69,'NHẬP ĐƠN'!A:J,10,FALSE),"")</f>
        <v/>
      </c>
      <c r="G69" s="38" t="str">
        <f t="shared" si="2"/>
        <v/>
      </c>
      <c r="K69" s="83"/>
    </row>
    <row r="70">
      <c r="A70" s="38"/>
      <c r="B70" s="38" t="str">
        <f>IF(A70="","",COUNTIFS('NHẬP ĐƠN'!A:A,A70,'NHẬP ĐƠN'!I:I,"&lt;&gt;Đã xoá"))</f>
        <v/>
      </c>
      <c r="C70" s="38" t="str">
        <f>IF(A70="","",SUMPRODUCT(('NHẬP ĐƠN'!A$2:A$1000=A70)*('NHẬP ĐƠN'!I$2:I$1000&lt;&gt;"Đã xoá")*('NHẬP ĐƠN'!F$2:F$1000)))</f>
        <v/>
      </c>
      <c r="D70" s="11" t="str">
        <f>IF(A70="","",SUMPRODUCT(('NHẬP ĐƠN'!A$2:A$1000=A70)*('NHẬP ĐƠN'!I$2:I$1000&lt;&gt;"Đã xoá")*('NHẬP ĐƠN'!G$2:G$1000)*('NHẬP ĐƠN'!F$2:F$1000)))</f>
        <v/>
      </c>
      <c r="E70" s="11" t="str">
        <f t="shared" si="1"/>
        <v>#DIV/0!</v>
      </c>
      <c r="F70" s="38" t="str">
        <f>IFERROR(VLOOKUP(A70,'NHẬP ĐƠN'!A:J,10,FALSE),"")</f>
        <v/>
      </c>
      <c r="G70" s="38" t="str">
        <f t="shared" si="2"/>
        <v/>
      </c>
      <c r="K70" s="83"/>
    </row>
    <row r="71">
      <c r="A71" s="38"/>
      <c r="B71" s="38" t="str">
        <f>IF(A71="","",COUNTIFS('NHẬP ĐƠN'!A:A,A71,'NHẬP ĐƠN'!I:I,"&lt;&gt;Đã xoá"))</f>
        <v/>
      </c>
      <c r="C71" s="38" t="str">
        <f>IF(A71="","",SUMPRODUCT(('NHẬP ĐƠN'!A$2:A$1000=A71)*('NHẬP ĐƠN'!I$2:I$1000&lt;&gt;"Đã xoá")*('NHẬP ĐƠN'!F$2:F$1000)))</f>
        <v/>
      </c>
      <c r="D71" s="11" t="str">
        <f>IF(A71="","",SUMPRODUCT(('NHẬP ĐƠN'!A$2:A$1000=A71)*('NHẬP ĐƠN'!I$2:I$1000&lt;&gt;"Đã xoá")*('NHẬP ĐƠN'!G$2:G$1000)*('NHẬP ĐƠN'!F$2:F$1000)))</f>
        <v/>
      </c>
      <c r="E71" s="11" t="str">
        <f t="shared" si="1"/>
        <v>#DIV/0!</v>
      </c>
      <c r="F71" s="38" t="str">
        <f>IFERROR(VLOOKUP(A71,'NHẬP ĐƠN'!A:J,10,FALSE),"")</f>
        <v/>
      </c>
      <c r="G71" s="38" t="str">
        <f t="shared" si="2"/>
        <v/>
      </c>
      <c r="K71" s="83"/>
    </row>
    <row r="72">
      <c r="A72" s="38"/>
      <c r="B72" s="38" t="str">
        <f>IF(A72="","",COUNTIFS('NHẬP ĐƠN'!A:A,A72,'NHẬP ĐƠN'!I:I,"&lt;&gt;Đã xoá"))</f>
        <v/>
      </c>
      <c r="C72" s="38" t="str">
        <f>IF(A72="","",SUMPRODUCT(('NHẬP ĐƠN'!A$2:A$1000=A72)*('NHẬP ĐƠN'!I$2:I$1000&lt;&gt;"Đã xoá")*('NHẬP ĐƠN'!F$2:F$1000)))</f>
        <v/>
      </c>
      <c r="D72" s="11" t="str">
        <f>IF(A72="","",SUMPRODUCT(('NHẬP ĐƠN'!A$2:A$1000=A72)*('NHẬP ĐƠN'!I$2:I$1000&lt;&gt;"Đã xoá")*('NHẬP ĐƠN'!G$2:G$1000)*('NHẬP ĐƠN'!F$2:F$1000)))</f>
        <v/>
      </c>
      <c r="E72" s="11" t="str">
        <f t="shared" si="1"/>
        <v>#DIV/0!</v>
      </c>
      <c r="F72" s="38" t="str">
        <f>IFERROR(VLOOKUP(A72,'NHẬP ĐƠN'!A:J,10,FALSE),"")</f>
        <v/>
      </c>
      <c r="G72" s="38" t="str">
        <f t="shared" si="2"/>
        <v/>
      </c>
      <c r="K72" s="83"/>
    </row>
    <row r="73">
      <c r="A73" s="38"/>
      <c r="B73" s="38" t="str">
        <f>IF(A73="","",COUNTIFS('NHẬP ĐƠN'!A:A,A73,'NHẬP ĐƠN'!I:I,"&lt;&gt;Đã xoá"))</f>
        <v/>
      </c>
      <c r="C73" s="38" t="str">
        <f>IF(A73="","",SUMPRODUCT(('NHẬP ĐƠN'!A$2:A$1000=A73)*('NHẬP ĐƠN'!I$2:I$1000&lt;&gt;"Đã xoá")*('NHẬP ĐƠN'!F$2:F$1000)))</f>
        <v/>
      </c>
      <c r="D73" s="11" t="str">
        <f>IF(A73="","",SUMPRODUCT(('NHẬP ĐƠN'!A$2:A$1000=A73)*('NHẬP ĐƠN'!I$2:I$1000&lt;&gt;"Đã xoá")*('NHẬP ĐƠN'!G$2:G$1000)*('NHẬP ĐƠN'!F$2:F$1000)))</f>
        <v/>
      </c>
      <c r="E73" s="11" t="str">
        <f t="shared" si="1"/>
        <v>#DIV/0!</v>
      </c>
      <c r="F73" s="38" t="str">
        <f>IFERROR(VLOOKUP(A73,'NHẬP ĐƠN'!A:J,10,FALSE),"")</f>
        <v/>
      </c>
      <c r="G73" s="38" t="str">
        <f t="shared" si="2"/>
        <v/>
      </c>
      <c r="K73" s="83"/>
    </row>
    <row r="74">
      <c r="A74" s="38"/>
      <c r="B74" s="38" t="str">
        <f>IF(A74="","",COUNTIFS('NHẬP ĐƠN'!A:A,A74,'NHẬP ĐƠN'!I:I,"&lt;&gt;Đã xoá"))</f>
        <v/>
      </c>
      <c r="C74" s="38" t="str">
        <f>IF(A74="","",SUMPRODUCT(('NHẬP ĐƠN'!A$2:A$1000=A74)*('NHẬP ĐƠN'!I$2:I$1000&lt;&gt;"Đã xoá")*('NHẬP ĐƠN'!F$2:F$1000)))</f>
        <v/>
      </c>
      <c r="D74" s="11" t="str">
        <f>IF(A74="","",SUMPRODUCT(('NHẬP ĐƠN'!A$2:A$1000=A74)*('NHẬP ĐƠN'!I$2:I$1000&lt;&gt;"Đã xoá")*('NHẬP ĐƠN'!G$2:G$1000)*('NHẬP ĐƠN'!F$2:F$1000)))</f>
        <v/>
      </c>
      <c r="E74" s="11" t="str">
        <f t="shared" si="1"/>
        <v>#DIV/0!</v>
      </c>
      <c r="F74" s="38" t="str">
        <f>IFERROR(VLOOKUP(A74,'NHẬP ĐƠN'!A:J,10,FALSE),"")</f>
        <v/>
      </c>
      <c r="G74" s="38" t="str">
        <f t="shared" si="2"/>
        <v/>
      </c>
      <c r="K74" s="83"/>
    </row>
    <row r="75">
      <c r="A75" s="38"/>
      <c r="B75" s="38" t="str">
        <f>IF(A75="","",COUNTIFS('NHẬP ĐƠN'!A:A,A75,'NHẬP ĐƠN'!I:I,"&lt;&gt;Đã xoá"))</f>
        <v/>
      </c>
      <c r="C75" s="38" t="str">
        <f>IF(A75="","",SUMPRODUCT(('NHẬP ĐƠN'!A$2:A$1000=A75)*('NHẬP ĐƠN'!I$2:I$1000&lt;&gt;"Đã xoá")*('NHẬP ĐƠN'!F$2:F$1000)))</f>
        <v/>
      </c>
      <c r="D75" s="11" t="str">
        <f>IF(A75="","",SUMPRODUCT(('NHẬP ĐƠN'!A$2:A$1000=A75)*('NHẬP ĐƠN'!I$2:I$1000&lt;&gt;"Đã xoá")*('NHẬP ĐƠN'!G$2:G$1000)*('NHẬP ĐƠN'!F$2:F$1000)))</f>
        <v/>
      </c>
      <c r="E75" s="11" t="str">
        <f t="shared" si="1"/>
        <v>#DIV/0!</v>
      </c>
      <c r="F75" s="38" t="str">
        <f>IFERROR(VLOOKUP(A75,'NHẬP ĐƠN'!A:J,10,FALSE),"")</f>
        <v/>
      </c>
      <c r="G75" s="38" t="str">
        <f t="shared" si="2"/>
        <v/>
      </c>
      <c r="K75" s="83"/>
    </row>
    <row r="76">
      <c r="A76" s="38"/>
      <c r="B76" s="38" t="str">
        <f>IF(A76="","",COUNTIFS('NHẬP ĐƠN'!A:A,A76,'NHẬP ĐƠN'!I:I,"&lt;&gt;Đã xoá"))</f>
        <v/>
      </c>
      <c r="C76" s="38" t="str">
        <f>IF(A76="","",SUMPRODUCT(('NHẬP ĐƠN'!A$2:A$1000=A76)*('NHẬP ĐƠN'!I$2:I$1000&lt;&gt;"Đã xoá")*('NHẬP ĐƠN'!F$2:F$1000)))</f>
        <v/>
      </c>
      <c r="D76" s="11" t="str">
        <f>IF(A76="","",SUMPRODUCT(('NHẬP ĐƠN'!A$2:A$1000=A76)*('NHẬP ĐƠN'!I$2:I$1000&lt;&gt;"Đã xoá")*('NHẬP ĐƠN'!G$2:G$1000)*('NHẬP ĐƠN'!F$2:F$1000)))</f>
        <v/>
      </c>
      <c r="E76" s="11" t="str">
        <f t="shared" si="1"/>
        <v>#DIV/0!</v>
      </c>
      <c r="F76" s="38" t="str">
        <f>IFERROR(VLOOKUP(A76,'NHẬP ĐƠN'!A:J,10,FALSE),"")</f>
        <v/>
      </c>
      <c r="G76" s="38" t="str">
        <f t="shared" si="2"/>
        <v/>
      </c>
      <c r="K76" s="83"/>
    </row>
    <row r="77">
      <c r="A77" s="38"/>
      <c r="B77" s="38" t="str">
        <f>IF(A77="","",COUNTIFS('NHẬP ĐƠN'!A:A,A77,'NHẬP ĐƠN'!I:I,"&lt;&gt;Đã xoá"))</f>
        <v/>
      </c>
      <c r="C77" s="38" t="str">
        <f>IF(A77="","",SUMPRODUCT(('NHẬP ĐƠN'!A$2:A$1000=A77)*('NHẬP ĐƠN'!I$2:I$1000&lt;&gt;"Đã xoá")*('NHẬP ĐƠN'!F$2:F$1000)))</f>
        <v/>
      </c>
      <c r="D77" s="11" t="str">
        <f>IF(A77="","",SUMPRODUCT(('NHẬP ĐƠN'!A$2:A$1000=A77)*('NHẬP ĐƠN'!I$2:I$1000&lt;&gt;"Đã xoá")*('NHẬP ĐƠN'!G$2:G$1000)*('NHẬP ĐƠN'!F$2:F$1000)))</f>
        <v/>
      </c>
      <c r="E77" s="11" t="str">
        <f t="shared" si="1"/>
        <v>#DIV/0!</v>
      </c>
      <c r="F77" s="38" t="str">
        <f>IFERROR(VLOOKUP(A77,'NHẬP ĐƠN'!A:J,10,FALSE),"")</f>
        <v/>
      </c>
      <c r="G77" s="38" t="str">
        <f t="shared" si="2"/>
        <v/>
      </c>
      <c r="H77" s="2" t="s">
        <v>2523</v>
      </c>
      <c r="I77" s="2" t="s">
        <v>2482</v>
      </c>
      <c r="J77" s="2" t="s">
        <v>2524</v>
      </c>
      <c r="K77" s="82" t="s">
        <v>2525</v>
      </c>
      <c r="L77" s="2">
        <v>8.080359847E9</v>
      </c>
    </row>
    <row r="78">
      <c r="A78" s="38"/>
      <c r="B78" s="38" t="str">
        <f>IF(A78="","",COUNTIFS('NHẬP ĐƠN'!A:A,A78,'NHẬP ĐƠN'!I:I,"&lt;&gt;Đã xoá"))</f>
        <v/>
      </c>
      <c r="C78" s="38" t="str">
        <f>IF(A78="","",SUMPRODUCT(('NHẬP ĐƠN'!A$2:A$1000=A78)*('NHẬP ĐƠN'!I$2:I$1000&lt;&gt;"Đã xoá")*('NHẬP ĐƠN'!F$2:F$1000)))</f>
        <v/>
      </c>
      <c r="D78" s="11" t="str">
        <f>IF(A78="","",SUMPRODUCT(('NHẬP ĐƠN'!A$2:A$1000=A78)*('NHẬP ĐƠN'!I$2:I$1000&lt;&gt;"Đã xoá")*('NHẬP ĐƠN'!G$2:G$1000)*('NHẬP ĐƠN'!F$2:F$1000)))</f>
        <v/>
      </c>
      <c r="E78" s="11" t="str">
        <f t="shared" si="1"/>
        <v>#DIV/0!</v>
      </c>
      <c r="F78" s="38" t="str">
        <f>IFERROR(VLOOKUP(A78,'NHẬP ĐƠN'!A:J,10,FALSE),"")</f>
        <v/>
      </c>
      <c r="G78" s="38" t="str">
        <f t="shared" si="2"/>
        <v/>
      </c>
      <c r="K78" s="83"/>
    </row>
    <row r="79">
      <c r="A79" s="38"/>
      <c r="B79" s="38" t="str">
        <f>IF(A79="","",COUNTIFS('NHẬP ĐƠN'!A:A,A79,'NHẬP ĐƠN'!I:I,"&lt;&gt;Đã xoá"))</f>
        <v/>
      </c>
      <c r="C79" s="38" t="str">
        <f>IF(A79="","",SUMPRODUCT(('NHẬP ĐƠN'!A$2:A$1000=A79)*('NHẬP ĐƠN'!I$2:I$1000&lt;&gt;"Đã xoá")*('NHẬP ĐƠN'!F$2:F$1000)))</f>
        <v/>
      </c>
      <c r="D79" s="11" t="str">
        <f>IF(A79="","",SUMPRODUCT(('NHẬP ĐƠN'!A$2:A$1000=A79)*('NHẬP ĐƠN'!I$2:I$1000&lt;&gt;"Đã xoá")*('NHẬP ĐƠN'!G$2:G$1000)*('NHẬP ĐƠN'!F$2:F$1000)))</f>
        <v/>
      </c>
      <c r="E79" s="11" t="str">
        <f t="shared" si="1"/>
        <v>#DIV/0!</v>
      </c>
      <c r="F79" s="38" t="str">
        <f>IFERROR(VLOOKUP(A79,'NHẬP ĐƠN'!A:J,10,FALSE),"")</f>
        <v/>
      </c>
      <c r="G79" s="38" t="str">
        <f t="shared" si="2"/>
        <v/>
      </c>
      <c r="K79" s="83"/>
    </row>
    <row r="80">
      <c r="A80" s="38"/>
      <c r="B80" s="38" t="str">
        <f>IF(A80="","",COUNTIFS('NHẬP ĐƠN'!A:A,A80,'NHẬP ĐƠN'!I:I,"&lt;&gt;Đã xoá"))</f>
        <v/>
      </c>
      <c r="C80" s="38" t="str">
        <f>IF(A80="","",SUMPRODUCT(('NHẬP ĐƠN'!A$2:A$1000=A80)*('NHẬP ĐƠN'!I$2:I$1000&lt;&gt;"Đã xoá")*('NHẬP ĐƠN'!F$2:F$1000)))</f>
        <v/>
      </c>
      <c r="D80" s="11" t="str">
        <f>IF(A80="","",SUMPRODUCT(('NHẬP ĐƠN'!A$2:A$1000=A80)*('NHẬP ĐƠN'!I$2:I$1000&lt;&gt;"Đã xoá")*('NHẬP ĐƠN'!G$2:G$1000)*('NHẬP ĐƠN'!F$2:F$1000)))</f>
        <v/>
      </c>
      <c r="E80" s="11" t="str">
        <f t="shared" si="1"/>
        <v>#DIV/0!</v>
      </c>
      <c r="F80" s="38" t="str">
        <f>IFERROR(VLOOKUP(A80,'NHẬP ĐƠN'!A:J,10,FALSE),"")</f>
        <v/>
      </c>
      <c r="G80" s="38" t="str">
        <f t="shared" si="2"/>
        <v/>
      </c>
      <c r="K80" s="83"/>
    </row>
    <row r="81">
      <c r="A81" s="38"/>
      <c r="B81" s="38" t="str">
        <f>IF(A81="","",COUNTIFS('NHẬP ĐƠN'!A:A,A81,'NHẬP ĐƠN'!I:I,"&lt;&gt;Đã xoá"))</f>
        <v/>
      </c>
      <c r="C81" s="38" t="str">
        <f>IF(A81="","",SUMPRODUCT(('NHẬP ĐƠN'!A$2:A$1000=A81)*('NHẬP ĐƠN'!I$2:I$1000&lt;&gt;"Đã xoá")*('NHẬP ĐƠN'!F$2:F$1000)))</f>
        <v/>
      </c>
      <c r="D81" s="11" t="str">
        <f>IF(A81="","",SUMPRODUCT(('NHẬP ĐƠN'!A$2:A$1000=A81)*('NHẬP ĐƠN'!I$2:I$1000&lt;&gt;"Đã xoá")*('NHẬP ĐƠN'!G$2:G$1000)*('NHẬP ĐƠN'!F$2:F$1000)))</f>
        <v/>
      </c>
      <c r="E81" s="11" t="str">
        <f t="shared" si="1"/>
        <v>#DIV/0!</v>
      </c>
      <c r="F81" s="38" t="str">
        <f>IFERROR(VLOOKUP(A81,'NHẬP ĐƠN'!A:J,10,FALSE),"")</f>
        <v/>
      </c>
      <c r="G81" s="38" t="str">
        <f t="shared" si="2"/>
        <v/>
      </c>
      <c r="K81" s="83"/>
    </row>
    <row r="82">
      <c r="A82" s="38"/>
      <c r="B82" s="38" t="str">
        <f>IF(A82="","",COUNTIFS('NHẬP ĐƠN'!A:A,A82,'NHẬP ĐƠN'!I:I,"&lt;&gt;Đã xoá"))</f>
        <v/>
      </c>
      <c r="C82" s="38" t="str">
        <f>IF(A82="","",SUMPRODUCT(('NHẬP ĐƠN'!A$2:A$1000=A82)*('NHẬP ĐƠN'!I$2:I$1000&lt;&gt;"Đã xoá")*('NHẬP ĐƠN'!F$2:F$1000)))</f>
        <v/>
      </c>
      <c r="D82" s="11" t="str">
        <f>IF(A82="","",SUMPRODUCT(('NHẬP ĐƠN'!A$2:A$1000=A82)*('NHẬP ĐƠN'!I$2:I$1000&lt;&gt;"Đã xoá")*('NHẬP ĐƠN'!G$2:G$1000)*('NHẬP ĐƠN'!F$2:F$1000)))</f>
        <v/>
      </c>
      <c r="E82" s="11" t="str">
        <f t="shared" si="1"/>
        <v>#DIV/0!</v>
      </c>
      <c r="F82" s="38" t="str">
        <f>IFERROR(VLOOKUP(A82,'NHẬP ĐƠN'!A:J,10,FALSE),"")</f>
        <v/>
      </c>
      <c r="G82" s="38" t="str">
        <f t="shared" si="2"/>
        <v/>
      </c>
      <c r="K82" s="83"/>
    </row>
    <row r="83">
      <c r="A83" s="38"/>
      <c r="B83" s="38" t="str">
        <f>IF(A83="","",COUNTIFS('NHẬP ĐƠN'!A:A,A83,'NHẬP ĐƠN'!I:I,"&lt;&gt;Đã xoá"))</f>
        <v/>
      </c>
      <c r="C83" s="38" t="str">
        <f>IF(A83="","",SUMPRODUCT(('NHẬP ĐƠN'!A$2:A$1000=A83)*('NHẬP ĐƠN'!I$2:I$1000&lt;&gt;"Đã xoá")*('NHẬP ĐƠN'!F$2:F$1000)))</f>
        <v/>
      </c>
      <c r="D83" s="11" t="str">
        <f>IF(A83="","",SUMPRODUCT(('NHẬP ĐƠN'!A$2:A$1000=A83)*('NHẬP ĐƠN'!I$2:I$1000&lt;&gt;"Đã xoá")*('NHẬP ĐƠN'!G$2:G$1000)*('NHẬP ĐƠN'!F$2:F$1000)))</f>
        <v/>
      </c>
      <c r="E83" s="11" t="str">
        <f t="shared" si="1"/>
        <v>#DIV/0!</v>
      </c>
      <c r="F83" s="38" t="str">
        <f>IFERROR(VLOOKUP(A83,'NHẬP ĐƠN'!A:J,10,FALSE),"")</f>
        <v/>
      </c>
      <c r="G83" s="38" t="str">
        <f t="shared" si="2"/>
        <v/>
      </c>
      <c r="K83" s="83"/>
    </row>
    <row r="84">
      <c r="A84" s="38"/>
      <c r="B84" s="38" t="str">
        <f>IF(A84="","",COUNTIFS('NHẬP ĐƠN'!A:A,A84,'NHẬP ĐƠN'!I:I,"&lt;&gt;Đã xoá"))</f>
        <v/>
      </c>
      <c r="C84" s="38" t="str">
        <f>IF(A84="","",SUMPRODUCT(('NHẬP ĐƠN'!A$2:A$1000=A84)*('NHẬP ĐƠN'!I$2:I$1000&lt;&gt;"Đã xoá")*('NHẬP ĐƠN'!F$2:F$1000)))</f>
        <v/>
      </c>
      <c r="D84" s="11" t="str">
        <f>IF(A84="","",SUMPRODUCT(('NHẬP ĐƠN'!A$2:A$1000=A84)*('NHẬP ĐƠN'!I$2:I$1000&lt;&gt;"Đã xoá")*('NHẬP ĐƠN'!G$2:G$1000)*('NHẬP ĐƠN'!F$2:F$1000)))</f>
        <v/>
      </c>
      <c r="E84" s="11" t="str">
        <f t="shared" si="1"/>
        <v>#DIV/0!</v>
      </c>
      <c r="F84" s="38" t="str">
        <f>IFERROR(VLOOKUP(A84,'NHẬP ĐƠN'!A:J,10,FALSE),"")</f>
        <v/>
      </c>
      <c r="G84" s="38" t="str">
        <f t="shared" si="2"/>
        <v/>
      </c>
      <c r="K84" s="83"/>
    </row>
    <row r="85">
      <c r="A85" s="38"/>
      <c r="B85" s="38" t="str">
        <f>IF(A85="","",COUNTIFS('NHẬP ĐƠN'!A:A,A85,'NHẬP ĐƠN'!I:I,"&lt;&gt;Đã xoá"))</f>
        <v/>
      </c>
      <c r="C85" s="38" t="str">
        <f>IF(A85="","",SUMPRODUCT(('NHẬP ĐƠN'!A$2:A$1000=A85)*('NHẬP ĐƠN'!I$2:I$1000&lt;&gt;"Đã xoá")*('NHẬP ĐƠN'!F$2:F$1000)))</f>
        <v/>
      </c>
      <c r="D85" s="11" t="str">
        <f>IF(A85="","",SUMPRODUCT(('NHẬP ĐƠN'!A$2:A$1000=A85)*('NHẬP ĐƠN'!I$2:I$1000&lt;&gt;"Đã xoá")*('NHẬP ĐƠN'!G$2:G$1000)*('NHẬP ĐƠN'!F$2:F$1000)))</f>
        <v/>
      </c>
      <c r="E85" s="11" t="str">
        <f t="shared" si="1"/>
        <v>#DIV/0!</v>
      </c>
      <c r="F85" s="38" t="str">
        <f>IFERROR(VLOOKUP(A85,'NHẬP ĐƠN'!A:J,10,FALSE),"")</f>
        <v/>
      </c>
      <c r="G85" s="38" t="str">
        <f t="shared" si="2"/>
        <v/>
      </c>
      <c r="K85" s="83"/>
    </row>
    <row r="86">
      <c r="A86" s="38"/>
      <c r="B86" s="38" t="str">
        <f>IF(A86="","",COUNTIFS('NHẬP ĐƠN'!A:A,A86,'NHẬP ĐƠN'!I:I,"&lt;&gt;Đã xoá"))</f>
        <v/>
      </c>
      <c r="C86" s="38" t="str">
        <f>IF(A86="","",SUMPRODUCT(('NHẬP ĐƠN'!A$2:A$1000=A86)*('NHẬP ĐƠN'!I$2:I$1000&lt;&gt;"Đã xoá")*('NHẬP ĐƠN'!F$2:F$1000)))</f>
        <v/>
      </c>
      <c r="D86" s="11" t="str">
        <f>IF(A86="","",SUMPRODUCT(('NHẬP ĐƠN'!A$2:A$1000=A86)*('NHẬP ĐƠN'!I$2:I$1000&lt;&gt;"Đã xoá")*('NHẬP ĐƠN'!G$2:G$1000)*('NHẬP ĐƠN'!F$2:F$1000)))</f>
        <v/>
      </c>
      <c r="E86" s="11" t="str">
        <f t="shared" si="1"/>
        <v>#DIV/0!</v>
      </c>
      <c r="F86" s="38" t="str">
        <f>IFERROR(VLOOKUP(A86,'NHẬP ĐƠN'!A:J,10,FALSE),"")</f>
        <v/>
      </c>
      <c r="G86" s="38" t="str">
        <f t="shared" si="2"/>
        <v/>
      </c>
      <c r="H86" s="2" t="s">
        <v>2526</v>
      </c>
      <c r="I86" s="2" t="s">
        <v>2498</v>
      </c>
      <c r="J86" s="2" t="s">
        <v>2527</v>
      </c>
      <c r="K86" s="82" t="s">
        <v>2528</v>
      </c>
      <c r="L86" s="2">
        <v>9.030991196E9</v>
      </c>
    </row>
    <row r="87">
      <c r="A87" s="38"/>
      <c r="B87" s="38" t="str">
        <f>IF(A87="","",COUNTIFS('NHẬP ĐƠN'!A:A,A87,'NHẬP ĐƠN'!I:I,"&lt;&gt;Đã xoá"))</f>
        <v/>
      </c>
      <c r="C87" s="38" t="str">
        <f>IF(A87="","",SUMPRODUCT(('NHẬP ĐƠN'!A$2:A$1000=A87)*('NHẬP ĐƠN'!I$2:I$1000&lt;&gt;"Đã xoá")*('NHẬP ĐƠN'!F$2:F$1000)))</f>
        <v/>
      </c>
      <c r="D87" s="11" t="str">
        <f>IF(A87="","",SUMPRODUCT(('NHẬP ĐƠN'!A$2:A$1000=A87)*('NHẬP ĐƠN'!I$2:I$1000&lt;&gt;"Đã xoá")*('NHẬP ĐƠN'!G$2:G$1000)*('NHẬP ĐƠN'!F$2:F$1000)))</f>
        <v/>
      </c>
      <c r="E87" s="11" t="str">
        <f t="shared" si="1"/>
        <v>#DIV/0!</v>
      </c>
      <c r="F87" s="38" t="str">
        <f>IFERROR(VLOOKUP(A87,'NHẬP ĐƠN'!A:J,10,FALSE),"")</f>
        <v/>
      </c>
      <c r="G87" s="38" t="str">
        <f t="shared" si="2"/>
        <v/>
      </c>
      <c r="H87" s="2" t="s">
        <v>2529</v>
      </c>
      <c r="I87" s="2" t="s">
        <v>2467</v>
      </c>
      <c r="J87" s="2" t="s">
        <v>2471</v>
      </c>
      <c r="K87" s="82" t="s">
        <v>2530</v>
      </c>
      <c r="L87" s="2">
        <v>9.030991196E9</v>
      </c>
    </row>
    <row r="88">
      <c r="A88" s="38"/>
      <c r="B88" s="38" t="str">
        <f>IF(A88="","",COUNTIFS('NHẬP ĐƠN'!A:A,A88,'NHẬP ĐƠN'!I:I,"&lt;&gt;Đã xoá"))</f>
        <v/>
      </c>
      <c r="C88" s="38" t="str">
        <f>IF(A88="","",SUMPRODUCT(('NHẬP ĐƠN'!A$2:A$1000=A88)*('NHẬP ĐƠN'!I$2:I$1000&lt;&gt;"Đã xoá")*('NHẬP ĐƠN'!F$2:F$1000)))</f>
        <v/>
      </c>
      <c r="D88" s="11" t="str">
        <f>IF(A88="","",SUMPRODUCT(('NHẬP ĐƠN'!A$2:A$1000=A88)*('NHẬP ĐƠN'!I$2:I$1000&lt;&gt;"Đã xoá")*('NHẬP ĐƠN'!G$2:G$1000)*('NHẬP ĐƠN'!F$2:F$1000)))</f>
        <v/>
      </c>
      <c r="E88" s="11" t="str">
        <f t="shared" si="1"/>
        <v>#DIV/0!</v>
      </c>
      <c r="F88" s="38" t="str">
        <f>IFERROR(VLOOKUP(A88,'NHẬP ĐƠN'!A:J,10,FALSE),"")</f>
        <v/>
      </c>
      <c r="G88" s="38" t="str">
        <f t="shared" si="2"/>
        <v/>
      </c>
      <c r="H88" s="2" t="s">
        <v>2531</v>
      </c>
      <c r="I88" s="2" t="s">
        <v>2532</v>
      </c>
      <c r="J88" s="2" t="s">
        <v>2533</v>
      </c>
      <c r="K88" s="82" t="s">
        <v>2534</v>
      </c>
      <c r="L88" s="2">
        <v>9.030991196E9</v>
      </c>
    </row>
    <row r="89">
      <c r="A89" s="38"/>
      <c r="B89" s="38" t="str">
        <f>IF(A89="","",COUNTIFS('NHẬP ĐƠN'!A:A,A89,'NHẬP ĐƠN'!I:I,"&lt;&gt;Đã xoá"))</f>
        <v/>
      </c>
      <c r="C89" s="38" t="str">
        <f>IF(A89="","",SUMPRODUCT(('NHẬP ĐƠN'!A$2:A$1000=A89)*('NHẬP ĐƠN'!I$2:I$1000&lt;&gt;"Đã xoá")*('NHẬP ĐƠN'!F$2:F$1000)))</f>
        <v/>
      </c>
      <c r="D89" s="11" t="str">
        <f>IF(A89="","",SUMPRODUCT(('NHẬP ĐƠN'!A$2:A$1000=A89)*('NHẬP ĐƠN'!I$2:I$1000&lt;&gt;"Đã xoá")*('NHẬP ĐƠN'!G$2:G$1000)*('NHẬP ĐƠN'!F$2:F$1000)))</f>
        <v/>
      </c>
      <c r="E89" s="11" t="str">
        <f t="shared" si="1"/>
        <v>#DIV/0!</v>
      </c>
      <c r="F89" s="38" t="str">
        <f>IFERROR(VLOOKUP(A89,'NHẬP ĐƠN'!A:J,10,FALSE),"")</f>
        <v/>
      </c>
      <c r="G89" s="38" t="str">
        <f t="shared" si="2"/>
        <v/>
      </c>
      <c r="K89" s="83"/>
    </row>
    <row r="90">
      <c r="A90" s="38"/>
      <c r="B90" s="38" t="str">
        <f>IF(A90="","",COUNTIFS('NHẬP ĐƠN'!A:A,A90,'NHẬP ĐƠN'!I:I,"&lt;&gt;Đã xoá"))</f>
        <v/>
      </c>
      <c r="C90" s="38" t="str">
        <f>IF(A90="","",SUMPRODUCT(('NHẬP ĐƠN'!A$2:A$1000=A90)*('NHẬP ĐƠN'!I$2:I$1000&lt;&gt;"Đã xoá")*('NHẬP ĐƠN'!F$2:F$1000)))</f>
        <v/>
      </c>
      <c r="D90" s="11" t="str">
        <f>IF(A90="","",SUMPRODUCT(('NHẬP ĐƠN'!A$2:A$1000=A90)*('NHẬP ĐƠN'!I$2:I$1000&lt;&gt;"Đã xoá")*('NHẬP ĐƠN'!G$2:G$1000)*('NHẬP ĐƠN'!F$2:F$1000)))</f>
        <v/>
      </c>
      <c r="E90" s="11" t="str">
        <f t="shared" si="1"/>
        <v>#DIV/0!</v>
      </c>
      <c r="F90" s="38" t="str">
        <f>IFERROR(VLOOKUP(A90,'NHẬP ĐƠN'!A:J,10,FALSE),"")</f>
        <v/>
      </c>
      <c r="G90" s="38" t="str">
        <f t="shared" si="2"/>
        <v/>
      </c>
      <c r="K90" s="83"/>
    </row>
    <row r="91">
      <c r="A91" s="38"/>
      <c r="B91" s="38" t="str">
        <f>IF(A91="","",COUNTIFS('NHẬP ĐƠN'!A:A,A91,'NHẬP ĐƠN'!I:I,"&lt;&gt;Đã xoá"))</f>
        <v/>
      </c>
      <c r="C91" s="38" t="str">
        <f>IF(A91="","",SUMPRODUCT(('NHẬP ĐƠN'!A$2:A$1000=A91)*('NHẬP ĐƠN'!I$2:I$1000&lt;&gt;"Đã xoá")*('NHẬP ĐƠN'!F$2:F$1000)))</f>
        <v/>
      </c>
      <c r="D91" s="11" t="str">
        <f>IF(A91="","",SUMPRODUCT(('NHẬP ĐƠN'!A$2:A$1000=A91)*('NHẬP ĐƠN'!I$2:I$1000&lt;&gt;"Đã xoá")*('NHẬP ĐƠN'!G$2:G$1000)*('NHẬP ĐƠN'!F$2:F$1000)))</f>
        <v/>
      </c>
      <c r="E91" s="11" t="str">
        <f t="shared" si="1"/>
        <v>#DIV/0!</v>
      </c>
      <c r="F91" s="38" t="str">
        <f>IFERROR(VLOOKUP(A91,'NHẬP ĐƠN'!A:J,10,FALSE),"")</f>
        <v/>
      </c>
      <c r="G91" s="38" t="str">
        <f t="shared" si="2"/>
        <v/>
      </c>
      <c r="K91" s="83"/>
    </row>
    <row r="92">
      <c r="A92" s="38"/>
      <c r="B92" s="38" t="str">
        <f>IF(A92="","",COUNTIFS('NHẬP ĐƠN'!A:A,A92,'NHẬP ĐƠN'!I:I,"&lt;&gt;Đã xoá"))</f>
        <v/>
      </c>
      <c r="C92" s="38" t="str">
        <f>IF(A92="","",SUMPRODUCT(('NHẬP ĐƠN'!A$2:A$1000=A92)*('NHẬP ĐƠN'!I$2:I$1000&lt;&gt;"Đã xoá")*('NHẬP ĐƠN'!F$2:F$1000)))</f>
        <v/>
      </c>
      <c r="D92" s="11" t="str">
        <f>IF(A92="","",SUMPRODUCT(('NHẬP ĐƠN'!A$2:A$1000=A92)*('NHẬP ĐƠN'!I$2:I$1000&lt;&gt;"Đã xoá")*('NHẬP ĐƠN'!G$2:G$1000)*('NHẬP ĐƠN'!F$2:F$1000)))</f>
        <v/>
      </c>
      <c r="E92" s="11" t="str">
        <f t="shared" si="1"/>
        <v>#DIV/0!</v>
      </c>
      <c r="F92" s="38" t="str">
        <f>IFERROR(VLOOKUP(A92,'NHẬP ĐƠN'!A:J,10,FALSE),"")</f>
        <v/>
      </c>
      <c r="G92" s="38" t="str">
        <f t="shared" si="2"/>
        <v/>
      </c>
      <c r="K92" s="83"/>
    </row>
    <row r="93">
      <c r="A93" s="38"/>
      <c r="B93" s="38" t="str">
        <f>IF(A93="","",COUNTIFS('NHẬP ĐƠN'!A:A,A93,'NHẬP ĐƠN'!I:I,"&lt;&gt;Đã xoá"))</f>
        <v/>
      </c>
      <c r="C93" s="38" t="str">
        <f>IF(A93="","",SUMPRODUCT(('NHẬP ĐƠN'!A$2:A$1000=A93)*('NHẬP ĐƠN'!I$2:I$1000&lt;&gt;"Đã xoá")*('NHẬP ĐƠN'!F$2:F$1000)))</f>
        <v/>
      </c>
      <c r="D93" s="11" t="str">
        <f>IF(A93="","",SUMPRODUCT(('NHẬP ĐƠN'!A$2:A$1000=A93)*('NHẬP ĐƠN'!I$2:I$1000&lt;&gt;"Đã xoá")*('NHẬP ĐƠN'!G$2:G$1000)*('NHẬP ĐƠN'!F$2:F$1000)))</f>
        <v/>
      </c>
      <c r="E93" s="11" t="str">
        <f t="shared" si="1"/>
        <v>#DIV/0!</v>
      </c>
      <c r="F93" s="38" t="str">
        <f>IFERROR(VLOOKUP(A93,'NHẬP ĐƠN'!A:J,10,FALSE),"")</f>
        <v/>
      </c>
      <c r="G93" s="38" t="str">
        <f t="shared" si="2"/>
        <v/>
      </c>
      <c r="K93" s="83"/>
    </row>
    <row r="94">
      <c r="A94" s="38"/>
      <c r="B94" s="38" t="str">
        <f>IF(A94="","",COUNTIFS('NHẬP ĐƠN'!A:A,A94,'NHẬP ĐƠN'!I:I,"&lt;&gt;Đã xoá"))</f>
        <v/>
      </c>
      <c r="C94" s="38" t="str">
        <f>IF(A94="","",SUMPRODUCT(('NHẬP ĐƠN'!A$2:A$1000=A94)*('NHẬP ĐƠN'!I$2:I$1000&lt;&gt;"Đã xoá")*('NHẬP ĐƠN'!F$2:F$1000)))</f>
        <v/>
      </c>
      <c r="D94" s="11" t="str">
        <f>IF(A94="","",SUMPRODUCT(('NHẬP ĐƠN'!A$2:A$1000=A94)*('NHẬP ĐƠN'!I$2:I$1000&lt;&gt;"Đã xoá")*('NHẬP ĐƠN'!G$2:G$1000)*('NHẬP ĐƠN'!F$2:F$1000)))</f>
        <v/>
      </c>
      <c r="E94" s="11" t="str">
        <f t="shared" si="1"/>
        <v>#DIV/0!</v>
      </c>
      <c r="F94" s="38" t="str">
        <f>IFERROR(VLOOKUP(A94,'NHẬP ĐƠN'!A:J,10,FALSE),"")</f>
        <v/>
      </c>
      <c r="G94" s="38" t="str">
        <f t="shared" si="2"/>
        <v/>
      </c>
      <c r="K94" s="83"/>
    </row>
    <row r="95">
      <c r="A95" s="38"/>
      <c r="B95" s="38" t="str">
        <f>IF(A95="","",COUNTIFS('NHẬP ĐƠN'!A:A,A95,'NHẬP ĐƠN'!I:I,"&lt;&gt;Đã xoá"))</f>
        <v/>
      </c>
      <c r="C95" s="38" t="str">
        <f>IF(A95="","",SUMPRODUCT(('NHẬP ĐƠN'!A$2:A$1000=A95)*('NHẬP ĐƠN'!I$2:I$1000&lt;&gt;"Đã xoá")*('NHẬP ĐƠN'!F$2:F$1000)))</f>
        <v/>
      </c>
      <c r="D95" s="11" t="str">
        <f>IF(A95="","",SUMPRODUCT(('NHẬP ĐƠN'!A$2:A$1000=A95)*('NHẬP ĐƠN'!I$2:I$1000&lt;&gt;"Đã xoá")*('NHẬP ĐƠN'!G$2:G$1000)*('NHẬP ĐƠN'!F$2:F$1000)))</f>
        <v/>
      </c>
      <c r="E95" s="11" t="str">
        <f t="shared" si="1"/>
        <v>#DIV/0!</v>
      </c>
      <c r="F95" s="38" t="str">
        <f>IFERROR(VLOOKUP(A95,'NHẬP ĐƠN'!A:J,10,FALSE),"")</f>
        <v/>
      </c>
      <c r="G95" s="38" t="str">
        <f t="shared" si="2"/>
        <v/>
      </c>
      <c r="K95" s="83"/>
    </row>
    <row r="96">
      <c r="A96" s="38"/>
      <c r="B96" s="38" t="str">
        <f>IF(A96="","",COUNTIFS('NHẬP ĐƠN'!A:A,A96,'NHẬP ĐƠN'!I:I,"&lt;&gt;Đã xoá"))</f>
        <v/>
      </c>
      <c r="C96" s="38" t="str">
        <f>IF(A96="","",SUMPRODUCT(('NHẬP ĐƠN'!A$2:A$1000=A96)*('NHẬP ĐƠN'!I$2:I$1000&lt;&gt;"Đã xoá")*('NHẬP ĐƠN'!F$2:F$1000)))</f>
        <v/>
      </c>
      <c r="D96" s="11" t="str">
        <f>IF(A96="","",SUMPRODUCT(('NHẬP ĐƠN'!A$2:A$1000=A96)*('NHẬP ĐƠN'!I$2:I$1000&lt;&gt;"Đã xoá")*('NHẬP ĐƠN'!G$2:G$1000)*('NHẬP ĐƠN'!F$2:F$1000)))</f>
        <v/>
      </c>
      <c r="E96" s="11" t="str">
        <f t="shared" si="1"/>
        <v>#DIV/0!</v>
      </c>
      <c r="F96" s="38" t="str">
        <f>IFERROR(VLOOKUP(A96,'NHẬP ĐƠN'!A:J,10,FALSE),"")</f>
        <v/>
      </c>
      <c r="G96" s="38" t="str">
        <f t="shared" si="2"/>
        <v/>
      </c>
      <c r="H96" s="2" t="s">
        <v>2535</v>
      </c>
      <c r="I96" s="2" t="s">
        <v>2536</v>
      </c>
      <c r="J96" s="2" t="s">
        <v>2537</v>
      </c>
      <c r="K96" s="82" t="s">
        <v>2538</v>
      </c>
      <c r="L96" s="2" t="s">
        <v>2539</v>
      </c>
    </row>
    <row r="97">
      <c r="A97" s="38"/>
      <c r="B97" s="38" t="str">
        <f>IF(A97="","",COUNTIFS('NHẬP ĐƠN'!A:A,A97,'NHẬP ĐƠN'!I:I,"&lt;&gt;Đã xoá"))</f>
        <v/>
      </c>
      <c r="C97" s="38" t="str">
        <f>IF(A97="","",SUMPRODUCT(('NHẬP ĐƠN'!A$2:A$1000=A97)*('NHẬP ĐƠN'!I$2:I$1000&lt;&gt;"Đã xoá")*('NHẬP ĐƠN'!F$2:F$1000)))</f>
        <v/>
      </c>
      <c r="D97" s="11" t="str">
        <f>IF(A97="","",SUMPRODUCT(('NHẬP ĐƠN'!A$2:A$1000=A97)*('NHẬP ĐƠN'!I$2:I$1000&lt;&gt;"Đã xoá")*('NHẬP ĐƠN'!G$2:G$1000)*('NHẬP ĐƠN'!F$2:F$1000)))</f>
        <v/>
      </c>
      <c r="E97" s="11" t="str">
        <f t="shared" si="1"/>
        <v>#DIV/0!</v>
      </c>
      <c r="F97" s="38" t="str">
        <f>IFERROR(VLOOKUP(A97,'NHẬP ĐƠN'!A:J,10,FALSE),"")</f>
        <v/>
      </c>
      <c r="G97" s="38" t="str">
        <f t="shared" si="2"/>
        <v/>
      </c>
      <c r="H97" s="2" t="s">
        <v>2535</v>
      </c>
      <c r="I97" s="2" t="s">
        <v>2536</v>
      </c>
      <c r="J97" s="2" t="s">
        <v>2537</v>
      </c>
      <c r="K97" s="82" t="s">
        <v>2540</v>
      </c>
      <c r="L97" s="2" t="s">
        <v>2541</v>
      </c>
    </row>
    <row r="98">
      <c r="A98" s="38"/>
      <c r="B98" s="38" t="str">
        <f>IF(A98="","",COUNTIFS('NHẬP ĐƠN'!A:A,A98,'NHẬP ĐƠN'!I:I,"&lt;&gt;Đã xoá"))</f>
        <v/>
      </c>
      <c r="C98" s="38" t="str">
        <f>IF(A98="","",SUMPRODUCT(('NHẬP ĐƠN'!A$2:A$1000=A98)*('NHẬP ĐƠN'!I$2:I$1000&lt;&gt;"Đã xoá")*('NHẬP ĐƠN'!F$2:F$1000)))</f>
        <v/>
      </c>
      <c r="D98" s="11" t="str">
        <f>IF(A98="","",SUMPRODUCT(('NHẬP ĐƠN'!A$2:A$1000=A98)*('NHẬP ĐƠN'!I$2:I$1000&lt;&gt;"Đã xoá")*('NHẬP ĐƠN'!G$2:G$1000)*('NHẬP ĐƠN'!F$2:F$1000)))</f>
        <v/>
      </c>
      <c r="E98" s="11" t="str">
        <f t="shared" si="1"/>
        <v>#DIV/0!</v>
      </c>
      <c r="F98" s="38" t="str">
        <f>IFERROR(VLOOKUP(A98,'NHẬP ĐƠN'!A:J,10,FALSE),"")</f>
        <v/>
      </c>
      <c r="G98" s="38" t="str">
        <f t="shared" si="2"/>
        <v/>
      </c>
      <c r="H98" s="2" t="s">
        <v>2542</v>
      </c>
      <c r="I98" s="2" t="s">
        <v>2543</v>
      </c>
      <c r="J98" s="2" t="s">
        <v>2544</v>
      </c>
      <c r="K98" s="82" t="s">
        <v>2545</v>
      </c>
      <c r="L98" s="2">
        <v>9.030991196E9</v>
      </c>
    </row>
    <row r="99">
      <c r="A99" s="38"/>
      <c r="B99" s="38" t="str">
        <f>IF(A99="","",COUNTIFS('NHẬP ĐƠN'!A:A,A99,'NHẬP ĐƠN'!I:I,"&lt;&gt;Đã xoá"))</f>
        <v/>
      </c>
      <c r="C99" s="38" t="str">
        <f>IF(A99="","",SUMPRODUCT(('NHẬP ĐƠN'!A$2:A$1000=A99)*('NHẬP ĐƠN'!I$2:I$1000&lt;&gt;"Đã xoá")*('NHẬP ĐƠN'!F$2:F$1000)))</f>
        <v/>
      </c>
      <c r="D99" s="11" t="str">
        <f>IF(A99="","",SUMPRODUCT(('NHẬP ĐƠN'!A$2:A$1000=A99)*('NHẬP ĐƠN'!I$2:I$1000&lt;&gt;"Đã xoá")*('NHẬP ĐƠN'!G$2:G$1000)*('NHẬP ĐƠN'!F$2:F$1000)))</f>
        <v/>
      </c>
      <c r="E99" s="11" t="str">
        <f t="shared" si="1"/>
        <v>#DIV/0!</v>
      </c>
      <c r="F99" s="38" t="str">
        <f>IFERROR(VLOOKUP(A99,'NHẬP ĐƠN'!A:J,10,FALSE),"")</f>
        <v/>
      </c>
      <c r="G99" s="38" t="str">
        <f t="shared" si="2"/>
        <v/>
      </c>
      <c r="K99" s="83"/>
    </row>
    <row r="100">
      <c r="A100" s="38"/>
      <c r="B100" s="38" t="str">
        <f>IF(A100="","",COUNTIFS('NHẬP ĐƠN'!A:A,A100,'NHẬP ĐƠN'!I:I,"&lt;&gt;Đã xoá"))</f>
        <v/>
      </c>
      <c r="C100" s="38" t="str">
        <f>IF(A100="","",SUMPRODUCT(('NHẬP ĐƠN'!A$2:A$1000=A100)*('NHẬP ĐƠN'!I$2:I$1000&lt;&gt;"Đã xoá")*('NHẬP ĐƠN'!F$2:F$1000)))</f>
        <v/>
      </c>
      <c r="D100" s="11" t="str">
        <f>IF(A100="","",SUMPRODUCT(('NHẬP ĐƠN'!A$2:A$1000=A100)*('NHẬP ĐƠN'!I$2:I$1000&lt;&gt;"Đã xoá")*('NHẬP ĐƠN'!G$2:G$1000)*('NHẬP ĐƠN'!F$2:F$1000)))</f>
        <v/>
      </c>
      <c r="E100" s="11" t="str">
        <f t="shared" si="1"/>
        <v>#DIV/0!</v>
      </c>
      <c r="F100" s="38" t="str">
        <f>IFERROR(VLOOKUP(A100,'NHẬP ĐƠN'!A:J,10,FALSE),"")</f>
        <v/>
      </c>
      <c r="G100" s="38" t="str">
        <f t="shared" si="2"/>
        <v/>
      </c>
      <c r="K100" s="83"/>
    </row>
    <row r="101">
      <c r="A101" s="38"/>
      <c r="B101" s="38" t="str">
        <f>IF(A101="","",COUNTIFS('NHẬP ĐƠN'!A:A,A101,'NHẬP ĐƠN'!I:I,"&lt;&gt;Đã xoá"))</f>
        <v/>
      </c>
      <c r="C101" s="38" t="str">
        <f>IF(A101="","",SUMPRODUCT(('NHẬP ĐƠN'!A$2:A$1000=A101)*('NHẬP ĐƠN'!I$2:I$1000&lt;&gt;"Đã xoá")*('NHẬP ĐƠN'!F$2:F$1000)))</f>
        <v/>
      </c>
      <c r="D101" s="11" t="str">
        <f>IF(A101="","",SUMPRODUCT(('NHẬP ĐƠN'!A$2:A$1000=A101)*('NHẬP ĐƠN'!I$2:I$1000&lt;&gt;"Đã xoá")*('NHẬP ĐƠN'!G$2:G$1000)*('NHẬP ĐƠN'!F$2:F$1000)))</f>
        <v/>
      </c>
      <c r="E101" s="11" t="str">
        <f t="shared" si="1"/>
        <v>#DIV/0!</v>
      </c>
      <c r="F101" s="38" t="str">
        <f>IFERROR(VLOOKUP(A101,'NHẬP ĐƠN'!A:J,10,FALSE),"")</f>
        <v/>
      </c>
      <c r="G101" s="38" t="str">
        <f t="shared" si="2"/>
        <v/>
      </c>
      <c r="K101" s="83"/>
    </row>
    <row r="102">
      <c r="A102" s="38"/>
      <c r="B102" s="38" t="str">
        <f>IF(A102="","",COUNTIFS('NHẬP ĐƠN'!A:A,A102,'NHẬP ĐƠN'!I:I,"&lt;&gt;Đã xoá"))</f>
        <v/>
      </c>
      <c r="C102" s="38" t="str">
        <f>IF(A102="","",SUMPRODUCT(('NHẬP ĐƠN'!A$2:A$1000=A102)*('NHẬP ĐƠN'!I$2:I$1000&lt;&gt;"Đã xoá")*('NHẬP ĐƠN'!F$2:F$1000)))</f>
        <v/>
      </c>
      <c r="D102" s="11" t="str">
        <f>IF(A102="","",SUMPRODUCT(('NHẬP ĐƠN'!A$2:A$1000=A102)*('NHẬP ĐƠN'!I$2:I$1000&lt;&gt;"Đã xoá")*('NHẬP ĐƠN'!G$2:G$1000)*('NHẬP ĐƠN'!F$2:F$1000)))</f>
        <v/>
      </c>
      <c r="E102" s="11" t="str">
        <f t="shared" si="1"/>
        <v>#DIV/0!</v>
      </c>
      <c r="F102" s="38" t="str">
        <f>IFERROR(VLOOKUP(A102,'NHẬP ĐƠN'!A:J,10,FALSE),"")</f>
        <v/>
      </c>
      <c r="G102" s="38" t="str">
        <f t="shared" si="2"/>
        <v/>
      </c>
      <c r="H102" s="2" t="s">
        <v>2546</v>
      </c>
      <c r="I102" s="2" t="s">
        <v>2547</v>
      </c>
      <c r="J102" s="2" t="s">
        <v>2548</v>
      </c>
      <c r="K102" s="82" t="s">
        <v>2549</v>
      </c>
      <c r="L102" s="2">
        <v>9.030991196E9</v>
      </c>
    </row>
    <row r="103">
      <c r="A103" s="38"/>
      <c r="B103" s="38" t="str">
        <f>IF(A103="","",COUNTIFS('NHẬP ĐƠN'!A:A,A103,'NHẬP ĐƠN'!I:I,"&lt;&gt;Đã xoá"))</f>
        <v/>
      </c>
      <c r="C103" s="38" t="str">
        <f>IF(A103="","",SUMPRODUCT(('NHẬP ĐƠN'!A$2:A$1000=A103)*('NHẬP ĐƠN'!I$2:I$1000&lt;&gt;"Đã xoá")*('NHẬP ĐƠN'!F$2:F$1000)))</f>
        <v/>
      </c>
      <c r="D103" s="11" t="str">
        <f>IF(A103="","",SUMPRODUCT(('NHẬP ĐƠN'!A$2:A$1000=A103)*('NHẬP ĐƠN'!I$2:I$1000&lt;&gt;"Đã xoá")*('NHẬP ĐƠN'!G$2:G$1000)*('NHẬP ĐƠN'!F$2:F$1000)))</f>
        <v/>
      </c>
      <c r="E103" s="11" t="str">
        <f t="shared" si="1"/>
        <v>#DIV/0!</v>
      </c>
      <c r="F103" s="38" t="str">
        <f>IFERROR(VLOOKUP(A103,'NHẬP ĐƠN'!A:J,10,FALSE),"")</f>
        <v/>
      </c>
      <c r="G103" s="38" t="str">
        <f t="shared" si="2"/>
        <v/>
      </c>
      <c r="H103" s="2" t="s">
        <v>2550</v>
      </c>
      <c r="I103" s="2" t="s">
        <v>2551</v>
      </c>
      <c r="J103" s="2" t="s">
        <v>2552</v>
      </c>
      <c r="K103" s="82" t="s">
        <v>2553</v>
      </c>
      <c r="L103" s="2">
        <v>9.030991196E9</v>
      </c>
    </row>
    <row r="104">
      <c r="A104" s="38"/>
      <c r="B104" s="38" t="str">
        <f>IF(A104="","",COUNTIFS('NHẬP ĐƠN'!A:A,A104,'NHẬP ĐƠN'!I:I,"&lt;&gt;Đã xoá"))</f>
        <v/>
      </c>
      <c r="C104" s="38" t="str">
        <f>IF(A104="","",SUMPRODUCT(('NHẬP ĐƠN'!A$2:A$1000=A104)*('NHẬP ĐƠN'!I$2:I$1000&lt;&gt;"Đã xoá")*('NHẬP ĐƠN'!F$2:F$1000)))</f>
        <v/>
      </c>
      <c r="D104" s="11" t="str">
        <f>IF(A104="","",SUMPRODUCT(('NHẬP ĐƠN'!A$2:A$1000=A104)*('NHẬP ĐƠN'!I$2:I$1000&lt;&gt;"Đã xoá")*('NHẬP ĐƠN'!G$2:G$1000)*('NHẬP ĐƠN'!F$2:F$1000)))</f>
        <v/>
      </c>
      <c r="E104" s="11" t="str">
        <f t="shared" si="1"/>
        <v>#DIV/0!</v>
      </c>
      <c r="F104" s="38" t="str">
        <f>IFERROR(VLOOKUP(A104,'NHẬP ĐƠN'!A:J,10,FALSE),"")</f>
        <v/>
      </c>
      <c r="G104" s="38" t="str">
        <f t="shared" si="2"/>
        <v/>
      </c>
      <c r="K104" s="83"/>
    </row>
    <row r="105">
      <c r="A105" s="38"/>
      <c r="B105" s="38" t="str">
        <f>IF(A105="","",COUNTIFS('NHẬP ĐƠN'!A:A,A105,'NHẬP ĐƠN'!I:I,"&lt;&gt;Đã xoá"))</f>
        <v/>
      </c>
      <c r="C105" s="38" t="str">
        <f>IF(A105="","",SUMPRODUCT(('NHẬP ĐƠN'!A$2:A$1000=A105)*('NHẬP ĐƠN'!I$2:I$1000&lt;&gt;"Đã xoá")*('NHẬP ĐƠN'!F$2:F$1000)))</f>
        <v/>
      </c>
      <c r="D105" s="11" t="str">
        <f>IF(A105="","",SUMPRODUCT(('NHẬP ĐƠN'!A$2:A$1000=A105)*('NHẬP ĐƠN'!I$2:I$1000&lt;&gt;"Đã xoá")*('NHẬP ĐƠN'!G$2:G$1000)*('NHẬP ĐƠN'!F$2:F$1000)))</f>
        <v/>
      </c>
      <c r="E105" s="11" t="str">
        <f t="shared" si="1"/>
        <v>#DIV/0!</v>
      </c>
      <c r="F105" s="38" t="str">
        <f>IFERROR(VLOOKUP(A105,'NHẬP ĐƠN'!A:J,10,FALSE),"")</f>
        <v/>
      </c>
      <c r="G105" s="38" t="str">
        <f t="shared" si="2"/>
        <v/>
      </c>
      <c r="K105" s="83"/>
    </row>
    <row r="106">
      <c r="A106" s="38"/>
      <c r="B106" s="38" t="str">
        <f>IF(A106="","",COUNTIFS('NHẬP ĐƠN'!A:A,A106,'NHẬP ĐƠN'!I:I,"&lt;&gt;Đã xoá"))</f>
        <v/>
      </c>
      <c r="C106" s="38" t="str">
        <f>IF(A106="","",SUMPRODUCT(('NHẬP ĐƠN'!A$2:A$1000=A106)*('NHẬP ĐƠN'!I$2:I$1000&lt;&gt;"Đã xoá")*('NHẬP ĐƠN'!F$2:F$1000)))</f>
        <v/>
      </c>
      <c r="D106" s="11" t="str">
        <f>IF(A106="","",SUMPRODUCT(('NHẬP ĐƠN'!A$2:A$1000=A106)*('NHẬP ĐƠN'!I$2:I$1000&lt;&gt;"Đã xoá")*('NHẬP ĐƠN'!G$2:G$1000)*('NHẬP ĐƠN'!F$2:F$1000)))</f>
        <v/>
      </c>
      <c r="E106" s="11" t="str">
        <f t="shared" si="1"/>
        <v>#DIV/0!</v>
      </c>
      <c r="F106" s="38" t="str">
        <f>IFERROR(VLOOKUP(A106,'NHẬP ĐƠN'!A:J,10,FALSE),"")</f>
        <v/>
      </c>
      <c r="G106" s="38" t="str">
        <f t="shared" si="2"/>
        <v/>
      </c>
      <c r="K106" s="83"/>
    </row>
    <row r="107">
      <c r="A107" s="38"/>
      <c r="B107" s="38" t="str">
        <f>IF(A107="","",COUNTIFS('NHẬP ĐƠN'!A:A,A107,'NHẬP ĐƠN'!I:I,"&lt;&gt;Đã xoá"))</f>
        <v/>
      </c>
      <c r="C107" s="38" t="str">
        <f>IF(A107="","",SUMPRODUCT(('NHẬP ĐƠN'!A$2:A$1000=A107)*('NHẬP ĐƠN'!I$2:I$1000&lt;&gt;"Đã xoá")*('NHẬP ĐƠN'!F$2:F$1000)))</f>
        <v/>
      </c>
      <c r="D107" s="11" t="str">
        <f>IF(A107="","",SUMPRODUCT(('NHẬP ĐƠN'!A$2:A$1000=A107)*('NHẬP ĐƠN'!I$2:I$1000&lt;&gt;"Đã xoá")*('NHẬP ĐƠN'!G$2:G$1000)*('NHẬP ĐƠN'!F$2:F$1000)))</f>
        <v/>
      </c>
      <c r="E107" s="11" t="str">
        <f t="shared" si="1"/>
        <v>#DIV/0!</v>
      </c>
      <c r="F107" s="38" t="str">
        <f>IFERROR(VLOOKUP(A107,'NHẬP ĐƠN'!A:J,10,FALSE),"")</f>
        <v/>
      </c>
      <c r="G107" s="38" t="str">
        <f t="shared" si="2"/>
        <v/>
      </c>
      <c r="K107" s="83"/>
    </row>
    <row r="108">
      <c r="A108" s="38"/>
      <c r="B108" s="38" t="str">
        <f>IF(A108="","",COUNTIFS('NHẬP ĐƠN'!A:A,A108,'NHẬP ĐƠN'!I:I,"&lt;&gt;Đã xoá"))</f>
        <v/>
      </c>
      <c r="C108" s="38" t="str">
        <f>IF(A108="","",SUMPRODUCT(('NHẬP ĐƠN'!A$2:A$1000=A108)*('NHẬP ĐƠN'!I$2:I$1000&lt;&gt;"Đã xoá")*('NHẬP ĐƠN'!F$2:F$1000)))</f>
        <v/>
      </c>
      <c r="D108" s="11" t="str">
        <f>IF(A108="","",SUMPRODUCT(('NHẬP ĐƠN'!A$2:A$1000=A108)*('NHẬP ĐƠN'!I$2:I$1000&lt;&gt;"Đã xoá")*('NHẬP ĐƠN'!G$2:G$1000)*('NHẬP ĐƠN'!F$2:F$1000)))</f>
        <v/>
      </c>
      <c r="E108" s="11" t="str">
        <f t="shared" si="1"/>
        <v>#DIV/0!</v>
      </c>
      <c r="F108" s="38" t="str">
        <f>IFERROR(VLOOKUP(A108,'NHẬP ĐƠN'!A:J,10,FALSE),"")</f>
        <v/>
      </c>
      <c r="G108" s="38" t="str">
        <f t="shared" si="2"/>
        <v/>
      </c>
      <c r="H108" s="2" t="s">
        <v>2554</v>
      </c>
      <c r="I108" s="2" t="s">
        <v>2474</v>
      </c>
      <c r="J108" s="2" t="s">
        <v>2555</v>
      </c>
      <c r="K108" s="82" t="s">
        <v>2556</v>
      </c>
      <c r="L108" s="2">
        <v>8.062340306E9</v>
      </c>
    </row>
    <row r="109">
      <c r="A109" s="38"/>
      <c r="B109" s="38" t="str">
        <f>IF(A109="","",COUNTIFS('NHẬP ĐƠN'!A:A,A109,'NHẬP ĐƠN'!I:I,"&lt;&gt;Đã xoá"))</f>
        <v/>
      </c>
      <c r="C109" s="38" t="str">
        <f>IF(A109="","",SUMPRODUCT(('NHẬP ĐƠN'!A$2:A$1000=A109)*('NHẬP ĐƠN'!I$2:I$1000&lt;&gt;"Đã xoá")*('NHẬP ĐƠN'!F$2:F$1000)))</f>
        <v/>
      </c>
      <c r="D109" s="11" t="str">
        <f>IF(A109="","",SUMPRODUCT(('NHẬP ĐƠN'!A$2:A$1000=A109)*('NHẬP ĐƠN'!I$2:I$1000&lt;&gt;"Đã xoá")*('NHẬP ĐƠN'!G$2:G$1000)*('NHẬP ĐƠN'!F$2:F$1000)))</f>
        <v/>
      </c>
      <c r="E109" s="11" t="str">
        <f t="shared" si="1"/>
        <v>#DIV/0!</v>
      </c>
      <c r="F109" s="38" t="str">
        <f>IFERROR(VLOOKUP(A109,'NHẬP ĐƠN'!A:J,10,FALSE),"")</f>
        <v/>
      </c>
      <c r="G109" s="38" t="str">
        <f t="shared" si="2"/>
        <v/>
      </c>
      <c r="K109" s="83"/>
    </row>
    <row r="110">
      <c r="A110" s="38"/>
      <c r="B110" s="38" t="str">
        <f>IF(A110="","",COUNTIFS('NHẬP ĐƠN'!A:A,A110,'NHẬP ĐƠN'!I:I,"&lt;&gt;Đã xoá"))</f>
        <v/>
      </c>
      <c r="C110" s="38" t="str">
        <f>IF(A110="","",SUMPRODUCT(('NHẬP ĐƠN'!A$2:A$1000=A110)*('NHẬP ĐƠN'!I$2:I$1000&lt;&gt;"Đã xoá")*('NHẬP ĐƠN'!F$2:F$1000)))</f>
        <v/>
      </c>
      <c r="D110" s="11" t="str">
        <f>IF(A110="","",SUMPRODUCT(('NHẬP ĐƠN'!A$2:A$1000=A110)*('NHẬP ĐƠN'!I$2:I$1000&lt;&gt;"Đã xoá")*('NHẬP ĐƠN'!G$2:G$1000)*('NHẬP ĐƠN'!F$2:F$1000)))</f>
        <v/>
      </c>
      <c r="E110" s="11" t="str">
        <f t="shared" si="1"/>
        <v>#DIV/0!</v>
      </c>
      <c r="F110" s="38" t="str">
        <f>IFERROR(VLOOKUP(A110,'NHẬP ĐƠN'!A:J,10,FALSE),"")</f>
        <v/>
      </c>
      <c r="G110" s="38" t="str">
        <f t="shared" si="2"/>
        <v/>
      </c>
      <c r="K110" s="83"/>
    </row>
    <row r="111">
      <c r="A111" s="38"/>
      <c r="B111" s="38" t="str">
        <f>IF(A111="","",COUNTIFS('NHẬP ĐƠN'!A:A,A111,'NHẬP ĐƠN'!I:I,"&lt;&gt;Đã xoá"))</f>
        <v/>
      </c>
      <c r="C111" s="38" t="str">
        <f>IF(A111="","",SUMPRODUCT(('NHẬP ĐƠN'!A$2:A$1000=A111)*('NHẬP ĐƠN'!I$2:I$1000&lt;&gt;"Đã xoá")*('NHẬP ĐƠN'!F$2:F$1000)))</f>
        <v/>
      </c>
      <c r="D111" s="11" t="str">
        <f>IF(A111="","",SUMPRODUCT(('NHẬP ĐƠN'!A$2:A$1000=A111)*('NHẬP ĐƠN'!I$2:I$1000&lt;&gt;"Đã xoá")*('NHẬP ĐƠN'!G$2:G$1000)*('NHẬP ĐƠN'!F$2:F$1000)))</f>
        <v/>
      </c>
      <c r="E111" s="11" t="str">
        <f t="shared" si="1"/>
        <v>#DIV/0!</v>
      </c>
      <c r="F111" s="38" t="str">
        <f>IFERROR(VLOOKUP(A111,'NHẬP ĐƠN'!A:J,10,FALSE),"")</f>
        <v/>
      </c>
      <c r="G111" s="38" t="str">
        <f t="shared" si="2"/>
        <v/>
      </c>
      <c r="K111" s="83"/>
    </row>
    <row r="112">
      <c r="A112" s="38"/>
      <c r="B112" s="38" t="str">
        <f>IF(A112="","",COUNTIFS('NHẬP ĐƠN'!A:A,A112,'NHẬP ĐƠN'!I:I,"&lt;&gt;Đã xoá"))</f>
        <v/>
      </c>
      <c r="C112" s="38" t="str">
        <f>IF(A112="","",SUMPRODUCT(('NHẬP ĐƠN'!A$2:A$1000=A112)*('NHẬP ĐƠN'!I$2:I$1000&lt;&gt;"Đã xoá")*('NHẬP ĐƠN'!F$2:F$1000)))</f>
        <v/>
      </c>
      <c r="D112" s="11" t="str">
        <f>IF(A112="","",SUMPRODUCT(('NHẬP ĐƠN'!A$2:A$1000=A112)*('NHẬP ĐƠN'!I$2:I$1000&lt;&gt;"Đã xoá")*('NHẬP ĐƠN'!G$2:G$1000)*('NHẬP ĐƠN'!F$2:F$1000)))</f>
        <v/>
      </c>
      <c r="E112" s="11" t="str">
        <f t="shared" si="1"/>
        <v>#DIV/0!</v>
      </c>
      <c r="F112" s="38" t="str">
        <f>IFERROR(VLOOKUP(A112,'NHẬP ĐƠN'!A:J,10,FALSE),"")</f>
        <v/>
      </c>
      <c r="G112" s="38" t="str">
        <f t="shared" si="2"/>
        <v/>
      </c>
      <c r="H112" s="2" t="s">
        <v>2557</v>
      </c>
      <c r="I112" s="2" t="s">
        <v>2558</v>
      </c>
      <c r="J112" s="2" t="s">
        <v>2559</v>
      </c>
      <c r="K112" s="82" t="s">
        <v>2560</v>
      </c>
      <c r="L112" s="2">
        <v>9.030991196E9</v>
      </c>
    </row>
    <row r="113">
      <c r="A113" s="38"/>
      <c r="B113" s="38" t="str">
        <f>IF(A113="","",COUNTIFS('NHẬP ĐƠN'!A:A,A113,'NHẬP ĐƠN'!I:I,"&lt;&gt;Đã xoá"))</f>
        <v/>
      </c>
      <c r="C113" s="38" t="str">
        <f>IF(A113="","",SUMPRODUCT(('NHẬP ĐƠN'!A$2:A$1000=A113)*('NHẬP ĐƠN'!I$2:I$1000&lt;&gt;"Đã xoá")*('NHẬP ĐƠN'!F$2:F$1000)))</f>
        <v/>
      </c>
      <c r="D113" s="11" t="str">
        <f>IF(A113="","",SUMPRODUCT(('NHẬP ĐƠN'!A$2:A$1000=A113)*('NHẬP ĐƠN'!I$2:I$1000&lt;&gt;"Đã xoá")*('NHẬP ĐƠN'!G$2:G$1000)*('NHẬP ĐƠN'!F$2:F$1000)))</f>
        <v/>
      </c>
      <c r="E113" s="11" t="str">
        <f t="shared" si="1"/>
        <v>#DIV/0!</v>
      </c>
      <c r="F113" s="38" t="str">
        <f>IFERROR(VLOOKUP(A113,'NHẬP ĐƠN'!A:J,10,FALSE),"")</f>
        <v/>
      </c>
      <c r="G113" s="38" t="str">
        <f t="shared" si="2"/>
        <v/>
      </c>
      <c r="H113" s="2" t="s">
        <v>2557</v>
      </c>
      <c r="I113" s="2" t="s">
        <v>2558</v>
      </c>
      <c r="J113" s="2" t="s">
        <v>2559</v>
      </c>
      <c r="K113" s="82" t="s">
        <v>2561</v>
      </c>
      <c r="L113" s="2">
        <v>9.030991196E9</v>
      </c>
    </row>
    <row r="114">
      <c r="A114" s="38"/>
      <c r="B114" s="38" t="str">
        <f>IF(A114="","",COUNTIFS('NHẬP ĐƠN'!A:A,A114,'NHẬP ĐƠN'!I:I,"&lt;&gt;Đã xoá"))</f>
        <v/>
      </c>
      <c r="C114" s="38" t="str">
        <f>IF(A114="","",SUMPRODUCT(('NHẬP ĐƠN'!A$2:A$1000=A114)*('NHẬP ĐƠN'!I$2:I$1000&lt;&gt;"Đã xoá")*('NHẬP ĐƠN'!F$2:F$1000)))</f>
        <v/>
      </c>
      <c r="D114" s="11" t="str">
        <f>IF(A114="","",SUMPRODUCT(('NHẬP ĐƠN'!A$2:A$1000=A114)*('NHẬP ĐƠN'!I$2:I$1000&lt;&gt;"Đã xoá")*('NHẬP ĐƠN'!G$2:G$1000)*('NHẬP ĐƠN'!F$2:F$1000)))</f>
        <v/>
      </c>
      <c r="E114" s="11" t="str">
        <f t="shared" si="1"/>
        <v>#DIV/0!</v>
      </c>
      <c r="F114" s="38" t="str">
        <f>IFERROR(VLOOKUP(A114,'NHẬP ĐƠN'!A:J,10,FALSE),"")</f>
        <v/>
      </c>
      <c r="G114" s="38" t="str">
        <f t="shared" si="2"/>
        <v/>
      </c>
      <c r="K114" s="83"/>
    </row>
    <row r="115">
      <c r="A115" s="38"/>
      <c r="B115" s="38" t="str">
        <f>IF(A115="","",COUNTIFS('NHẬP ĐƠN'!A:A,A115,'NHẬP ĐƠN'!I:I,"&lt;&gt;Đã xoá"))</f>
        <v/>
      </c>
      <c r="C115" s="38" t="str">
        <f>IF(A115="","",SUMPRODUCT(('NHẬP ĐƠN'!A$2:A$1000=A115)*('NHẬP ĐƠN'!I$2:I$1000&lt;&gt;"Đã xoá")*('NHẬP ĐƠN'!F$2:F$1000)))</f>
        <v/>
      </c>
      <c r="D115" s="11" t="str">
        <f>IF(A115="","",SUMPRODUCT(('NHẬP ĐƠN'!A$2:A$1000=A115)*('NHẬP ĐƠN'!I$2:I$1000&lt;&gt;"Đã xoá")*('NHẬP ĐƠN'!G$2:G$1000)*('NHẬP ĐƠN'!F$2:F$1000)))</f>
        <v/>
      </c>
      <c r="E115" s="11" t="str">
        <f t="shared" si="1"/>
        <v>#DIV/0!</v>
      </c>
      <c r="F115" s="38" t="str">
        <f>IFERROR(VLOOKUP(A115,'NHẬP ĐƠN'!A:J,10,FALSE),"")</f>
        <v/>
      </c>
      <c r="G115" s="38" t="str">
        <f t="shared" si="2"/>
        <v/>
      </c>
      <c r="K115" s="83"/>
    </row>
    <row r="116">
      <c r="A116" s="38"/>
      <c r="B116" s="38" t="str">
        <f>IF(A116="","",COUNTIFS('NHẬP ĐƠN'!A:A,A116,'NHẬP ĐƠN'!I:I,"&lt;&gt;Đã xoá"))</f>
        <v/>
      </c>
      <c r="C116" s="38" t="str">
        <f>IF(A116="","",SUMPRODUCT(('NHẬP ĐƠN'!A$2:A$1000=A116)*('NHẬP ĐƠN'!I$2:I$1000&lt;&gt;"Đã xoá")*('NHẬP ĐƠN'!F$2:F$1000)))</f>
        <v/>
      </c>
      <c r="D116" s="11" t="str">
        <f>IF(A116="","",SUMPRODUCT(('NHẬP ĐƠN'!A$2:A$1000=A116)*('NHẬP ĐƠN'!I$2:I$1000&lt;&gt;"Đã xoá")*('NHẬP ĐƠN'!G$2:G$1000)*('NHẬP ĐƠN'!F$2:F$1000)))</f>
        <v/>
      </c>
      <c r="E116" s="11" t="str">
        <f t="shared" si="1"/>
        <v>#DIV/0!</v>
      </c>
      <c r="F116" s="38" t="str">
        <f>IFERROR(VLOOKUP(A116,'NHẬP ĐƠN'!A:J,10,FALSE),"")</f>
        <v/>
      </c>
      <c r="G116" s="38" t="str">
        <f t="shared" si="2"/>
        <v/>
      </c>
      <c r="H116" s="2" t="s">
        <v>2562</v>
      </c>
      <c r="I116" s="2" t="s">
        <v>2474</v>
      </c>
      <c r="J116" s="2" t="s">
        <v>2563</v>
      </c>
      <c r="K116" s="82" t="s">
        <v>2564</v>
      </c>
      <c r="L116" s="2">
        <v>9.030991196E9</v>
      </c>
    </row>
    <row r="117">
      <c r="A117" s="38"/>
      <c r="B117" s="38" t="str">
        <f>IF(A117="","",COUNTIFS('NHẬP ĐƠN'!A:A,A117,'NHẬP ĐƠN'!I:I,"&lt;&gt;Đã xoá"))</f>
        <v/>
      </c>
      <c r="C117" s="38" t="str">
        <f>IF(A117="","",SUMPRODUCT(('NHẬP ĐƠN'!A$2:A$1000=A117)*('NHẬP ĐƠN'!I$2:I$1000&lt;&gt;"Đã xoá")*('NHẬP ĐƠN'!F$2:F$1000)))</f>
        <v/>
      </c>
      <c r="D117" s="11" t="str">
        <f>IF(A117="","",SUMPRODUCT(('NHẬP ĐƠN'!A$2:A$1000=A117)*('NHẬP ĐƠN'!I$2:I$1000&lt;&gt;"Đã xoá")*('NHẬP ĐƠN'!G$2:G$1000)*('NHẬP ĐƠN'!F$2:F$1000)))</f>
        <v/>
      </c>
      <c r="E117" s="11" t="str">
        <f t="shared" si="1"/>
        <v>#DIV/0!</v>
      </c>
      <c r="F117" s="38" t="str">
        <f>IFERROR(VLOOKUP(A117,'NHẬP ĐƠN'!A:J,10,FALSE),"")</f>
        <v/>
      </c>
      <c r="G117" s="38" t="str">
        <f t="shared" si="2"/>
        <v/>
      </c>
      <c r="H117" s="2" t="s">
        <v>2562</v>
      </c>
      <c r="I117" s="2" t="s">
        <v>2474</v>
      </c>
      <c r="J117" s="2" t="s">
        <v>2563</v>
      </c>
      <c r="K117" s="82" t="s">
        <v>2564</v>
      </c>
      <c r="L117" s="2">
        <v>9.030991196E9</v>
      </c>
    </row>
    <row r="118">
      <c r="A118" s="38"/>
      <c r="B118" s="38" t="str">
        <f>IF(A118="","",COUNTIFS('NHẬP ĐƠN'!A:A,A118,'NHẬP ĐƠN'!I:I,"&lt;&gt;Đã xoá"))</f>
        <v/>
      </c>
      <c r="C118" s="38" t="str">
        <f>IF(A118="","",SUMPRODUCT(('NHẬP ĐƠN'!A$2:A$1000=A118)*('NHẬP ĐƠN'!I$2:I$1000&lt;&gt;"Đã xoá")*('NHẬP ĐƠN'!F$2:F$1000)))</f>
        <v/>
      </c>
      <c r="D118" s="11" t="str">
        <f>IF(A118="","",SUMPRODUCT(('NHẬP ĐƠN'!A$2:A$1000=A118)*('NHẬP ĐƠN'!I$2:I$1000&lt;&gt;"Đã xoá")*('NHẬP ĐƠN'!G$2:G$1000)*('NHẬP ĐƠN'!F$2:F$1000)))</f>
        <v/>
      </c>
      <c r="E118" s="11" t="str">
        <f t="shared" si="1"/>
        <v>#DIV/0!</v>
      </c>
      <c r="F118" s="38" t="str">
        <f>IFERROR(VLOOKUP(A118,'NHẬP ĐƠN'!A:J,10,FALSE),"")</f>
        <v/>
      </c>
      <c r="G118" s="38" t="str">
        <f t="shared" si="2"/>
        <v/>
      </c>
      <c r="K118" s="83"/>
    </row>
    <row r="119">
      <c r="A119" s="38"/>
      <c r="B119" s="38" t="str">
        <f>IF(A119="","",COUNTIFS('NHẬP ĐƠN'!A:A,A119,'NHẬP ĐƠN'!I:I,"&lt;&gt;Đã xoá"))</f>
        <v/>
      </c>
      <c r="C119" s="38" t="str">
        <f>IF(A119="","",SUMPRODUCT(('NHẬP ĐƠN'!A$2:A$1000=A119)*('NHẬP ĐƠN'!I$2:I$1000&lt;&gt;"Đã xoá")*('NHẬP ĐƠN'!F$2:F$1000)))</f>
        <v/>
      </c>
      <c r="D119" s="11" t="str">
        <f>IF(A119="","",SUMPRODUCT(('NHẬP ĐƠN'!A$2:A$1000=A119)*('NHẬP ĐƠN'!I$2:I$1000&lt;&gt;"Đã xoá")*('NHẬP ĐƠN'!G$2:G$1000)*('NHẬP ĐƠN'!F$2:F$1000)))</f>
        <v/>
      </c>
      <c r="E119" s="11" t="str">
        <f t="shared" si="1"/>
        <v>#DIV/0!</v>
      </c>
      <c r="F119" s="38" t="str">
        <f>IFERROR(VLOOKUP(A119,'NHẬP ĐƠN'!A:J,10,FALSE),"")</f>
        <v/>
      </c>
      <c r="G119" s="38" t="str">
        <f t="shared" si="2"/>
        <v/>
      </c>
      <c r="K119" s="83"/>
    </row>
    <row r="120">
      <c r="A120" s="38"/>
      <c r="B120" s="38" t="str">
        <f>IF(A120="","",COUNTIFS('NHẬP ĐƠN'!A:A,A120,'NHẬP ĐƠN'!I:I,"&lt;&gt;Đã xoá"))</f>
        <v/>
      </c>
      <c r="C120" s="38" t="str">
        <f>IF(A120="","",SUMPRODUCT(('NHẬP ĐƠN'!A$2:A$1000=A120)*('NHẬP ĐƠN'!I$2:I$1000&lt;&gt;"Đã xoá")*('NHẬP ĐƠN'!F$2:F$1000)))</f>
        <v/>
      </c>
      <c r="D120" s="11" t="str">
        <f>IF(A120="","",SUMPRODUCT(('NHẬP ĐƠN'!A$2:A$1000=A120)*('NHẬP ĐƠN'!I$2:I$1000&lt;&gt;"Đã xoá")*('NHẬP ĐƠN'!G$2:G$1000)*('NHẬP ĐƠN'!F$2:F$1000)))</f>
        <v/>
      </c>
      <c r="E120" s="11" t="str">
        <f t="shared" si="1"/>
        <v>#DIV/0!</v>
      </c>
      <c r="F120" s="38" t="str">
        <f>IFERROR(VLOOKUP(A120,'NHẬP ĐƠN'!A:J,10,FALSE),"")</f>
        <v/>
      </c>
      <c r="G120" s="38" t="str">
        <f t="shared" si="2"/>
        <v/>
      </c>
      <c r="K120" s="83"/>
    </row>
    <row r="121">
      <c r="A121" s="38"/>
      <c r="B121" s="38" t="str">
        <f>IF(A121="","",COUNTIFS('NHẬP ĐƠN'!A:A,A121,'NHẬP ĐƠN'!I:I,"&lt;&gt;Đã xoá"))</f>
        <v/>
      </c>
      <c r="C121" s="38" t="str">
        <f>IF(A121="","",SUMPRODUCT(('NHẬP ĐƠN'!A$2:A$1000=A121)*('NHẬP ĐƠN'!I$2:I$1000&lt;&gt;"Đã xoá")*('NHẬP ĐƠN'!F$2:F$1000)))</f>
        <v/>
      </c>
      <c r="D121" s="11" t="str">
        <f>IF(A121="","",SUMPRODUCT(('NHẬP ĐƠN'!A$2:A$1000=A121)*('NHẬP ĐƠN'!I$2:I$1000&lt;&gt;"Đã xoá")*('NHẬP ĐƠN'!G$2:G$1000)*('NHẬP ĐƠN'!F$2:F$1000)))</f>
        <v/>
      </c>
      <c r="E121" s="11" t="str">
        <f t="shared" si="1"/>
        <v>#DIV/0!</v>
      </c>
      <c r="F121" s="38" t="str">
        <f>IFERROR(VLOOKUP(A121,'NHẬP ĐƠN'!A:J,10,FALSE),"")</f>
        <v/>
      </c>
      <c r="G121" s="38" t="str">
        <f t="shared" si="2"/>
        <v/>
      </c>
      <c r="K121" s="83"/>
    </row>
    <row r="122">
      <c r="A122" s="38"/>
      <c r="B122" s="38" t="str">
        <f>IF(A122="","",COUNTIFS('NHẬP ĐƠN'!A:A,A122,'NHẬP ĐƠN'!I:I,"&lt;&gt;Đã xoá"))</f>
        <v/>
      </c>
      <c r="C122" s="38" t="str">
        <f>IF(A122="","",SUMPRODUCT(('NHẬP ĐƠN'!A$2:A$1000=A122)*('NHẬP ĐƠN'!I$2:I$1000&lt;&gt;"Đã xoá")*('NHẬP ĐƠN'!F$2:F$1000)))</f>
        <v/>
      </c>
      <c r="D122" s="11" t="str">
        <f>IF(A122="","",SUMPRODUCT(('NHẬP ĐƠN'!A$2:A$1000=A122)*('NHẬP ĐƠN'!I$2:I$1000&lt;&gt;"Đã xoá")*('NHẬP ĐƠN'!G$2:G$1000)*('NHẬP ĐƠN'!F$2:F$1000)))</f>
        <v/>
      </c>
      <c r="E122" s="11" t="str">
        <f t="shared" si="1"/>
        <v>#DIV/0!</v>
      </c>
      <c r="F122" s="38" t="str">
        <f>IFERROR(VLOOKUP(A122,'NHẬP ĐƠN'!A:J,10,FALSE),"")</f>
        <v/>
      </c>
      <c r="G122" s="38" t="str">
        <f t="shared" si="2"/>
        <v/>
      </c>
      <c r="K122" s="83"/>
    </row>
    <row r="123">
      <c r="A123" s="38"/>
      <c r="B123" s="38" t="str">
        <f>IF(A123="","",COUNTIFS('NHẬP ĐƠN'!A:A,A123,'NHẬP ĐƠN'!I:I,"&lt;&gt;Đã xoá"))</f>
        <v/>
      </c>
      <c r="C123" s="38" t="str">
        <f>IF(A123="","",SUMPRODUCT(('NHẬP ĐƠN'!A$2:A$1000=A123)*('NHẬP ĐƠN'!I$2:I$1000&lt;&gt;"Đã xoá")*('NHẬP ĐƠN'!F$2:F$1000)))</f>
        <v/>
      </c>
      <c r="D123" s="11" t="str">
        <f>IF(A123="","",SUMPRODUCT(('NHẬP ĐƠN'!A$2:A$1000=A123)*('NHẬP ĐƠN'!I$2:I$1000&lt;&gt;"Đã xoá")*('NHẬP ĐƠN'!G$2:G$1000)*('NHẬP ĐƠN'!F$2:F$1000)))</f>
        <v/>
      </c>
      <c r="E123" s="11" t="str">
        <f t="shared" si="1"/>
        <v>#DIV/0!</v>
      </c>
      <c r="F123" s="38" t="str">
        <f>IFERROR(VLOOKUP(A123,'NHẬP ĐƠN'!A:J,10,FALSE),"")</f>
        <v/>
      </c>
      <c r="G123" s="38" t="str">
        <f t="shared" si="2"/>
        <v/>
      </c>
      <c r="K123" s="83"/>
    </row>
    <row r="124">
      <c r="A124" s="38"/>
      <c r="B124" s="38" t="str">
        <f>IF(A124="","",COUNTIFS('NHẬP ĐƠN'!A:A,A124,'NHẬP ĐƠN'!I:I,"&lt;&gt;Đã xoá"))</f>
        <v/>
      </c>
      <c r="C124" s="38" t="str">
        <f>IF(A124="","",SUMPRODUCT(('NHẬP ĐƠN'!A$2:A$1000=A124)*('NHẬP ĐƠN'!I$2:I$1000&lt;&gt;"Đã xoá")*('NHẬP ĐƠN'!F$2:F$1000)))</f>
        <v/>
      </c>
      <c r="D124" s="11" t="str">
        <f>IF(A124="","",SUMPRODUCT(('NHẬP ĐƠN'!A$2:A$1000=A124)*('NHẬP ĐƠN'!I$2:I$1000&lt;&gt;"Đã xoá")*('NHẬP ĐƠN'!G$2:G$1000)*('NHẬP ĐƠN'!F$2:F$1000)))</f>
        <v/>
      </c>
      <c r="E124" s="11" t="str">
        <f t="shared" si="1"/>
        <v>#DIV/0!</v>
      </c>
      <c r="F124" s="38" t="str">
        <f>IFERROR(VLOOKUP(A124,'NHẬP ĐƠN'!A:J,10,FALSE),"")</f>
        <v/>
      </c>
      <c r="G124" s="38" t="str">
        <f t="shared" si="2"/>
        <v/>
      </c>
      <c r="K124" s="83"/>
    </row>
    <row r="125">
      <c r="A125" s="38"/>
      <c r="B125" s="38" t="str">
        <f>IF(A125="","",COUNTIFS('NHẬP ĐƠN'!A:A,A125,'NHẬP ĐƠN'!I:I,"&lt;&gt;Đã xoá"))</f>
        <v/>
      </c>
      <c r="C125" s="38" t="str">
        <f>IF(A125="","",SUMPRODUCT(('NHẬP ĐƠN'!A$2:A$1000=A125)*('NHẬP ĐƠN'!I$2:I$1000&lt;&gt;"Đã xoá")*('NHẬP ĐƠN'!F$2:F$1000)))</f>
        <v/>
      </c>
      <c r="D125" s="11" t="str">
        <f>IF(A125="","",SUMPRODUCT(('NHẬP ĐƠN'!A$2:A$1000=A125)*('NHẬP ĐƠN'!I$2:I$1000&lt;&gt;"Đã xoá")*('NHẬP ĐƠN'!G$2:G$1000)*('NHẬP ĐƠN'!F$2:F$1000)))</f>
        <v/>
      </c>
      <c r="E125" s="11" t="str">
        <f t="shared" si="1"/>
        <v>#DIV/0!</v>
      </c>
      <c r="F125" s="38" t="str">
        <f>IFERROR(VLOOKUP(A125,'NHẬP ĐƠN'!A:J,10,FALSE),"")</f>
        <v/>
      </c>
      <c r="G125" s="38" t="str">
        <f t="shared" si="2"/>
        <v/>
      </c>
      <c r="K125" s="83"/>
    </row>
    <row r="126">
      <c r="A126" s="38"/>
      <c r="B126" s="38" t="str">
        <f>IF(A126="","",COUNTIFS('NHẬP ĐƠN'!A:A,A126,'NHẬP ĐƠN'!I:I,"&lt;&gt;Đã xoá"))</f>
        <v/>
      </c>
      <c r="C126" s="38" t="str">
        <f>IF(A126="","",SUMPRODUCT(('NHẬP ĐƠN'!A$2:A$1000=A126)*('NHẬP ĐƠN'!I$2:I$1000&lt;&gt;"Đã xoá")*('NHẬP ĐƠN'!F$2:F$1000)))</f>
        <v/>
      </c>
      <c r="D126" s="11" t="str">
        <f>IF(A126="","",SUMPRODUCT(('NHẬP ĐƠN'!A$2:A$1000=A126)*('NHẬP ĐƠN'!I$2:I$1000&lt;&gt;"Đã xoá")*('NHẬP ĐƠN'!G$2:G$1000)*('NHẬP ĐƠN'!F$2:F$1000)))</f>
        <v/>
      </c>
      <c r="E126" s="11" t="str">
        <f t="shared" si="1"/>
        <v>#DIV/0!</v>
      </c>
      <c r="F126" s="38" t="str">
        <f>IFERROR(VLOOKUP(A126,'NHẬP ĐƠN'!A:J,10,FALSE),"")</f>
        <v/>
      </c>
      <c r="G126" s="38" t="str">
        <f t="shared" si="2"/>
        <v/>
      </c>
      <c r="H126" s="2" t="s">
        <v>2565</v>
      </c>
      <c r="I126" s="2" t="s">
        <v>2558</v>
      </c>
      <c r="J126" s="2" t="s">
        <v>2566</v>
      </c>
      <c r="K126" s="82" t="s">
        <v>2567</v>
      </c>
    </row>
    <row r="127">
      <c r="A127" s="38"/>
      <c r="B127" s="38" t="str">
        <f>IF(A127="","",COUNTIFS('NHẬP ĐƠN'!A:A,A127,'NHẬP ĐƠN'!I:I,"&lt;&gt;Đã xoá"))</f>
        <v/>
      </c>
      <c r="C127" s="38" t="str">
        <f>IF(A127="","",SUMPRODUCT(('NHẬP ĐƠN'!A$2:A$1000=A127)*('NHẬP ĐƠN'!I$2:I$1000&lt;&gt;"Đã xoá")*('NHẬP ĐƠN'!F$2:F$1000)))</f>
        <v/>
      </c>
      <c r="D127" s="11" t="str">
        <f>IF(A127="","",SUMPRODUCT(('NHẬP ĐƠN'!A$2:A$1000=A127)*('NHẬP ĐƠN'!I$2:I$1000&lt;&gt;"Đã xoá")*('NHẬP ĐƠN'!G$2:G$1000)*('NHẬP ĐƠN'!F$2:F$1000)))</f>
        <v/>
      </c>
      <c r="E127" s="11" t="str">
        <f t="shared" si="1"/>
        <v>#DIV/0!</v>
      </c>
      <c r="F127" s="38" t="str">
        <f>IFERROR(VLOOKUP(A127,'NHẬP ĐƠN'!A:J,10,FALSE),"")</f>
        <v/>
      </c>
      <c r="G127" s="38" t="str">
        <f t="shared" si="2"/>
        <v/>
      </c>
      <c r="K127" s="83"/>
    </row>
    <row r="128">
      <c r="A128" s="38"/>
      <c r="B128" s="38" t="str">
        <f>IF(A128="","",COUNTIFS('NHẬP ĐƠN'!A:A,A128,'NHẬP ĐƠN'!I:I,"&lt;&gt;Đã xoá"))</f>
        <v/>
      </c>
      <c r="C128" s="38" t="str">
        <f>IF(A128="","",SUMPRODUCT(('NHẬP ĐƠN'!A$2:A$1000=A128)*('NHẬP ĐƠN'!I$2:I$1000&lt;&gt;"Đã xoá")*('NHẬP ĐƠN'!F$2:F$1000)))</f>
        <v/>
      </c>
      <c r="D128" s="11" t="str">
        <f>IF(A128="","",SUMPRODUCT(('NHẬP ĐƠN'!A$2:A$1000=A128)*('NHẬP ĐƠN'!I$2:I$1000&lt;&gt;"Đã xoá")*('NHẬP ĐƠN'!G$2:G$1000)*('NHẬP ĐƠN'!F$2:F$1000)))</f>
        <v/>
      </c>
      <c r="E128" s="11" t="str">
        <f t="shared" si="1"/>
        <v>#DIV/0!</v>
      </c>
      <c r="F128" s="38" t="str">
        <f>IFERROR(VLOOKUP(A128,'NHẬP ĐƠN'!A:J,10,FALSE),"")</f>
        <v/>
      </c>
      <c r="G128" s="38" t="str">
        <f t="shared" si="2"/>
        <v/>
      </c>
      <c r="K128" s="83"/>
    </row>
    <row r="129">
      <c r="A129" s="38"/>
      <c r="B129" s="38" t="str">
        <f>IF(A129="","",COUNTIFS('NHẬP ĐƠN'!A:A,A129,'NHẬP ĐƠN'!I:I,"&lt;&gt;Đã xoá"))</f>
        <v/>
      </c>
      <c r="C129" s="38" t="str">
        <f>IF(A129="","",SUMPRODUCT(('NHẬP ĐƠN'!A$2:A$1000=A129)*('NHẬP ĐƠN'!I$2:I$1000&lt;&gt;"Đã xoá")*('NHẬP ĐƠN'!F$2:F$1000)))</f>
        <v/>
      </c>
      <c r="D129" s="11" t="str">
        <f>IF(A129="","",SUMPRODUCT(('NHẬP ĐƠN'!A$2:A$1000=A129)*('NHẬP ĐƠN'!I$2:I$1000&lt;&gt;"Đã xoá")*('NHẬP ĐƠN'!G$2:G$1000)*('NHẬP ĐƠN'!F$2:F$1000)))</f>
        <v/>
      </c>
      <c r="E129" s="11" t="str">
        <f t="shared" si="1"/>
        <v>#DIV/0!</v>
      </c>
      <c r="F129" s="38" t="str">
        <f>IFERROR(VLOOKUP(A129,'NHẬP ĐƠN'!A:J,10,FALSE),"")</f>
        <v/>
      </c>
      <c r="G129" s="38" t="str">
        <f t="shared" si="2"/>
        <v/>
      </c>
      <c r="K129" s="83"/>
    </row>
    <row r="130">
      <c r="A130" s="38"/>
      <c r="B130" s="38" t="str">
        <f>IF(A130="","",COUNTIFS('NHẬP ĐƠN'!A:A,A130,'NHẬP ĐƠN'!I:I,"&lt;&gt;Đã xoá"))</f>
        <v/>
      </c>
      <c r="C130" s="38" t="str">
        <f>IF(A130="","",SUMPRODUCT(('NHẬP ĐƠN'!A$2:A$1000=A130)*('NHẬP ĐƠN'!I$2:I$1000&lt;&gt;"Đã xoá")*('NHẬP ĐƠN'!F$2:F$1000)))</f>
        <v/>
      </c>
      <c r="D130" s="11" t="str">
        <f>IF(A130="","",SUMPRODUCT(('NHẬP ĐƠN'!A$2:A$1000=A130)*('NHẬP ĐƠN'!I$2:I$1000&lt;&gt;"Đã xoá")*('NHẬP ĐƠN'!G$2:G$1000)*('NHẬP ĐƠN'!F$2:F$1000)))</f>
        <v/>
      </c>
      <c r="E130" s="11" t="str">
        <f t="shared" si="1"/>
        <v>#DIV/0!</v>
      </c>
      <c r="F130" s="38" t="str">
        <f>IFERROR(VLOOKUP(A130,'NHẬP ĐƠN'!A:J,10,FALSE),"")</f>
        <v/>
      </c>
      <c r="G130" s="38" t="str">
        <f t="shared" si="2"/>
        <v/>
      </c>
      <c r="K130" s="83"/>
    </row>
    <row r="131">
      <c r="A131" s="38"/>
      <c r="B131" s="38" t="str">
        <f>IF(A131="","",COUNTIFS('NHẬP ĐƠN'!A:A,A131,'NHẬP ĐƠN'!I:I,"&lt;&gt;Đã xoá"))</f>
        <v/>
      </c>
      <c r="C131" s="38" t="str">
        <f>IF(A131="","",SUMPRODUCT(('NHẬP ĐƠN'!A$2:A$1000=A131)*('NHẬP ĐƠN'!I$2:I$1000&lt;&gt;"Đã xoá")*('NHẬP ĐƠN'!F$2:F$1000)))</f>
        <v/>
      </c>
      <c r="D131" s="11" t="str">
        <f>IF(A131="","",SUMPRODUCT(('NHẬP ĐƠN'!A$2:A$1000=A131)*('NHẬP ĐƠN'!I$2:I$1000&lt;&gt;"Đã xoá")*('NHẬP ĐƠN'!G$2:G$1000)*('NHẬP ĐƠN'!F$2:F$1000)))</f>
        <v/>
      </c>
      <c r="E131" s="11" t="str">
        <f t="shared" si="1"/>
        <v>#DIV/0!</v>
      </c>
      <c r="F131" s="38" t="str">
        <f>IFERROR(VLOOKUP(A131,'NHẬP ĐƠN'!A:J,10,FALSE),"")</f>
        <v/>
      </c>
      <c r="G131" s="38" t="str">
        <f t="shared" si="2"/>
        <v/>
      </c>
      <c r="K131" s="83"/>
    </row>
    <row r="132">
      <c r="A132" s="38"/>
      <c r="B132" s="38" t="str">
        <f>IF(A132="","",COUNTIFS('NHẬP ĐƠN'!A:A,A132,'NHẬP ĐƠN'!I:I,"&lt;&gt;Đã xoá"))</f>
        <v/>
      </c>
      <c r="C132" s="38" t="str">
        <f>IF(A132="","",SUMPRODUCT(('NHẬP ĐƠN'!A$2:A$1000=A132)*('NHẬP ĐƠN'!I$2:I$1000&lt;&gt;"Đã xoá")*('NHẬP ĐƠN'!F$2:F$1000)))</f>
        <v/>
      </c>
      <c r="D132" s="11" t="str">
        <f>IF(A132="","",SUMPRODUCT(('NHẬP ĐƠN'!A$2:A$1000=A132)*('NHẬP ĐƠN'!I$2:I$1000&lt;&gt;"Đã xoá")*('NHẬP ĐƠN'!G$2:G$1000)*('NHẬP ĐƠN'!F$2:F$1000)))</f>
        <v/>
      </c>
      <c r="E132" s="11" t="str">
        <f t="shared" si="1"/>
        <v>#DIV/0!</v>
      </c>
      <c r="F132" s="38" t="str">
        <f>IFERROR(VLOOKUP(A132,'NHẬP ĐƠN'!A:J,10,FALSE),"")</f>
        <v/>
      </c>
      <c r="G132" s="38" t="str">
        <f t="shared" si="2"/>
        <v/>
      </c>
      <c r="K132" s="83"/>
    </row>
    <row r="133">
      <c r="A133" s="38"/>
      <c r="B133" s="38" t="str">
        <f>IF(A133="","",COUNTIFS('NHẬP ĐƠN'!A:A,A133,'NHẬP ĐƠN'!I:I,"&lt;&gt;Đã xoá"))</f>
        <v/>
      </c>
      <c r="C133" s="38" t="str">
        <f>IF(A133="","",SUMPRODUCT(('NHẬP ĐƠN'!A$2:A$1000=A133)*('NHẬP ĐƠN'!I$2:I$1000&lt;&gt;"Đã xoá")*('NHẬP ĐƠN'!F$2:F$1000)))</f>
        <v/>
      </c>
      <c r="D133" s="11" t="str">
        <f>IF(A133="","",SUMPRODUCT(('NHẬP ĐƠN'!A$2:A$1000=A133)*('NHẬP ĐƠN'!I$2:I$1000&lt;&gt;"Đã xoá")*('NHẬP ĐƠN'!G$2:G$1000)*('NHẬP ĐƠN'!F$2:F$1000)))</f>
        <v/>
      </c>
      <c r="E133" s="11" t="str">
        <f t="shared" si="1"/>
        <v>#DIV/0!</v>
      </c>
      <c r="F133" s="38" t="str">
        <f>IFERROR(VLOOKUP(A133,'NHẬP ĐƠN'!A:J,10,FALSE),"")</f>
        <v/>
      </c>
      <c r="G133" s="38" t="str">
        <f t="shared" si="2"/>
        <v/>
      </c>
      <c r="K133" s="83"/>
    </row>
    <row r="134">
      <c r="A134" s="38"/>
      <c r="B134" s="38" t="str">
        <f>IF(A134="","",COUNTIFS('NHẬP ĐƠN'!A:A,A134,'NHẬP ĐƠN'!I:I,"&lt;&gt;Đã xoá"))</f>
        <v/>
      </c>
      <c r="C134" s="38" t="str">
        <f>IF(A134="","",SUMPRODUCT(('NHẬP ĐƠN'!A$2:A$1000=A134)*('NHẬP ĐƠN'!I$2:I$1000&lt;&gt;"Đã xoá")*('NHẬP ĐƠN'!F$2:F$1000)))</f>
        <v/>
      </c>
      <c r="D134" s="11" t="str">
        <f>IF(A134="","",SUMPRODUCT(('NHẬP ĐƠN'!A$2:A$1000=A134)*('NHẬP ĐƠN'!I$2:I$1000&lt;&gt;"Đã xoá")*('NHẬP ĐƠN'!G$2:G$1000)*('NHẬP ĐƠN'!F$2:F$1000)))</f>
        <v/>
      </c>
      <c r="E134" s="11" t="str">
        <f t="shared" si="1"/>
        <v>#DIV/0!</v>
      </c>
      <c r="F134" s="38" t="str">
        <f>IFERROR(VLOOKUP(A134,'NHẬP ĐƠN'!A:J,10,FALSE),"")</f>
        <v/>
      </c>
      <c r="G134" s="38" t="str">
        <f t="shared" si="2"/>
        <v/>
      </c>
      <c r="K134" s="83"/>
    </row>
    <row r="135">
      <c r="A135" s="38"/>
      <c r="B135" s="38" t="str">
        <f>IF(A135="","",COUNTIFS('NHẬP ĐƠN'!A:A,A135,'NHẬP ĐƠN'!I:I,"&lt;&gt;Đã xoá"))</f>
        <v/>
      </c>
      <c r="C135" s="38" t="str">
        <f>IF(A135="","",SUMPRODUCT(('NHẬP ĐƠN'!A$2:A$1000=A135)*('NHẬP ĐƠN'!I$2:I$1000&lt;&gt;"Đã xoá")*('NHẬP ĐƠN'!F$2:F$1000)))</f>
        <v/>
      </c>
      <c r="D135" s="11" t="str">
        <f>IF(A135="","",SUMPRODUCT(('NHẬP ĐƠN'!A$2:A$1000=A135)*('NHẬP ĐƠN'!I$2:I$1000&lt;&gt;"Đã xoá")*('NHẬP ĐƠN'!G$2:G$1000)*('NHẬP ĐƠN'!F$2:F$1000)))</f>
        <v/>
      </c>
      <c r="E135" s="11" t="str">
        <f t="shared" si="1"/>
        <v>#DIV/0!</v>
      </c>
      <c r="F135" s="38" t="str">
        <f>IFERROR(VLOOKUP(A135,'NHẬP ĐƠN'!A:J,10,FALSE),"")</f>
        <v/>
      </c>
      <c r="G135" s="38" t="str">
        <f t="shared" si="2"/>
        <v/>
      </c>
      <c r="H135" s="2" t="s">
        <v>2568</v>
      </c>
      <c r="I135" s="2" t="s">
        <v>2474</v>
      </c>
      <c r="J135" s="2" t="s">
        <v>2569</v>
      </c>
      <c r="K135" s="82" t="s">
        <v>2570</v>
      </c>
      <c r="L135" s="2">
        <v>8.080359847E9</v>
      </c>
    </row>
    <row r="136">
      <c r="A136" s="38"/>
      <c r="B136" s="38" t="str">
        <f>IF(A136="","",COUNTIFS('NHẬP ĐƠN'!A:A,A136,'NHẬP ĐƠN'!I:I,"&lt;&gt;Đã xoá"))</f>
        <v/>
      </c>
      <c r="C136" s="38" t="str">
        <f>IF(A136="","",SUMPRODUCT(('NHẬP ĐƠN'!A$2:A$1000=A136)*('NHẬP ĐƠN'!I$2:I$1000&lt;&gt;"Đã xoá")*('NHẬP ĐƠN'!F$2:F$1000)))</f>
        <v/>
      </c>
      <c r="D136" s="11" t="str">
        <f>IF(A136="","",SUMPRODUCT(('NHẬP ĐƠN'!A$2:A$1000=A136)*('NHẬP ĐƠN'!I$2:I$1000&lt;&gt;"Đã xoá")*('NHẬP ĐƠN'!G$2:G$1000)*('NHẬP ĐƠN'!F$2:F$1000)))</f>
        <v/>
      </c>
      <c r="E136" s="11" t="str">
        <f t="shared" si="1"/>
        <v>#DIV/0!</v>
      </c>
      <c r="F136" s="38" t="str">
        <f>IFERROR(VLOOKUP(A136,'NHẬP ĐƠN'!A:J,10,FALSE),"")</f>
        <v/>
      </c>
      <c r="G136" s="38" t="str">
        <f t="shared" si="2"/>
        <v/>
      </c>
      <c r="K136" s="83"/>
    </row>
    <row r="137">
      <c r="A137" s="38"/>
      <c r="B137" s="38" t="str">
        <f>IF(A137="","",COUNTIFS('NHẬP ĐƠN'!A:A,A137,'NHẬP ĐƠN'!I:I,"&lt;&gt;Đã xoá"))</f>
        <v/>
      </c>
      <c r="C137" s="38" t="str">
        <f>IF(A137="","",SUMPRODUCT(('NHẬP ĐƠN'!A$2:A$1000=A137)*('NHẬP ĐƠN'!I$2:I$1000&lt;&gt;"Đã xoá")*('NHẬP ĐƠN'!F$2:F$1000)))</f>
        <v/>
      </c>
      <c r="D137" s="11" t="str">
        <f>IF(A137="","",SUMPRODUCT(('NHẬP ĐƠN'!A$2:A$1000=A137)*('NHẬP ĐƠN'!I$2:I$1000&lt;&gt;"Đã xoá")*('NHẬP ĐƠN'!G$2:G$1000)*('NHẬP ĐƠN'!F$2:F$1000)))</f>
        <v/>
      </c>
      <c r="E137" s="11" t="str">
        <f t="shared" si="1"/>
        <v>#DIV/0!</v>
      </c>
      <c r="F137" s="38" t="str">
        <f>IFERROR(VLOOKUP(A137,'NHẬP ĐƠN'!A:J,10,FALSE),"")</f>
        <v/>
      </c>
      <c r="G137" s="38" t="str">
        <f t="shared" si="2"/>
        <v/>
      </c>
      <c r="K137" s="83"/>
    </row>
    <row r="138">
      <c r="A138" s="38"/>
      <c r="B138" s="38" t="str">
        <f>IF(A138="","",COUNTIFS('NHẬP ĐƠN'!A:A,A138,'NHẬP ĐƠN'!I:I,"&lt;&gt;Đã xoá"))</f>
        <v/>
      </c>
      <c r="C138" s="38" t="str">
        <f>IF(A138="","",SUMPRODUCT(('NHẬP ĐƠN'!A$2:A$1000=A138)*('NHẬP ĐƠN'!I$2:I$1000&lt;&gt;"Đã xoá")*('NHẬP ĐƠN'!F$2:F$1000)))</f>
        <v/>
      </c>
      <c r="D138" s="11" t="str">
        <f>IF(A138="","",SUMPRODUCT(('NHẬP ĐƠN'!A$2:A$1000=A138)*('NHẬP ĐƠN'!I$2:I$1000&lt;&gt;"Đã xoá")*('NHẬP ĐƠN'!G$2:G$1000)*('NHẬP ĐƠN'!F$2:F$1000)))</f>
        <v/>
      </c>
      <c r="E138" s="11" t="str">
        <f t="shared" si="1"/>
        <v>#DIV/0!</v>
      </c>
      <c r="F138" s="38" t="str">
        <f>IFERROR(VLOOKUP(A138,'NHẬP ĐƠN'!A:J,10,FALSE),"")</f>
        <v/>
      </c>
      <c r="G138" s="38" t="str">
        <f t="shared" si="2"/>
        <v/>
      </c>
      <c r="K138" s="83"/>
    </row>
    <row r="139">
      <c r="A139" s="38"/>
      <c r="B139" s="38" t="str">
        <f>IF(A139="","",COUNTIFS('NHẬP ĐƠN'!A:A,A139,'NHẬP ĐƠN'!I:I,"&lt;&gt;Đã xoá"))</f>
        <v/>
      </c>
      <c r="C139" s="38" t="str">
        <f>IF(A139="","",SUMPRODUCT(('NHẬP ĐƠN'!A$2:A$1000=A139)*('NHẬP ĐƠN'!I$2:I$1000&lt;&gt;"Đã xoá")*('NHẬP ĐƠN'!F$2:F$1000)))</f>
        <v/>
      </c>
      <c r="D139" s="11" t="str">
        <f>IF(A139="","",SUMPRODUCT(('NHẬP ĐƠN'!A$2:A$1000=A139)*('NHẬP ĐƠN'!I$2:I$1000&lt;&gt;"Đã xoá")*('NHẬP ĐƠN'!G$2:G$1000)*('NHẬP ĐƠN'!F$2:F$1000)))</f>
        <v/>
      </c>
      <c r="E139" s="11" t="str">
        <f t="shared" si="1"/>
        <v>#DIV/0!</v>
      </c>
      <c r="F139" s="38" t="str">
        <f>IFERROR(VLOOKUP(A139,'NHẬP ĐƠN'!A:J,10,FALSE),"")</f>
        <v/>
      </c>
      <c r="G139" s="38" t="str">
        <f t="shared" si="2"/>
        <v/>
      </c>
      <c r="K139" s="83"/>
    </row>
    <row r="140">
      <c r="A140" s="38"/>
      <c r="B140" s="38" t="str">
        <f>IF(A140="","",COUNTIFS('NHẬP ĐƠN'!A:A,A140,'NHẬP ĐƠN'!I:I,"&lt;&gt;Đã xoá"))</f>
        <v/>
      </c>
      <c r="C140" s="38" t="str">
        <f>IF(A140="","",SUMPRODUCT(('NHẬP ĐƠN'!A$2:A$1000=A140)*('NHẬP ĐƠN'!I$2:I$1000&lt;&gt;"Đã xoá")*('NHẬP ĐƠN'!F$2:F$1000)))</f>
        <v/>
      </c>
      <c r="D140" s="11" t="str">
        <f>IF(A140="","",SUMPRODUCT(('NHẬP ĐƠN'!A$2:A$1000=A140)*('NHẬP ĐƠN'!I$2:I$1000&lt;&gt;"Đã xoá")*('NHẬP ĐƠN'!G$2:G$1000)*('NHẬP ĐƠN'!F$2:F$1000)))</f>
        <v/>
      </c>
      <c r="E140" s="11" t="str">
        <f t="shared" si="1"/>
        <v>#DIV/0!</v>
      </c>
      <c r="F140" s="38" t="str">
        <f>IFERROR(VLOOKUP(A140,'NHẬP ĐƠN'!A:J,10,FALSE),"")</f>
        <v/>
      </c>
      <c r="G140" s="38" t="str">
        <f t="shared" si="2"/>
        <v/>
      </c>
      <c r="K140" s="83"/>
    </row>
    <row r="141">
      <c r="A141" s="38"/>
      <c r="B141" s="38" t="str">
        <f>IF(A141="","",COUNTIFS('NHẬP ĐƠN'!A:A,A141,'NHẬP ĐƠN'!I:I,"&lt;&gt;Đã xoá"))</f>
        <v/>
      </c>
      <c r="C141" s="38" t="str">
        <f>IF(A141="","",SUMPRODUCT(('NHẬP ĐƠN'!A$2:A$1000=A141)*('NHẬP ĐƠN'!I$2:I$1000&lt;&gt;"Đã xoá")*('NHẬP ĐƠN'!F$2:F$1000)))</f>
        <v/>
      </c>
      <c r="D141" s="11" t="str">
        <f>IF(A141="","",SUMPRODUCT(('NHẬP ĐƠN'!A$2:A$1000=A141)*('NHẬP ĐƠN'!I$2:I$1000&lt;&gt;"Đã xoá")*('NHẬP ĐƠN'!G$2:G$1000)*('NHẬP ĐƠN'!F$2:F$1000)))</f>
        <v/>
      </c>
      <c r="E141" s="11" t="str">
        <f t="shared" si="1"/>
        <v>#DIV/0!</v>
      </c>
      <c r="F141" s="38" t="str">
        <f>IFERROR(VLOOKUP(A141,'NHẬP ĐƠN'!A:J,10,FALSE),"")</f>
        <v/>
      </c>
      <c r="G141" s="38" t="str">
        <f t="shared" si="2"/>
        <v/>
      </c>
      <c r="K141" s="83"/>
    </row>
    <row r="142">
      <c r="A142" s="38"/>
      <c r="B142" s="38" t="str">
        <f>IF(A142="","",COUNTIFS('NHẬP ĐƠN'!A:A,A142,'NHẬP ĐƠN'!I:I,"&lt;&gt;Đã xoá"))</f>
        <v/>
      </c>
      <c r="C142" s="38" t="str">
        <f>IF(A142="","",SUMPRODUCT(('NHẬP ĐƠN'!A$2:A$1000=A142)*('NHẬP ĐƠN'!I$2:I$1000&lt;&gt;"Đã xoá")*('NHẬP ĐƠN'!F$2:F$1000)))</f>
        <v/>
      </c>
      <c r="D142" s="11" t="str">
        <f>IF(A142="","",SUMPRODUCT(('NHẬP ĐƠN'!A$2:A$1000=A142)*('NHẬP ĐƠN'!I$2:I$1000&lt;&gt;"Đã xoá")*('NHẬP ĐƠN'!G$2:G$1000)*('NHẬP ĐƠN'!F$2:F$1000)))</f>
        <v/>
      </c>
      <c r="E142" s="11" t="str">
        <f t="shared" si="1"/>
        <v>#DIV/0!</v>
      </c>
      <c r="F142" s="38" t="str">
        <f>IFERROR(VLOOKUP(A142,'NHẬP ĐƠN'!A:J,10,FALSE),"")</f>
        <v/>
      </c>
      <c r="G142" s="38" t="str">
        <f t="shared" si="2"/>
        <v/>
      </c>
      <c r="K142" s="83"/>
    </row>
    <row r="143">
      <c r="A143" s="38"/>
      <c r="B143" s="38" t="str">
        <f>IF(A143="","",COUNTIFS('NHẬP ĐƠN'!A:A,A143,'NHẬP ĐƠN'!I:I,"&lt;&gt;Đã xoá"))</f>
        <v/>
      </c>
      <c r="C143" s="38" t="str">
        <f>IF(A143="","",SUMPRODUCT(('NHẬP ĐƠN'!A$2:A$1000=A143)*('NHẬP ĐƠN'!I$2:I$1000&lt;&gt;"Đã xoá")*('NHẬP ĐƠN'!F$2:F$1000)))</f>
        <v/>
      </c>
      <c r="D143" s="11" t="str">
        <f>IF(A143="","",SUMPRODUCT(('NHẬP ĐƠN'!A$2:A$1000=A143)*('NHẬP ĐƠN'!I$2:I$1000&lt;&gt;"Đã xoá")*('NHẬP ĐƠN'!G$2:G$1000)*('NHẬP ĐƠN'!F$2:F$1000)))</f>
        <v/>
      </c>
      <c r="E143" s="11" t="str">
        <f t="shared" si="1"/>
        <v>#DIV/0!</v>
      </c>
      <c r="F143" s="38" t="str">
        <f>IFERROR(VLOOKUP(A143,'NHẬP ĐƠN'!A:J,10,FALSE),"")</f>
        <v/>
      </c>
      <c r="G143" s="38" t="str">
        <f t="shared" si="2"/>
        <v/>
      </c>
      <c r="K143" s="83"/>
    </row>
    <row r="144">
      <c r="A144" s="38"/>
      <c r="B144" s="38" t="str">
        <f>IF(A144="","",COUNTIFS('NHẬP ĐƠN'!A:A,A144,'NHẬP ĐƠN'!I:I,"&lt;&gt;Đã xoá"))</f>
        <v/>
      </c>
      <c r="C144" s="38" t="str">
        <f>IF(A144="","",SUMPRODUCT(('NHẬP ĐƠN'!A$2:A$1000=A144)*('NHẬP ĐƠN'!I$2:I$1000&lt;&gt;"Đã xoá")*('NHẬP ĐƠN'!F$2:F$1000)))</f>
        <v/>
      </c>
      <c r="D144" s="11" t="str">
        <f>IF(A144="","",SUMPRODUCT(('NHẬP ĐƠN'!A$2:A$1000=A144)*('NHẬP ĐƠN'!I$2:I$1000&lt;&gt;"Đã xoá")*('NHẬP ĐƠN'!G$2:G$1000)*('NHẬP ĐƠN'!F$2:F$1000)))</f>
        <v/>
      </c>
      <c r="E144" s="11" t="str">
        <f t="shared" si="1"/>
        <v>#DIV/0!</v>
      </c>
      <c r="F144" s="38" t="str">
        <f>IFERROR(VLOOKUP(A144,'NHẬP ĐƠN'!A:J,10,FALSE),"")</f>
        <v/>
      </c>
      <c r="G144" s="38" t="str">
        <f t="shared" si="2"/>
        <v/>
      </c>
      <c r="K144" s="83"/>
    </row>
    <row r="145">
      <c r="A145" s="38"/>
      <c r="B145" s="38" t="str">
        <f>IF(A145="","",COUNTIFS('NHẬP ĐƠN'!A:A,A145,'NHẬP ĐƠN'!I:I,"&lt;&gt;Đã xoá"))</f>
        <v/>
      </c>
      <c r="C145" s="38" t="str">
        <f>IF(A145="","",SUMPRODUCT(('NHẬP ĐƠN'!A$2:A$1000=A145)*('NHẬP ĐƠN'!I$2:I$1000&lt;&gt;"Đã xoá")*('NHẬP ĐƠN'!F$2:F$1000)))</f>
        <v/>
      </c>
      <c r="D145" s="11" t="str">
        <f>IF(A145="","",SUMPRODUCT(('NHẬP ĐƠN'!A$2:A$1000=A145)*('NHẬP ĐƠN'!I$2:I$1000&lt;&gt;"Đã xoá")*('NHẬP ĐƠN'!G$2:G$1000)*('NHẬP ĐƠN'!F$2:F$1000)))</f>
        <v/>
      </c>
      <c r="E145" s="11" t="str">
        <f t="shared" si="1"/>
        <v>#DIV/0!</v>
      </c>
      <c r="F145" s="38" t="str">
        <f>IFERROR(VLOOKUP(A145,'NHẬP ĐƠN'!A:J,10,FALSE),"")</f>
        <v/>
      </c>
      <c r="G145" s="38" t="str">
        <f t="shared" si="2"/>
        <v/>
      </c>
      <c r="K145" s="83"/>
    </row>
    <row r="146">
      <c r="A146" s="38"/>
      <c r="B146" s="38" t="str">
        <f>IF(A146="","",COUNTIFS('NHẬP ĐƠN'!A:A,A146,'NHẬP ĐƠN'!I:I,"&lt;&gt;Đã xoá"))</f>
        <v/>
      </c>
      <c r="C146" s="38" t="str">
        <f>IF(A146="","",SUMPRODUCT(('NHẬP ĐƠN'!A$2:A$1000=A146)*('NHẬP ĐƠN'!I$2:I$1000&lt;&gt;"Đã xoá")*('NHẬP ĐƠN'!F$2:F$1000)))</f>
        <v/>
      </c>
      <c r="D146" s="11" t="str">
        <f>IF(A146="","",SUMPRODUCT(('NHẬP ĐƠN'!A$2:A$1000=A146)*('NHẬP ĐƠN'!I$2:I$1000&lt;&gt;"Đã xoá")*('NHẬP ĐƠN'!G$2:G$1000)*('NHẬP ĐƠN'!F$2:F$1000)))</f>
        <v/>
      </c>
      <c r="E146" s="11" t="str">
        <f t="shared" si="1"/>
        <v>#DIV/0!</v>
      </c>
      <c r="F146" s="38" t="str">
        <f>IFERROR(VLOOKUP(A146,'NHẬP ĐƠN'!A:J,10,FALSE),"")</f>
        <v/>
      </c>
      <c r="G146" s="38" t="str">
        <f t="shared" si="2"/>
        <v/>
      </c>
      <c r="K146" s="83"/>
    </row>
    <row r="147">
      <c r="A147" s="38"/>
      <c r="B147" s="38" t="str">
        <f>IF(A147="","",COUNTIFS('NHẬP ĐƠN'!A:A,A147,'NHẬP ĐƠN'!I:I,"&lt;&gt;Đã xoá"))</f>
        <v/>
      </c>
      <c r="C147" s="38" t="str">
        <f>IF(A147="","",SUMPRODUCT(('NHẬP ĐƠN'!A$2:A$1000=A147)*('NHẬP ĐƠN'!I$2:I$1000&lt;&gt;"Đã xoá")*('NHẬP ĐƠN'!F$2:F$1000)))</f>
        <v/>
      </c>
      <c r="D147" s="11" t="str">
        <f>IF(A147="","",SUMPRODUCT(('NHẬP ĐƠN'!A$2:A$1000=A147)*('NHẬP ĐƠN'!I$2:I$1000&lt;&gt;"Đã xoá")*('NHẬP ĐƠN'!G$2:G$1000)*('NHẬP ĐƠN'!F$2:F$1000)))</f>
        <v/>
      </c>
      <c r="E147" s="11" t="str">
        <f t="shared" si="1"/>
        <v>#DIV/0!</v>
      </c>
      <c r="F147" s="38" t="str">
        <f>IFERROR(VLOOKUP(A147,'NHẬP ĐƠN'!A:J,10,FALSE),"")</f>
        <v/>
      </c>
      <c r="G147" s="38" t="str">
        <f t="shared" si="2"/>
        <v/>
      </c>
      <c r="K147" s="83"/>
    </row>
    <row r="148">
      <c r="A148" s="38"/>
      <c r="B148" s="38" t="str">
        <f>IF(A148="","",COUNTIFS('NHẬP ĐƠN'!A:A,A148,'NHẬP ĐƠN'!I:I,"&lt;&gt;Đã xoá"))</f>
        <v/>
      </c>
      <c r="C148" s="38" t="str">
        <f>IF(A148="","",SUMPRODUCT(('NHẬP ĐƠN'!A$2:A$1000=A148)*('NHẬP ĐƠN'!I$2:I$1000&lt;&gt;"Đã xoá")*('NHẬP ĐƠN'!F$2:F$1000)))</f>
        <v/>
      </c>
      <c r="D148" s="11" t="str">
        <f>IF(A148="","",SUMPRODUCT(('NHẬP ĐƠN'!A$2:A$1000=A148)*('NHẬP ĐƠN'!I$2:I$1000&lt;&gt;"Đã xoá")*('NHẬP ĐƠN'!G$2:G$1000)*('NHẬP ĐƠN'!F$2:F$1000)))</f>
        <v/>
      </c>
      <c r="E148" s="11" t="str">
        <f t="shared" si="1"/>
        <v>#DIV/0!</v>
      </c>
      <c r="F148" s="38" t="str">
        <f>IFERROR(VLOOKUP(A148,'NHẬP ĐƠN'!A:J,10,FALSE),"")</f>
        <v/>
      </c>
      <c r="G148" s="38" t="str">
        <f t="shared" si="2"/>
        <v/>
      </c>
      <c r="H148" s="2" t="s">
        <v>2571</v>
      </c>
      <c r="I148" s="2" t="s">
        <v>2478</v>
      </c>
      <c r="J148" s="2" t="s">
        <v>2572</v>
      </c>
      <c r="K148" s="82" t="s">
        <v>2573</v>
      </c>
      <c r="L148" s="2">
        <v>9.030991196E9</v>
      </c>
    </row>
    <row r="149">
      <c r="A149" s="38"/>
      <c r="B149" s="38" t="str">
        <f>IF(A149="","",COUNTIFS('NHẬP ĐƠN'!A:A,A149,'NHẬP ĐƠN'!I:I,"&lt;&gt;Đã xoá"))</f>
        <v/>
      </c>
      <c r="C149" s="38" t="str">
        <f>IF(A149="","",SUMPRODUCT(('NHẬP ĐƠN'!A$2:A$1000=A149)*('NHẬP ĐƠN'!I$2:I$1000&lt;&gt;"Đã xoá")*('NHẬP ĐƠN'!F$2:F$1000)))</f>
        <v/>
      </c>
      <c r="D149" s="11" t="str">
        <f>IF(A149="","",SUMPRODUCT(('NHẬP ĐƠN'!A$2:A$1000=A149)*('NHẬP ĐƠN'!I$2:I$1000&lt;&gt;"Đã xoá")*('NHẬP ĐƠN'!G$2:G$1000)*('NHẬP ĐƠN'!F$2:F$1000)))</f>
        <v/>
      </c>
      <c r="E149" s="11" t="str">
        <f t="shared" si="1"/>
        <v>#DIV/0!</v>
      </c>
      <c r="F149" s="38" t="str">
        <f>IFERROR(VLOOKUP(A149,'NHẬP ĐƠN'!A:J,10,FALSE),"")</f>
        <v/>
      </c>
      <c r="G149" s="38" t="str">
        <f t="shared" si="2"/>
        <v/>
      </c>
      <c r="K149" s="83"/>
    </row>
    <row r="150">
      <c r="A150" s="38"/>
      <c r="B150" s="38" t="str">
        <f>IF(A150="","",COUNTIFS('NHẬP ĐƠN'!A:A,A150,'NHẬP ĐƠN'!I:I,"&lt;&gt;Đã xoá"))</f>
        <v/>
      </c>
      <c r="C150" s="38" t="str">
        <f>IF(A150="","",SUMPRODUCT(('NHẬP ĐƠN'!A$2:A$1000=A150)*('NHẬP ĐƠN'!I$2:I$1000&lt;&gt;"Đã xoá")*('NHẬP ĐƠN'!F$2:F$1000)))</f>
        <v/>
      </c>
      <c r="D150" s="11" t="str">
        <f>IF(A150="","",SUMPRODUCT(('NHẬP ĐƠN'!A$2:A$1000=A150)*('NHẬP ĐƠN'!I$2:I$1000&lt;&gt;"Đã xoá")*('NHẬP ĐƠN'!G$2:G$1000)*('NHẬP ĐƠN'!F$2:F$1000)))</f>
        <v/>
      </c>
      <c r="E150" s="11" t="str">
        <f t="shared" si="1"/>
        <v>#DIV/0!</v>
      </c>
      <c r="F150" s="38" t="str">
        <f>IFERROR(VLOOKUP(A150,'NHẬP ĐƠN'!A:J,10,FALSE),"")</f>
        <v/>
      </c>
      <c r="G150" s="38" t="str">
        <f t="shared" si="2"/>
        <v/>
      </c>
      <c r="K150" s="83"/>
    </row>
    <row r="151">
      <c r="A151" s="38"/>
      <c r="B151" s="38" t="str">
        <f>IF(A151="","",COUNTIFS('NHẬP ĐƠN'!A:A,A151,'NHẬP ĐƠN'!I:I,"&lt;&gt;Đã xoá"))</f>
        <v/>
      </c>
      <c r="C151" s="38" t="str">
        <f>IF(A151="","",SUMPRODUCT(('NHẬP ĐƠN'!A$2:A$1000=A151)*('NHẬP ĐƠN'!I$2:I$1000&lt;&gt;"Đã xoá")*('NHẬP ĐƠN'!F$2:F$1000)))</f>
        <v/>
      </c>
      <c r="D151" s="11" t="str">
        <f>IF(A151="","",SUMPRODUCT(('NHẬP ĐƠN'!A$2:A$1000=A151)*('NHẬP ĐƠN'!I$2:I$1000&lt;&gt;"Đã xoá")*('NHẬP ĐƠN'!G$2:G$1000)*('NHẬP ĐƠN'!F$2:F$1000)))</f>
        <v/>
      </c>
      <c r="E151" s="11" t="str">
        <f t="shared" si="1"/>
        <v>#DIV/0!</v>
      </c>
      <c r="F151" s="38" t="str">
        <f>IFERROR(VLOOKUP(A151,'NHẬP ĐƠN'!A:J,10,FALSE),"")</f>
        <v/>
      </c>
      <c r="G151" s="38" t="str">
        <f t="shared" si="2"/>
        <v/>
      </c>
      <c r="H151" s="2" t="s">
        <v>2574</v>
      </c>
      <c r="I151" s="2" t="s">
        <v>2558</v>
      </c>
      <c r="J151" s="2" t="s">
        <v>2575</v>
      </c>
      <c r="K151" s="82" t="s">
        <v>2576</v>
      </c>
      <c r="L151" s="2" t="s">
        <v>2577</v>
      </c>
    </row>
    <row r="152">
      <c r="A152" s="38"/>
      <c r="B152" s="38" t="str">
        <f>IF(A152="","",COUNTIFS('NHẬP ĐƠN'!A:A,A152,'NHẬP ĐƠN'!I:I,"&lt;&gt;Đã xoá"))</f>
        <v/>
      </c>
      <c r="C152" s="38" t="str">
        <f>IF(A152="","",SUMPRODUCT(('NHẬP ĐƠN'!A$2:A$1000=A152)*('NHẬP ĐƠN'!I$2:I$1000&lt;&gt;"Đã xoá")*('NHẬP ĐƠN'!F$2:F$1000)))</f>
        <v/>
      </c>
      <c r="D152" s="11" t="str">
        <f>IF(A152="","",SUMPRODUCT(('NHẬP ĐƠN'!A$2:A$1000=A152)*('NHẬP ĐƠN'!I$2:I$1000&lt;&gt;"Đã xoá")*('NHẬP ĐƠN'!G$2:G$1000)*('NHẬP ĐƠN'!F$2:F$1000)))</f>
        <v/>
      </c>
      <c r="E152" s="11" t="str">
        <f t="shared" si="1"/>
        <v>#DIV/0!</v>
      </c>
      <c r="F152" s="38" t="str">
        <f>IFERROR(VLOOKUP(A152,'NHẬP ĐƠN'!A:J,10,FALSE),"")</f>
        <v/>
      </c>
      <c r="G152" s="38" t="str">
        <f t="shared" si="2"/>
        <v/>
      </c>
      <c r="H152" s="2" t="s">
        <v>2578</v>
      </c>
      <c r="I152" s="2" t="s">
        <v>2502</v>
      </c>
      <c r="J152" s="2" t="s">
        <v>2579</v>
      </c>
      <c r="K152" s="82" t="s">
        <v>2580</v>
      </c>
    </row>
    <row r="153">
      <c r="A153" s="38"/>
      <c r="B153" s="38" t="str">
        <f>IF(A153="","",COUNTIFS('NHẬP ĐƠN'!A:A,A153,'NHẬP ĐƠN'!I:I,"&lt;&gt;Đã xoá"))</f>
        <v/>
      </c>
      <c r="C153" s="38" t="str">
        <f>IF(A153="","",SUMPRODUCT(('NHẬP ĐƠN'!A$2:A$1000=A153)*('NHẬP ĐƠN'!I$2:I$1000&lt;&gt;"Đã xoá")*('NHẬP ĐƠN'!F$2:F$1000)))</f>
        <v/>
      </c>
      <c r="D153" s="11" t="str">
        <f>IF(A153="","",SUMPRODUCT(('NHẬP ĐƠN'!A$2:A$1000=A153)*('NHẬP ĐƠN'!I$2:I$1000&lt;&gt;"Đã xoá")*('NHẬP ĐƠN'!G$2:G$1000)*('NHẬP ĐƠN'!F$2:F$1000)))</f>
        <v/>
      </c>
      <c r="E153" s="11" t="str">
        <f t="shared" si="1"/>
        <v>#DIV/0!</v>
      </c>
      <c r="F153" s="38" t="str">
        <f>IFERROR(VLOOKUP(A153,'NHẬP ĐƠN'!A:J,10,FALSE),"")</f>
        <v/>
      </c>
      <c r="G153" s="38" t="str">
        <f t="shared" si="2"/>
        <v/>
      </c>
      <c r="K153" s="83"/>
    </row>
    <row r="154">
      <c r="A154" s="38"/>
      <c r="B154" s="38" t="str">
        <f>IF(A154="","",COUNTIFS('NHẬP ĐƠN'!A:A,A154,'NHẬP ĐƠN'!I:I,"&lt;&gt;Đã xoá"))</f>
        <v/>
      </c>
      <c r="C154" s="38" t="str">
        <f>IF(A154="","",SUMPRODUCT(('NHẬP ĐƠN'!A$2:A$1000=A154)*('NHẬP ĐƠN'!I$2:I$1000&lt;&gt;"Đã xoá")*('NHẬP ĐƠN'!F$2:F$1000)))</f>
        <v/>
      </c>
      <c r="D154" s="11" t="str">
        <f>IF(A154="","",SUMPRODUCT(('NHẬP ĐƠN'!A$2:A$1000=A154)*('NHẬP ĐƠN'!I$2:I$1000&lt;&gt;"Đã xoá")*('NHẬP ĐƠN'!G$2:G$1000)*('NHẬP ĐƠN'!F$2:F$1000)))</f>
        <v/>
      </c>
      <c r="E154" s="11" t="str">
        <f t="shared" si="1"/>
        <v>#DIV/0!</v>
      </c>
      <c r="F154" s="38" t="str">
        <f>IFERROR(VLOOKUP(A154,'NHẬP ĐƠN'!A:J,10,FALSE),"")</f>
        <v/>
      </c>
      <c r="G154" s="38" t="str">
        <f t="shared" si="2"/>
        <v/>
      </c>
      <c r="K154" s="83"/>
    </row>
    <row r="155">
      <c r="A155" s="38"/>
      <c r="B155" s="38" t="str">
        <f>IF(A155="","",COUNTIFS('NHẬP ĐƠN'!A:A,A155,'NHẬP ĐƠN'!I:I,"&lt;&gt;Đã xoá"))</f>
        <v/>
      </c>
      <c r="C155" s="38" t="str">
        <f>IF(A155="","",SUMPRODUCT(('NHẬP ĐƠN'!A$2:A$1000=A155)*('NHẬP ĐƠN'!I$2:I$1000&lt;&gt;"Đã xoá")*('NHẬP ĐƠN'!F$2:F$1000)))</f>
        <v/>
      </c>
      <c r="D155" s="11" t="str">
        <f>IF(A155="","",SUMPRODUCT(('NHẬP ĐƠN'!A$2:A$1000=A155)*('NHẬP ĐƠN'!I$2:I$1000&lt;&gt;"Đã xoá")*('NHẬP ĐƠN'!G$2:G$1000)*('NHẬP ĐƠN'!F$2:F$1000)))</f>
        <v/>
      </c>
      <c r="E155" s="11" t="str">
        <f t="shared" si="1"/>
        <v>#DIV/0!</v>
      </c>
      <c r="F155" s="38" t="str">
        <f>IFERROR(VLOOKUP(A155,'NHẬP ĐƠN'!A:J,10,FALSE),"")</f>
        <v/>
      </c>
      <c r="G155" s="38" t="str">
        <f t="shared" si="2"/>
        <v/>
      </c>
      <c r="K155" s="83"/>
    </row>
    <row r="156">
      <c r="A156" s="38"/>
      <c r="B156" s="38" t="str">
        <f>IF(A156="","",COUNTIFS('NHẬP ĐƠN'!A:A,A156,'NHẬP ĐƠN'!I:I,"&lt;&gt;Đã xoá"))</f>
        <v/>
      </c>
      <c r="C156" s="38" t="str">
        <f>IF(A156="","",SUMPRODUCT(('NHẬP ĐƠN'!A$2:A$1000=A156)*('NHẬP ĐƠN'!I$2:I$1000&lt;&gt;"Đã xoá")*('NHẬP ĐƠN'!F$2:F$1000)))</f>
        <v/>
      </c>
      <c r="D156" s="11" t="str">
        <f>IF(A156="","",SUMPRODUCT(('NHẬP ĐƠN'!A$2:A$1000=A156)*('NHẬP ĐƠN'!I$2:I$1000&lt;&gt;"Đã xoá")*('NHẬP ĐƠN'!G$2:G$1000)*('NHẬP ĐƠN'!F$2:F$1000)))</f>
        <v/>
      </c>
      <c r="E156" s="11" t="str">
        <f t="shared" si="1"/>
        <v>#DIV/0!</v>
      </c>
      <c r="F156" s="38" t="str">
        <f>IFERROR(VLOOKUP(A156,'NHẬP ĐƠN'!A:J,10,FALSE),"")</f>
        <v/>
      </c>
      <c r="G156" s="38" t="str">
        <f t="shared" si="2"/>
        <v/>
      </c>
      <c r="K156" s="83"/>
    </row>
    <row r="157">
      <c r="A157" s="38"/>
      <c r="B157" s="38" t="str">
        <f>IF(A157="","",COUNTIFS('NHẬP ĐƠN'!A:A,A157,'NHẬP ĐƠN'!I:I,"&lt;&gt;Đã xoá"))</f>
        <v/>
      </c>
      <c r="C157" s="38" t="str">
        <f>IF(A157="","",SUMPRODUCT(('NHẬP ĐƠN'!A$2:A$1000=A157)*('NHẬP ĐƠN'!I$2:I$1000&lt;&gt;"Đã xoá")*('NHẬP ĐƠN'!F$2:F$1000)))</f>
        <v/>
      </c>
      <c r="D157" s="11" t="str">
        <f>IF(A157="","",SUMPRODUCT(('NHẬP ĐƠN'!A$2:A$1000=A157)*('NHẬP ĐƠN'!I$2:I$1000&lt;&gt;"Đã xoá")*('NHẬP ĐƠN'!G$2:G$1000)*('NHẬP ĐƠN'!F$2:F$1000)))</f>
        <v/>
      </c>
      <c r="E157" s="11" t="str">
        <f t="shared" si="1"/>
        <v>#DIV/0!</v>
      </c>
      <c r="F157" s="38" t="str">
        <f>IFERROR(VLOOKUP(A157,'NHẬP ĐƠN'!A:J,10,FALSE),"")</f>
        <v/>
      </c>
      <c r="G157" s="38" t="str">
        <f t="shared" si="2"/>
        <v/>
      </c>
      <c r="K157" s="83"/>
    </row>
    <row r="158">
      <c r="A158" s="38"/>
      <c r="B158" s="38" t="str">
        <f>IF(A158="","",COUNTIFS('NHẬP ĐƠN'!A:A,A158,'NHẬP ĐƠN'!I:I,"&lt;&gt;Đã xoá"))</f>
        <v/>
      </c>
      <c r="C158" s="38" t="str">
        <f>IF(A158="","",SUMPRODUCT(('NHẬP ĐƠN'!A$2:A$1000=A158)*('NHẬP ĐƠN'!I$2:I$1000&lt;&gt;"Đã xoá")*('NHẬP ĐƠN'!F$2:F$1000)))</f>
        <v/>
      </c>
      <c r="D158" s="11" t="str">
        <f>IF(A158="","",SUMPRODUCT(('NHẬP ĐƠN'!A$2:A$1000=A158)*('NHẬP ĐƠN'!I$2:I$1000&lt;&gt;"Đã xoá")*('NHẬP ĐƠN'!G$2:G$1000)*('NHẬP ĐƠN'!F$2:F$1000)))</f>
        <v/>
      </c>
      <c r="E158" s="11" t="str">
        <f t="shared" si="1"/>
        <v>#DIV/0!</v>
      </c>
      <c r="F158" s="38" t="str">
        <f>IFERROR(VLOOKUP(A158,'NHẬP ĐƠN'!A:J,10,FALSE),"")</f>
        <v/>
      </c>
      <c r="G158" s="38" t="str">
        <f t="shared" si="2"/>
        <v/>
      </c>
      <c r="H158" s="2" t="s">
        <v>2581</v>
      </c>
      <c r="I158" s="2" t="s">
        <v>2558</v>
      </c>
      <c r="J158" s="2" t="s">
        <v>2582</v>
      </c>
      <c r="K158" s="82" t="s">
        <v>2583</v>
      </c>
      <c r="L158" s="2">
        <v>9.098085819E9</v>
      </c>
    </row>
    <row r="159">
      <c r="A159" s="38"/>
      <c r="B159" s="38" t="str">
        <f>IF(A159="","",COUNTIFS('NHẬP ĐƠN'!A:A,A159,'NHẬP ĐƠN'!I:I,"&lt;&gt;Đã xoá"))</f>
        <v/>
      </c>
      <c r="C159" s="38" t="str">
        <f>IF(A159="","",SUMPRODUCT(('NHẬP ĐƠN'!A$2:A$1000=A159)*('NHẬP ĐƠN'!I$2:I$1000&lt;&gt;"Đã xoá")*('NHẬP ĐƠN'!F$2:F$1000)))</f>
        <v/>
      </c>
      <c r="D159" s="11" t="str">
        <f>IF(A159="","",SUMPRODUCT(('NHẬP ĐƠN'!A$2:A$1000=A159)*('NHẬP ĐƠN'!I$2:I$1000&lt;&gt;"Đã xoá")*('NHẬP ĐƠN'!G$2:G$1000)*('NHẬP ĐƠN'!F$2:F$1000)))</f>
        <v/>
      </c>
      <c r="E159" s="11" t="str">
        <f t="shared" si="1"/>
        <v>#DIV/0!</v>
      </c>
      <c r="F159" s="38" t="str">
        <f>IFERROR(VLOOKUP(A159,'NHẬP ĐƠN'!A:J,10,FALSE),"")</f>
        <v/>
      </c>
      <c r="G159" s="38" t="str">
        <f t="shared" si="2"/>
        <v/>
      </c>
      <c r="K159" s="83"/>
    </row>
    <row r="160">
      <c r="A160" s="38"/>
      <c r="B160" s="38" t="str">
        <f>IF(A160="","",COUNTIFS('NHẬP ĐƠN'!A:A,A160,'NHẬP ĐƠN'!I:I,"&lt;&gt;Đã xoá"))</f>
        <v/>
      </c>
      <c r="C160" s="38" t="str">
        <f>IF(A160="","",SUMPRODUCT(('NHẬP ĐƠN'!A$2:A$1000=A160)*('NHẬP ĐƠN'!I$2:I$1000&lt;&gt;"Đã xoá")*('NHẬP ĐƠN'!F$2:F$1000)))</f>
        <v/>
      </c>
      <c r="D160" s="11" t="str">
        <f>IF(A160="","",SUMPRODUCT(('NHẬP ĐƠN'!A$2:A$1000=A160)*('NHẬP ĐƠN'!I$2:I$1000&lt;&gt;"Đã xoá")*('NHẬP ĐƠN'!G$2:G$1000)*('NHẬP ĐƠN'!F$2:F$1000)))</f>
        <v/>
      </c>
      <c r="E160" s="11" t="str">
        <f t="shared" si="1"/>
        <v>#DIV/0!</v>
      </c>
      <c r="F160" s="38" t="str">
        <f>IFERROR(VLOOKUP(A160,'NHẬP ĐƠN'!A:J,10,FALSE),"")</f>
        <v/>
      </c>
      <c r="G160" s="38" t="str">
        <f t="shared" si="2"/>
        <v/>
      </c>
      <c r="K160" s="83"/>
    </row>
    <row r="161">
      <c r="A161" s="38"/>
      <c r="B161" s="38" t="str">
        <f>IF(A161="","",COUNTIFS('NHẬP ĐƠN'!A:A,A161,'NHẬP ĐƠN'!I:I,"&lt;&gt;Đã xoá"))</f>
        <v/>
      </c>
      <c r="C161" s="38" t="str">
        <f>IF(A161="","",SUMPRODUCT(('NHẬP ĐƠN'!A$2:A$1000=A161)*('NHẬP ĐƠN'!I$2:I$1000&lt;&gt;"Đã xoá")*('NHẬP ĐƠN'!F$2:F$1000)))</f>
        <v/>
      </c>
      <c r="D161" s="11" t="str">
        <f>IF(A161="","",SUMPRODUCT(('NHẬP ĐƠN'!A$2:A$1000=A161)*('NHẬP ĐƠN'!I$2:I$1000&lt;&gt;"Đã xoá")*('NHẬP ĐƠN'!G$2:G$1000)*('NHẬP ĐƠN'!F$2:F$1000)))</f>
        <v/>
      </c>
      <c r="E161" s="11" t="str">
        <f t="shared" si="1"/>
        <v>#DIV/0!</v>
      </c>
      <c r="F161" s="38" t="str">
        <f>IFERROR(VLOOKUP(A161,'NHẬP ĐƠN'!A:J,10,FALSE),"")</f>
        <v/>
      </c>
      <c r="G161" s="38" t="str">
        <f t="shared" si="2"/>
        <v/>
      </c>
      <c r="H161" s="2" t="s">
        <v>2584</v>
      </c>
      <c r="I161" s="2" t="s">
        <v>2502</v>
      </c>
      <c r="J161" s="2" t="s">
        <v>2585</v>
      </c>
      <c r="K161" s="82" t="s">
        <v>2586</v>
      </c>
      <c r="L161" s="2">
        <v>9.030991196E9</v>
      </c>
    </row>
    <row r="162">
      <c r="A162" s="38"/>
      <c r="B162" s="38" t="str">
        <f>IF(A162="","",COUNTIFS('NHẬP ĐƠN'!A:A,A162,'NHẬP ĐƠN'!I:I,"&lt;&gt;Đã xoá"))</f>
        <v/>
      </c>
      <c r="C162" s="38" t="str">
        <f>IF(A162="","",SUMPRODUCT(('NHẬP ĐƠN'!A$2:A$1000=A162)*('NHẬP ĐƠN'!I$2:I$1000&lt;&gt;"Đã xoá")*('NHẬP ĐƠN'!F$2:F$1000)))</f>
        <v/>
      </c>
      <c r="D162" s="11" t="str">
        <f>IF(A162="","",SUMPRODUCT(('NHẬP ĐƠN'!A$2:A$1000=A162)*('NHẬP ĐƠN'!I$2:I$1000&lt;&gt;"Đã xoá")*('NHẬP ĐƠN'!G$2:G$1000)*('NHẬP ĐƠN'!F$2:F$1000)))</f>
        <v/>
      </c>
      <c r="E162" s="11" t="str">
        <f t="shared" si="1"/>
        <v>#DIV/0!</v>
      </c>
      <c r="F162" s="38" t="str">
        <f>IFERROR(VLOOKUP(A162,'NHẬP ĐƠN'!A:J,10,FALSE),"")</f>
        <v/>
      </c>
      <c r="G162" s="38" t="str">
        <f t="shared" si="2"/>
        <v/>
      </c>
      <c r="K162" s="83"/>
    </row>
    <row r="163">
      <c r="A163" s="38"/>
      <c r="B163" s="38" t="str">
        <f>IF(A163="","",COUNTIFS('NHẬP ĐƠN'!A:A,A163,'NHẬP ĐƠN'!I:I,"&lt;&gt;Đã xoá"))</f>
        <v/>
      </c>
      <c r="C163" s="38" t="str">
        <f>IF(A163="","",SUMPRODUCT(('NHẬP ĐƠN'!A$2:A$1000=A163)*('NHẬP ĐƠN'!I$2:I$1000&lt;&gt;"Đã xoá")*('NHẬP ĐƠN'!F$2:F$1000)))</f>
        <v/>
      </c>
      <c r="D163" s="11" t="str">
        <f>IF(A163="","",SUMPRODUCT(('NHẬP ĐƠN'!A$2:A$1000=A163)*('NHẬP ĐƠN'!I$2:I$1000&lt;&gt;"Đã xoá")*('NHẬP ĐƠN'!G$2:G$1000)*('NHẬP ĐƠN'!F$2:F$1000)))</f>
        <v/>
      </c>
      <c r="E163" s="11" t="str">
        <f t="shared" si="1"/>
        <v>#DIV/0!</v>
      </c>
      <c r="F163" s="38" t="str">
        <f>IFERROR(VLOOKUP(A163,'NHẬP ĐƠN'!A:J,10,FALSE),"")</f>
        <v/>
      </c>
      <c r="G163" s="38" t="str">
        <f t="shared" si="2"/>
        <v/>
      </c>
      <c r="K163" s="83"/>
    </row>
    <row r="164">
      <c r="A164" s="38"/>
      <c r="B164" s="38" t="str">
        <f>IF(A164="","",COUNTIFS('NHẬP ĐƠN'!A:A,A164,'NHẬP ĐƠN'!I:I,"&lt;&gt;Đã xoá"))</f>
        <v/>
      </c>
      <c r="C164" s="38" t="str">
        <f>IF(A164="","",SUMPRODUCT(('NHẬP ĐƠN'!A$2:A$1000=A164)*('NHẬP ĐƠN'!I$2:I$1000&lt;&gt;"Đã xoá")*('NHẬP ĐƠN'!F$2:F$1000)))</f>
        <v/>
      </c>
      <c r="D164" s="11" t="str">
        <f>IF(A164="","",SUMPRODUCT(('NHẬP ĐƠN'!A$2:A$1000=A164)*('NHẬP ĐƠN'!I$2:I$1000&lt;&gt;"Đã xoá")*('NHẬP ĐƠN'!G$2:G$1000)*('NHẬP ĐƠN'!F$2:F$1000)))</f>
        <v/>
      </c>
      <c r="E164" s="11" t="str">
        <f t="shared" si="1"/>
        <v>#DIV/0!</v>
      </c>
      <c r="F164" s="38" t="str">
        <f>IFERROR(VLOOKUP(A164,'NHẬP ĐƠN'!A:J,10,FALSE),"")</f>
        <v/>
      </c>
      <c r="G164" s="38" t="str">
        <f t="shared" si="2"/>
        <v/>
      </c>
      <c r="K164" s="83"/>
    </row>
    <row r="165">
      <c r="A165" s="38"/>
      <c r="B165" s="38" t="str">
        <f>IF(A165="","",COUNTIFS('NHẬP ĐƠN'!A:A,A165,'NHẬP ĐƠN'!I:I,"&lt;&gt;Đã xoá"))</f>
        <v/>
      </c>
      <c r="C165" s="38" t="str">
        <f>IF(A165="","",SUMPRODUCT(('NHẬP ĐƠN'!A$2:A$1000=A165)*('NHẬP ĐƠN'!I$2:I$1000&lt;&gt;"Đã xoá")*('NHẬP ĐƠN'!F$2:F$1000)))</f>
        <v/>
      </c>
      <c r="D165" s="11" t="str">
        <f>IF(A165="","",SUMPRODUCT(('NHẬP ĐƠN'!A$2:A$1000=A165)*('NHẬP ĐƠN'!I$2:I$1000&lt;&gt;"Đã xoá")*('NHẬP ĐƠN'!G$2:G$1000)*('NHẬP ĐƠN'!F$2:F$1000)))</f>
        <v/>
      </c>
      <c r="E165" s="11" t="str">
        <f t="shared" si="1"/>
        <v>#DIV/0!</v>
      </c>
      <c r="F165" s="38" t="str">
        <f>IFERROR(VLOOKUP(A165,'NHẬP ĐƠN'!A:J,10,FALSE),"")</f>
        <v/>
      </c>
      <c r="G165" s="38" t="str">
        <f t="shared" si="2"/>
        <v/>
      </c>
      <c r="H165" s="2" t="s">
        <v>2587</v>
      </c>
      <c r="I165" s="2" t="s">
        <v>2509</v>
      </c>
      <c r="J165" s="2" t="s">
        <v>2588</v>
      </c>
      <c r="K165" s="82" t="s">
        <v>2589</v>
      </c>
      <c r="L165" s="2">
        <v>7.037896406E9</v>
      </c>
    </row>
    <row r="166">
      <c r="A166" s="38"/>
      <c r="B166" s="38" t="str">
        <f>IF(A166="","",COUNTIFS('NHẬP ĐƠN'!A:A,A166,'NHẬP ĐƠN'!I:I,"&lt;&gt;Đã xoá"))</f>
        <v/>
      </c>
      <c r="C166" s="38" t="str">
        <f>IF(A166="","",SUMPRODUCT(('NHẬP ĐƠN'!A$2:A$1000=A166)*('NHẬP ĐƠN'!I$2:I$1000&lt;&gt;"Đã xoá")*('NHẬP ĐƠN'!F$2:F$1000)))</f>
        <v/>
      </c>
      <c r="D166" s="11" t="str">
        <f>IF(A166="","",SUMPRODUCT(('NHẬP ĐƠN'!A$2:A$1000=A166)*('NHẬP ĐƠN'!I$2:I$1000&lt;&gt;"Đã xoá")*('NHẬP ĐƠN'!G$2:G$1000)*('NHẬP ĐƠN'!F$2:F$1000)))</f>
        <v/>
      </c>
      <c r="E166" s="11" t="str">
        <f t="shared" si="1"/>
        <v>#DIV/0!</v>
      </c>
      <c r="F166" s="38" t="str">
        <f>IFERROR(VLOOKUP(A166,'NHẬP ĐƠN'!A:J,10,FALSE),"")</f>
        <v/>
      </c>
      <c r="G166" s="38" t="str">
        <f t="shared" si="2"/>
        <v/>
      </c>
      <c r="H166" s="2" t="s">
        <v>2587</v>
      </c>
      <c r="I166" s="2" t="s">
        <v>2509</v>
      </c>
      <c r="J166" s="2" t="s">
        <v>2588</v>
      </c>
      <c r="K166" s="82" t="s">
        <v>2589</v>
      </c>
      <c r="L166" s="2">
        <v>7.037896406E9</v>
      </c>
    </row>
    <row r="167">
      <c r="A167" s="38"/>
      <c r="B167" s="38" t="str">
        <f>IF(A167="","",COUNTIFS('NHẬP ĐƠN'!A:A,A167,'NHẬP ĐƠN'!I:I,"&lt;&gt;Đã xoá"))</f>
        <v/>
      </c>
      <c r="C167" s="38" t="str">
        <f>IF(A167="","",SUMPRODUCT(('NHẬP ĐƠN'!A$2:A$1000=A167)*('NHẬP ĐƠN'!I$2:I$1000&lt;&gt;"Đã xoá")*('NHẬP ĐƠN'!F$2:F$1000)))</f>
        <v/>
      </c>
      <c r="D167" s="11" t="str">
        <f>IF(A167="","",SUMPRODUCT(('NHẬP ĐƠN'!A$2:A$1000=A167)*('NHẬP ĐƠN'!I$2:I$1000&lt;&gt;"Đã xoá")*('NHẬP ĐƠN'!G$2:G$1000)*('NHẬP ĐƠN'!F$2:F$1000)))</f>
        <v/>
      </c>
      <c r="E167" s="11" t="str">
        <f t="shared" si="1"/>
        <v>#DIV/0!</v>
      </c>
      <c r="F167" s="38" t="str">
        <f>IFERROR(VLOOKUP(A167,'NHẬP ĐƠN'!A:J,10,FALSE),"")</f>
        <v/>
      </c>
      <c r="G167" s="38" t="str">
        <f t="shared" si="2"/>
        <v/>
      </c>
      <c r="K167" s="83"/>
    </row>
    <row r="168">
      <c r="A168" s="38"/>
      <c r="B168" s="38" t="str">
        <f>IF(A168="","",COUNTIFS('NHẬP ĐƠN'!A:A,A168,'NHẬP ĐƠN'!I:I,"&lt;&gt;Đã xoá"))</f>
        <v/>
      </c>
      <c r="C168" s="38" t="str">
        <f>IF(A168="","",SUMPRODUCT(('NHẬP ĐƠN'!A$2:A$1000=A168)*('NHẬP ĐƠN'!I$2:I$1000&lt;&gt;"Đã xoá")*('NHẬP ĐƠN'!F$2:F$1000)))</f>
        <v/>
      </c>
      <c r="D168" s="11" t="str">
        <f>IF(A168="","",SUMPRODUCT(('NHẬP ĐƠN'!A$2:A$1000=A168)*('NHẬP ĐƠN'!I$2:I$1000&lt;&gt;"Đã xoá")*('NHẬP ĐƠN'!G$2:G$1000)*('NHẬP ĐƠN'!F$2:F$1000)))</f>
        <v/>
      </c>
      <c r="E168" s="11" t="str">
        <f t="shared" si="1"/>
        <v>#DIV/0!</v>
      </c>
      <c r="F168" s="38" t="str">
        <f>IFERROR(VLOOKUP(A168,'NHẬP ĐƠN'!A:J,10,FALSE),"")</f>
        <v/>
      </c>
      <c r="G168" s="38" t="str">
        <f t="shared" si="2"/>
        <v/>
      </c>
      <c r="K168" s="83"/>
    </row>
    <row r="169">
      <c r="A169" s="38"/>
      <c r="B169" s="38" t="str">
        <f>IF(A169="","",COUNTIFS('NHẬP ĐƠN'!A:A,A169,'NHẬP ĐƠN'!I:I,"&lt;&gt;Đã xoá"))</f>
        <v/>
      </c>
      <c r="C169" s="38" t="str">
        <f>IF(A169="","",SUMPRODUCT(('NHẬP ĐƠN'!A$2:A$1000=A169)*('NHẬP ĐƠN'!I$2:I$1000&lt;&gt;"Đã xoá")*('NHẬP ĐƠN'!F$2:F$1000)))</f>
        <v/>
      </c>
      <c r="D169" s="11" t="str">
        <f>IF(A169="","",SUMPRODUCT(('NHẬP ĐƠN'!A$2:A$1000=A169)*('NHẬP ĐƠN'!I$2:I$1000&lt;&gt;"Đã xoá")*('NHẬP ĐƠN'!G$2:G$1000)*('NHẬP ĐƠN'!F$2:F$1000)))</f>
        <v/>
      </c>
      <c r="E169" s="11" t="str">
        <f t="shared" si="1"/>
        <v>#DIV/0!</v>
      </c>
      <c r="F169" s="38" t="str">
        <f>IFERROR(VLOOKUP(A169,'NHẬP ĐƠN'!A:J,10,FALSE),"")</f>
        <v/>
      </c>
      <c r="G169" s="38" t="str">
        <f t="shared" si="2"/>
        <v/>
      </c>
      <c r="K169" s="83"/>
    </row>
    <row r="170">
      <c r="A170" s="38"/>
      <c r="B170" s="38" t="str">
        <f>IF(A170="","",COUNTIFS('NHẬP ĐƠN'!A:A,A170,'NHẬP ĐƠN'!I:I,"&lt;&gt;Đã xoá"))</f>
        <v/>
      </c>
      <c r="C170" s="38" t="str">
        <f>IF(A170="","",SUMPRODUCT(('NHẬP ĐƠN'!A$2:A$1000=A170)*('NHẬP ĐƠN'!I$2:I$1000&lt;&gt;"Đã xoá")*('NHẬP ĐƠN'!F$2:F$1000)))</f>
        <v/>
      </c>
      <c r="D170" s="11" t="str">
        <f>IF(A170="","",SUMPRODUCT(('NHẬP ĐƠN'!A$2:A$1000=A170)*('NHẬP ĐƠN'!I$2:I$1000&lt;&gt;"Đã xoá")*('NHẬP ĐƠN'!G$2:G$1000)*('NHẬP ĐƠN'!F$2:F$1000)))</f>
        <v/>
      </c>
      <c r="E170" s="11" t="str">
        <f t="shared" si="1"/>
        <v>#DIV/0!</v>
      </c>
      <c r="F170" s="38" t="str">
        <f>IFERROR(VLOOKUP(A170,'NHẬP ĐƠN'!A:J,10,FALSE),"")</f>
        <v/>
      </c>
      <c r="G170" s="38" t="str">
        <f t="shared" si="2"/>
        <v/>
      </c>
      <c r="K170" s="83"/>
    </row>
    <row r="171">
      <c r="A171" s="38"/>
      <c r="B171" s="38" t="str">
        <f>IF(A171="","",COUNTIFS('NHẬP ĐƠN'!A:A,A171,'NHẬP ĐƠN'!I:I,"&lt;&gt;Đã xoá"))</f>
        <v/>
      </c>
      <c r="C171" s="38" t="str">
        <f>IF(A171="","",SUMPRODUCT(('NHẬP ĐƠN'!A$2:A$1000=A171)*('NHẬP ĐƠN'!I$2:I$1000&lt;&gt;"Đã xoá")*('NHẬP ĐƠN'!F$2:F$1000)))</f>
        <v/>
      </c>
      <c r="D171" s="11" t="str">
        <f>IF(A171="","",SUMPRODUCT(('NHẬP ĐƠN'!A$2:A$1000=A171)*('NHẬP ĐƠN'!I$2:I$1000&lt;&gt;"Đã xoá")*('NHẬP ĐƠN'!G$2:G$1000)*('NHẬP ĐƠN'!F$2:F$1000)))</f>
        <v/>
      </c>
      <c r="E171" s="11" t="str">
        <f t="shared" si="1"/>
        <v>#DIV/0!</v>
      </c>
      <c r="F171" s="38" t="str">
        <f>IFERROR(VLOOKUP(A171,'NHẬP ĐƠN'!A:J,10,FALSE),"")</f>
        <v/>
      </c>
      <c r="G171" s="38" t="str">
        <f t="shared" si="2"/>
        <v/>
      </c>
      <c r="H171" s="2" t="s">
        <v>2590</v>
      </c>
      <c r="I171" s="2" t="s">
        <v>2463</v>
      </c>
      <c r="J171" s="2" t="s">
        <v>2591</v>
      </c>
      <c r="K171" s="82" t="s">
        <v>2592</v>
      </c>
    </row>
    <row r="172">
      <c r="A172" s="38"/>
      <c r="B172" s="38" t="str">
        <f>IF(A172="","",COUNTIFS('NHẬP ĐƠN'!A:A,A172,'NHẬP ĐƠN'!I:I,"&lt;&gt;Đã xoá"))</f>
        <v/>
      </c>
      <c r="C172" s="38" t="str">
        <f>IF(A172="","",SUMPRODUCT(('NHẬP ĐƠN'!A$2:A$1000=A172)*('NHẬP ĐƠN'!I$2:I$1000&lt;&gt;"Đã xoá")*('NHẬP ĐƠN'!F$2:F$1000)))</f>
        <v/>
      </c>
      <c r="D172" s="11" t="str">
        <f>IF(A172="","",SUMPRODUCT(('NHẬP ĐƠN'!A$2:A$1000=A172)*('NHẬP ĐƠN'!I$2:I$1000&lt;&gt;"Đã xoá")*('NHẬP ĐƠN'!G$2:G$1000)*('NHẬP ĐƠN'!F$2:F$1000)))</f>
        <v/>
      </c>
      <c r="E172" s="11" t="str">
        <f t="shared" si="1"/>
        <v>#DIV/0!</v>
      </c>
      <c r="F172" s="38" t="str">
        <f>IFERROR(VLOOKUP(A172,'NHẬP ĐƠN'!A:J,10,FALSE),"")</f>
        <v/>
      </c>
      <c r="G172" s="38" t="str">
        <f t="shared" si="2"/>
        <v/>
      </c>
      <c r="K172" s="83"/>
    </row>
    <row r="173">
      <c r="A173" s="38"/>
      <c r="B173" s="38" t="str">
        <f>IF(A173="","",COUNTIFS('NHẬP ĐƠN'!A:A,A173,'NHẬP ĐƠN'!I:I,"&lt;&gt;Đã xoá"))</f>
        <v/>
      </c>
      <c r="C173" s="38" t="str">
        <f>IF(A173="","",SUMPRODUCT(('NHẬP ĐƠN'!A$2:A$1000=A173)*('NHẬP ĐƠN'!I$2:I$1000&lt;&gt;"Đã xoá")*('NHẬP ĐƠN'!F$2:F$1000)))</f>
        <v/>
      </c>
      <c r="D173" s="11" t="str">
        <f>IF(A173="","",SUMPRODUCT(('NHẬP ĐƠN'!A$2:A$1000=A173)*('NHẬP ĐƠN'!I$2:I$1000&lt;&gt;"Đã xoá")*('NHẬP ĐƠN'!G$2:G$1000)*('NHẬP ĐƠN'!F$2:F$1000)))</f>
        <v/>
      </c>
      <c r="E173" s="11" t="str">
        <f t="shared" si="1"/>
        <v>#DIV/0!</v>
      </c>
      <c r="F173" s="38" t="str">
        <f>IFERROR(VLOOKUP(A173,'NHẬP ĐƠN'!A:J,10,FALSE),"")</f>
        <v/>
      </c>
      <c r="G173" s="38" t="str">
        <f t="shared" si="2"/>
        <v/>
      </c>
      <c r="K173" s="83"/>
    </row>
    <row r="174">
      <c r="A174" s="38"/>
      <c r="B174" s="38" t="str">
        <f>IF(A174="","",COUNTIFS('NHẬP ĐƠN'!A:A,A174,'NHẬP ĐƠN'!I:I,"&lt;&gt;Đã xoá"))</f>
        <v/>
      </c>
      <c r="C174" s="38" t="str">
        <f>IF(A174="","",SUMPRODUCT(('NHẬP ĐƠN'!A$2:A$1000=A174)*('NHẬP ĐƠN'!I$2:I$1000&lt;&gt;"Đã xoá")*('NHẬP ĐƠN'!F$2:F$1000)))</f>
        <v/>
      </c>
      <c r="D174" s="11" t="str">
        <f>IF(A174="","",SUMPRODUCT(('NHẬP ĐƠN'!A$2:A$1000=A174)*('NHẬP ĐƠN'!I$2:I$1000&lt;&gt;"Đã xoá")*('NHẬP ĐƠN'!G$2:G$1000)*('NHẬP ĐƠN'!F$2:F$1000)))</f>
        <v/>
      </c>
      <c r="E174" s="11" t="str">
        <f t="shared" si="1"/>
        <v>#DIV/0!</v>
      </c>
      <c r="F174" s="38" t="str">
        <f>IFERROR(VLOOKUP(A174,'NHẬP ĐƠN'!A:J,10,FALSE),"")</f>
        <v/>
      </c>
      <c r="G174" s="38" t="str">
        <f t="shared" si="2"/>
        <v/>
      </c>
      <c r="K174" s="83"/>
    </row>
    <row r="175">
      <c r="A175" s="38"/>
      <c r="B175" s="38" t="str">
        <f>IF(A175="","",COUNTIFS('NHẬP ĐƠN'!A:A,A175,'NHẬP ĐƠN'!I:I,"&lt;&gt;Đã xoá"))</f>
        <v/>
      </c>
      <c r="C175" s="38" t="str">
        <f>IF(A175="","",SUMPRODUCT(('NHẬP ĐƠN'!A$2:A$1000=A175)*('NHẬP ĐƠN'!I$2:I$1000&lt;&gt;"Đã xoá")*('NHẬP ĐƠN'!F$2:F$1000)))</f>
        <v/>
      </c>
      <c r="D175" s="11" t="str">
        <f>IF(A175="","",SUMPRODUCT(('NHẬP ĐƠN'!A$2:A$1000=A175)*('NHẬP ĐƠN'!I$2:I$1000&lt;&gt;"Đã xoá")*('NHẬP ĐƠN'!G$2:G$1000)*('NHẬP ĐƠN'!F$2:F$1000)))</f>
        <v/>
      </c>
      <c r="E175" s="11" t="str">
        <f t="shared" si="1"/>
        <v>#DIV/0!</v>
      </c>
      <c r="F175" s="38" t="str">
        <f>IFERROR(VLOOKUP(A175,'NHẬP ĐƠN'!A:J,10,FALSE),"")</f>
        <v/>
      </c>
      <c r="G175" s="38" t="str">
        <f t="shared" si="2"/>
        <v/>
      </c>
      <c r="K175" s="83"/>
    </row>
    <row r="176">
      <c r="A176" s="38"/>
      <c r="B176" s="38" t="str">
        <f>IF(A176="","",COUNTIFS('NHẬP ĐƠN'!A:A,A176,'NHẬP ĐƠN'!I:I,"&lt;&gt;Đã xoá"))</f>
        <v/>
      </c>
      <c r="C176" s="38" t="str">
        <f>IF(A176="","",SUMPRODUCT(('NHẬP ĐƠN'!A$2:A$1000=A176)*('NHẬP ĐƠN'!I$2:I$1000&lt;&gt;"Đã xoá")*('NHẬP ĐƠN'!F$2:F$1000)))</f>
        <v/>
      </c>
      <c r="D176" s="11" t="str">
        <f>IF(A176="","",SUMPRODUCT(('NHẬP ĐƠN'!A$2:A$1000=A176)*('NHẬP ĐƠN'!I$2:I$1000&lt;&gt;"Đã xoá")*('NHẬP ĐƠN'!G$2:G$1000)*('NHẬP ĐƠN'!F$2:F$1000)))</f>
        <v/>
      </c>
      <c r="E176" s="11" t="str">
        <f t="shared" si="1"/>
        <v>#DIV/0!</v>
      </c>
      <c r="F176" s="38" t="str">
        <f>IFERROR(VLOOKUP(A176,'NHẬP ĐƠN'!A:J,10,FALSE),"")</f>
        <v/>
      </c>
      <c r="G176" s="38" t="str">
        <f t="shared" si="2"/>
        <v/>
      </c>
      <c r="K176" s="83"/>
    </row>
    <row r="177">
      <c r="A177" s="38"/>
      <c r="B177" s="38" t="str">
        <f>IF(A177="","",COUNTIFS('NHẬP ĐƠN'!A:A,A177,'NHẬP ĐƠN'!I:I,"&lt;&gt;Đã xoá"))</f>
        <v/>
      </c>
      <c r="C177" s="38" t="str">
        <f>IF(A177="","",SUMPRODUCT(('NHẬP ĐƠN'!A$2:A$1000=A177)*('NHẬP ĐƠN'!I$2:I$1000&lt;&gt;"Đã xoá")*('NHẬP ĐƠN'!F$2:F$1000)))</f>
        <v/>
      </c>
      <c r="D177" s="11" t="str">
        <f>IF(A177="","",SUMPRODUCT(('NHẬP ĐƠN'!A$2:A$1000=A177)*('NHẬP ĐƠN'!I$2:I$1000&lt;&gt;"Đã xoá")*('NHẬP ĐƠN'!G$2:G$1000)*('NHẬP ĐƠN'!F$2:F$1000)))</f>
        <v/>
      </c>
      <c r="E177" s="11" t="str">
        <f t="shared" si="1"/>
        <v>#DIV/0!</v>
      </c>
      <c r="F177" s="38" t="str">
        <f>IFERROR(VLOOKUP(A177,'NHẬP ĐƠN'!A:J,10,FALSE),"")</f>
        <v/>
      </c>
      <c r="G177" s="38" t="str">
        <f t="shared" si="2"/>
        <v/>
      </c>
      <c r="K177" s="83"/>
    </row>
    <row r="178">
      <c r="A178" s="38"/>
      <c r="B178" s="38" t="str">
        <f>IF(A178="","",COUNTIFS('NHẬP ĐƠN'!A:A,A178,'NHẬP ĐƠN'!I:I,"&lt;&gt;Đã xoá"))</f>
        <v/>
      </c>
      <c r="C178" s="38" t="str">
        <f>IF(A178="","",SUMPRODUCT(('NHẬP ĐƠN'!A$2:A$1000=A178)*('NHẬP ĐƠN'!I$2:I$1000&lt;&gt;"Đã xoá")*('NHẬP ĐƠN'!F$2:F$1000)))</f>
        <v/>
      </c>
      <c r="D178" s="11" t="str">
        <f>IF(A178="","",SUMPRODUCT(('NHẬP ĐƠN'!A$2:A$1000=A178)*('NHẬP ĐƠN'!I$2:I$1000&lt;&gt;"Đã xoá")*('NHẬP ĐƠN'!G$2:G$1000)*('NHẬP ĐƠN'!F$2:F$1000)))</f>
        <v/>
      </c>
      <c r="E178" s="11" t="str">
        <f t="shared" si="1"/>
        <v>#DIV/0!</v>
      </c>
      <c r="F178" s="38" t="str">
        <f>IFERROR(VLOOKUP(A178,'NHẬP ĐƠN'!A:J,10,FALSE),"")</f>
        <v/>
      </c>
      <c r="G178" s="38" t="str">
        <f t="shared" si="2"/>
        <v/>
      </c>
      <c r="H178" s="2" t="s">
        <v>2593</v>
      </c>
      <c r="I178" s="2" t="s">
        <v>2536</v>
      </c>
      <c r="J178" s="2" t="s">
        <v>2594</v>
      </c>
      <c r="K178" s="82" t="s">
        <v>2595</v>
      </c>
      <c r="L178" s="2">
        <v>9.091973112E9</v>
      </c>
    </row>
    <row r="179">
      <c r="A179" s="38"/>
      <c r="B179" s="38" t="str">
        <f>IF(A179="","",COUNTIFS('NHẬP ĐƠN'!A:A,A179,'NHẬP ĐƠN'!I:I,"&lt;&gt;Đã xoá"))</f>
        <v/>
      </c>
      <c r="C179" s="38" t="str">
        <f>IF(A179="","",SUMPRODUCT(('NHẬP ĐƠN'!A$2:A$1000=A179)*('NHẬP ĐƠN'!I$2:I$1000&lt;&gt;"Đã xoá")*('NHẬP ĐƠN'!F$2:F$1000)))</f>
        <v/>
      </c>
      <c r="D179" s="11" t="str">
        <f>IF(A179="","",SUMPRODUCT(('NHẬP ĐƠN'!A$2:A$1000=A179)*('NHẬP ĐƠN'!I$2:I$1000&lt;&gt;"Đã xoá")*('NHẬP ĐƠN'!G$2:G$1000)*('NHẬP ĐƠN'!F$2:F$1000)))</f>
        <v/>
      </c>
      <c r="E179" s="11" t="str">
        <f t="shared" si="1"/>
        <v>#DIV/0!</v>
      </c>
      <c r="F179" s="38" t="str">
        <f>IFERROR(VLOOKUP(A179,'NHẬP ĐƠN'!A:J,10,FALSE),"")</f>
        <v/>
      </c>
      <c r="G179" s="38" t="str">
        <f t="shared" si="2"/>
        <v/>
      </c>
      <c r="H179" s="2" t="s">
        <v>2596</v>
      </c>
      <c r="I179" s="2" t="s">
        <v>2597</v>
      </c>
      <c r="J179" s="2" t="s">
        <v>2598</v>
      </c>
      <c r="K179" s="82" t="s">
        <v>2599</v>
      </c>
      <c r="L179" s="2">
        <v>7.091860786E9</v>
      </c>
    </row>
    <row r="180">
      <c r="A180" s="38"/>
      <c r="B180" s="38" t="str">
        <f>IF(A180="","",COUNTIFS('NHẬP ĐƠN'!A:A,A180,'NHẬP ĐƠN'!I:I,"&lt;&gt;Đã xoá"))</f>
        <v/>
      </c>
      <c r="C180" s="38" t="str">
        <f>IF(A180="","",SUMPRODUCT(('NHẬP ĐƠN'!A$2:A$1000=A180)*('NHẬP ĐƠN'!I$2:I$1000&lt;&gt;"Đã xoá")*('NHẬP ĐƠN'!F$2:F$1000)))</f>
        <v/>
      </c>
      <c r="D180" s="11" t="str">
        <f>IF(A180="","",SUMPRODUCT(('NHẬP ĐƠN'!A$2:A$1000=A180)*('NHẬP ĐƠN'!I$2:I$1000&lt;&gt;"Đã xoá")*('NHẬP ĐƠN'!G$2:G$1000)*('NHẬP ĐƠN'!F$2:F$1000)))</f>
        <v/>
      </c>
      <c r="E180" s="11" t="str">
        <f t="shared" si="1"/>
        <v>#DIV/0!</v>
      </c>
      <c r="F180" s="38" t="str">
        <f>IFERROR(VLOOKUP(A180,'NHẬP ĐƠN'!A:J,10,FALSE),"")</f>
        <v/>
      </c>
      <c r="G180" s="38" t="str">
        <f t="shared" si="2"/>
        <v/>
      </c>
      <c r="H180" s="2" t="s">
        <v>2593</v>
      </c>
      <c r="I180" s="2" t="s">
        <v>2536</v>
      </c>
      <c r="J180" s="2" t="s">
        <v>2600</v>
      </c>
      <c r="K180" s="82" t="s">
        <v>2595</v>
      </c>
      <c r="L180" s="2">
        <v>9.091973112E9</v>
      </c>
    </row>
    <row r="181">
      <c r="A181" s="38"/>
      <c r="B181" s="38" t="str">
        <f>IF(A181="","",COUNTIFS('NHẬP ĐƠN'!A:A,A181,'NHẬP ĐƠN'!I:I,"&lt;&gt;Đã xoá"))</f>
        <v/>
      </c>
      <c r="C181" s="38" t="str">
        <f>IF(A181="","",SUMPRODUCT(('NHẬP ĐƠN'!A$2:A$1000=A181)*('NHẬP ĐƠN'!I$2:I$1000&lt;&gt;"Đã xoá")*('NHẬP ĐƠN'!F$2:F$1000)))</f>
        <v/>
      </c>
      <c r="D181" s="11" t="str">
        <f>IF(A181="","",SUMPRODUCT(('NHẬP ĐƠN'!A$2:A$1000=A181)*('NHẬP ĐƠN'!I$2:I$1000&lt;&gt;"Đã xoá")*('NHẬP ĐƠN'!G$2:G$1000)*('NHẬP ĐƠN'!F$2:F$1000)))</f>
        <v/>
      </c>
      <c r="E181" s="11" t="str">
        <f t="shared" si="1"/>
        <v>#DIV/0!</v>
      </c>
      <c r="F181" s="38" t="str">
        <f>IFERROR(VLOOKUP(A181,'NHẬP ĐƠN'!A:J,10,FALSE),"")</f>
        <v/>
      </c>
      <c r="G181" s="38" t="str">
        <f t="shared" si="2"/>
        <v/>
      </c>
      <c r="K181" s="83"/>
    </row>
    <row r="182">
      <c r="A182" s="38"/>
      <c r="B182" s="38" t="str">
        <f>IF(A182="","",COUNTIFS('NHẬP ĐƠN'!A:A,A182,'NHẬP ĐƠN'!I:I,"&lt;&gt;Đã xoá"))</f>
        <v/>
      </c>
      <c r="C182" s="38" t="str">
        <f>IF(A182="","",SUMPRODUCT(('NHẬP ĐƠN'!A$2:A$1000=A182)*('NHẬP ĐƠN'!I$2:I$1000&lt;&gt;"Đã xoá")*('NHẬP ĐƠN'!F$2:F$1000)))</f>
        <v/>
      </c>
      <c r="D182" s="11" t="str">
        <f>IF(A182="","",SUMPRODUCT(('NHẬP ĐƠN'!A$2:A$1000=A182)*('NHẬP ĐƠN'!I$2:I$1000&lt;&gt;"Đã xoá")*('NHẬP ĐƠN'!G$2:G$1000)*('NHẬP ĐƠN'!F$2:F$1000)))</f>
        <v/>
      </c>
      <c r="E182" s="11" t="str">
        <f t="shared" si="1"/>
        <v>#DIV/0!</v>
      </c>
      <c r="F182" s="38" t="str">
        <f>IFERROR(VLOOKUP(A182,'NHẬP ĐƠN'!A:J,10,FALSE),"")</f>
        <v/>
      </c>
      <c r="G182" s="38" t="str">
        <f t="shared" si="2"/>
        <v/>
      </c>
      <c r="H182" s="2" t="s">
        <v>2601</v>
      </c>
      <c r="I182" s="2" t="s">
        <v>2558</v>
      </c>
      <c r="J182" s="2" t="s">
        <v>2602</v>
      </c>
      <c r="K182" s="82" t="s">
        <v>2603</v>
      </c>
      <c r="L182" s="2">
        <v>8.080359847E9</v>
      </c>
    </row>
    <row r="183">
      <c r="A183" s="38"/>
      <c r="B183" s="38" t="str">
        <f>IF(A183="","",COUNTIFS('NHẬP ĐƠN'!A:A,A183,'NHẬP ĐƠN'!I:I,"&lt;&gt;Đã xoá"))</f>
        <v/>
      </c>
      <c r="C183" s="38" t="str">
        <f>IF(A183="","",SUMPRODUCT(('NHẬP ĐƠN'!A$2:A$1000=A183)*('NHẬP ĐƠN'!I$2:I$1000&lt;&gt;"Đã xoá")*('NHẬP ĐƠN'!F$2:F$1000)))</f>
        <v/>
      </c>
      <c r="D183" s="11" t="str">
        <f>IF(A183="","",SUMPRODUCT(('NHẬP ĐƠN'!A$2:A$1000=A183)*('NHẬP ĐƠN'!I$2:I$1000&lt;&gt;"Đã xoá")*('NHẬP ĐƠN'!G$2:G$1000)*('NHẬP ĐƠN'!F$2:F$1000)))</f>
        <v/>
      </c>
      <c r="E183" s="11" t="str">
        <f t="shared" si="1"/>
        <v>#DIV/0!</v>
      </c>
      <c r="F183" s="38" t="str">
        <f>IFERROR(VLOOKUP(A183,'NHẬP ĐƠN'!A:J,10,FALSE),"")</f>
        <v/>
      </c>
      <c r="G183" s="38" t="str">
        <f t="shared" si="2"/>
        <v/>
      </c>
      <c r="K183" s="83"/>
    </row>
    <row r="184">
      <c r="A184" s="38"/>
      <c r="B184" s="38" t="str">
        <f>IF(A184="","",COUNTIFS('NHẬP ĐƠN'!A:A,A184,'NHẬP ĐƠN'!I:I,"&lt;&gt;Đã xoá"))</f>
        <v/>
      </c>
      <c r="C184" s="38" t="str">
        <f>IF(A184="","",SUMPRODUCT(('NHẬP ĐƠN'!A$2:A$1000=A184)*('NHẬP ĐƠN'!I$2:I$1000&lt;&gt;"Đã xoá")*('NHẬP ĐƠN'!F$2:F$1000)))</f>
        <v/>
      </c>
      <c r="D184" s="11" t="str">
        <f>IF(A184="","",SUMPRODUCT(('NHẬP ĐƠN'!A$2:A$1000=A184)*('NHẬP ĐƠN'!I$2:I$1000&lt;&gt;"Đã xoá")*('NHẬP ĐƠN'!G$2:G$1000)*('NHẬP ĐƠN'!F$2:F$1000)))</f>
        <v/>
      </c>
      <c r="E184" s="11" t="str">
        <f t="shared" si="1"/>
        <v>#DIV/0!</v>
      </c>
      <c r="F184" s="38" t="str">
        <f>IFERROR(VLOOKUP(A184,'NHẬP ĐƠN'!A:J,10,FALSE),"")</f>
        <v/>
      </c>
      <c r="G184" s="38" t="str">
        <f t="shared" si="2"/>
        <v/>
      </c>
      <c r="K184" s="83"/>
    </row>
    <row r="185">
      <c r="A185" s="38"/>
      <c r="B185" s="38" t="str">
        <f>IF(A185="","",COUNTIFS('NHẬP ĐƠN'!A:A,A185,'NHẬP ĐƠN'!I:I,"&lt;&gt;Đã xoá"))</f>
        <v/>
      </c>
      <c r="C185" s="38" t="str">
        <f>IF(A185="","",SUMPRODUCT(('NHẬP ĐƠN'!A$2:A$1000=A185)*('NHẬP ĐƠN'!I$2:I$1000&lt;&gt;"Đã xoá")*('NHẬP ĐƠN'!F$2:F$1000)))</f>
        <v/>
      </c>
      <c r="D185" s="11" t="str">
        <f>IF(A185="","",SUMPRODUCT(('NHẬP ĐƠN'!A$2:A$1000=A185)*('NHẬP ĐƠN'!I$2:I$1000&lt;&gt;"Đã xoá")*('NHẬP ĐƠN'!G$2:G$1000)*('NHẬP ĐƠN'!F$2:F$1000)))</f>
        <v/>
      </c>
      <c r="E185" s="11" t="str">
        <f t="shared" si="1"/>
        <v>#DIV/0!</v>
      </c>
      <c r="F185" s="38" t="str">
        <f>IFERROR(VLOOKUP(A185,'NHẬP ĐƠN'!A:J,10,FALSE),"")</f>
        <v/>
      </c>
      <c r="G185" s="38" t="str">
        <f t="shared" si="2"/>
        <v/>
      </c>
      <c r="K185" s="83"/>
    </row>
    <row r="186">
      <c r="A186" s="38"/>
      <c r="B186" s="38" t="str">
        <f>IF(A186="","",COUNTIFS('NHẬP ĐƠN'!A:A,A186,'NHẬP ĐƠN'!I:I,"&lt;&gt;Đã xoá"))</f>
        <v/>
      </c>
      <c r="C186" s="38" t="str">
        <f>IF(A186="","",SUMPRODUCT(('NHẬP ĐƠN'!A$2:A$1000=A186)*('NHẬP ĐƠN'!I$2:I$1000&lt;&gt;"Đã xoá")*('NHẬP ĐƠN'!F$2:F$1000)))</f>
        <v/>
      </c>
      <c r="D186" s="11" t="str">
        <f>IF(A186="","",SUMPRODUCT(('NHẬP ĐƠN'!A$2:A$1000=A186)*('NHẬP ĐƠN'!I$2:I$1000&lt;&gt;"Đã xoá")*('NHẬP ĐƠN'!G$2:G$1000)*('NHẬP ĐƠN'!F$2:F$1000)))</f>
        <v/>
      </c>
      <c r="E186" s="11" t="str">
        <f t="shared" si="1"/>
        <v>#DIV/0!</v>
      </c>
      <c r="F186" s="38" t="str">
        <f>IFERROR(VLOOKUP(A186,'NHẬP ĐƠN'!A:J,10,FALSE),"")</f>
        <v/>
      </c>
      <c r="G186" s="38" t="str">
        <f t="shared" si="2"/>
        <v/>
      </c>
      <c r="K186" s="83"/>
    </row>
    <row r="187">
      <c r="A187" s="38"/>
      <c r="B187" s="38" t="str">
        <f>IF(A187="","",COUNTIFS('NHẬP ĐƠN'!A:A,A187,'NHẬP ĐƠN'!I:I,"&lt;&gt;Đã xoá"))</f>
        <v/>
      </c>
      <c r="C187" s="38" t="str">
        <f>IF(A187="","",SUMPRODUCT(('NHẬP ĐƠN'!A$2:A$1000=A187)*('NHẬP ĐƠN'!I$2:I$1000&lt;&gt;"Đã xoá")*('NHẬP ĐƠN'!F$2:F$1000)))</f>
        <v/>
      </c>
      <c r="D187" s="11" t="str">
        <f>IF(A187="","",SUMPRODUCT(('NHẬP ĐƠN'!A$2:A$1000=A187)*('NHẬP ĐƠN'!I$2:I$1000&lt;&gt;"Đã xoá")*('NHẬP ĐƠN'!G$2:G$1000)*('NHẬP ĐƠN'!F$2:F$1000)))</f>
        <v/>
      </c>
      <c r="E187" s="11" t="str">
        <f t="shared" si="1"/>
        <v>#DIV/0!</v>
      </c>
      <c r="F187" s="38" t="str">
        <f>IFERROR(VLOOKUP(A187,'NHẬP ĐƠN'!A:J,10,FALSE),"")</f>
        <v/>
      </c>
      <c r="G187" s="38" t="str">
        <f t="shared" si="2"/>
        <v/>
      </c>
      <c r="H187" s="2" t="s">
        <v>2604</v>
      </c>
      <c r="I187" s="2" t="s">
        <v>2478</v>
      </c>
      <c r="J187" s="2" t="s">
        <v>2605</v>
      </c>
      <c r="K187" s="82" t="s">
        <v>2606</v>
      </c>
      <c r="L187" s="2" t="s">
        <v>2607</v>
      </c>
    </row>
    <row r="188">
      <c r="A188" s="38"/>
      <c r="B188" s="38" t="str">
        <f>IF(A188="","",COUNTIFS('NHẬP ĐƠN'!A:A,A188,'NHẬP ĐƠN'!I:I,"&lt;&gt;Đã xoá"))</f>
        <v/>
      </c>
      <c r="C188" s="38" t="str">
        <f>IF(A188="","",SUMPRODUCT(('NHẬP ĐƠN'!A$2:A$1000=A188)*('NHẬP ĐƠN'!I$2:I$1000&lt;&gt;"Đã xoá")*('NHẬP ĐƠN'!F$2:F$1000)))</f>
        <v/>
      </c>
      <c r="D188" s="11" t="str">
        <f>IF(A188="","",SUMPRODUCT(('NHẬP ĐƠN'!A$2:A$1000=A188)*('NHẬP ĐƠN'!I$2:I$1000&lt;&gt;"Đã xoá")*('NHẬP ĐƠN'!G$2:G$1000)*('NHẬP ĐƠN'!F$2:F$1000)))</f>
        <v/>
      </c>
      <c r="E188" s="11" t="str">
        <f t="shared" si="1"/>
        <v>#DIV/0!</v>
      </c>
      <c r="F188" s="38" t="str">
        <f>IFERROR(VLOOKUP(A188,'NHẬP ĐƠN'!A:J,10,FALSE),"")</f>
        <v/>
      </c>
      <c r="G188" s="38" t="str">
        <f t="shared" si="2"/>
        <v/>
      </c>
      <c r="K188" s="83"/>
    </row>
    <row r="189">
      <c r="A189" s="38"/>
      <c r="B189" s="38" t="str">
        <f>IF(A189="","",COUNTIFS('NHẬP ĐƠN'!A:A,A189,'NHẬP ĐƠN'!I:I,"&lt;&gt;Đã xoá"))</f>
        <v/>
      </c>
      <c r="C189" s="38" t="str">
        <f>IF(A189="","",SUMPRODUCT(('NHẬP ĐƠN'!A$2:A$1000=A189)*('NHẬP ĐƠN'!I$2:I$1000&lt;&gt;"Đã xoá")*('NHẬP ĐƠN'!F$2:F$1000)))</f>
        <v/>
      </c>
      <c r="D189" s="11" t="str">
        <f>IF(A189="","",SUMPRODUCT(('NHẬP ĐƠN'!A$2:A$1000=A189)*('NHẬP ĐƠN'!I$2:I$1000&lt;&gt;"Đã xoá")*('NHẬP ĐƠN'!G$2:G$1000)*('NHẬP ĐƠN'!F$2:F$1000)))</f>
        <v/>
      </c>
      <c r="E189" s="11" t="str">
        <f t="shared" si="1"/>
        <v>#DIV/0!</v>
      </c>
      <c r="F189" s="38" t="str">
        <f>IFERROR(VLOOKUP(A189,'NHẬP ĐƠN'!A:J,10,FALSE),"")</f>
        <v/>
      </c>
      <c r="G189" s="38" t="str">
        <f t="shared" si="2"/>
        <v/>
      </c>
      <c r="K189" s="83"/>
    </row>
    <row r="190">
      <c r="A190" s="38"/>
      <c r="B190" s="38" t="str">
        <f>IF(A190="","",COUNTIFS('NHẬP ĐƠN'!A:A,A190,'NHẬP ĐƠN'!I:I,"&lt;&gt;Đã xoá"))</f>
        <v/>
      </c>
      <c r="C190" s="38" t="str">
        <f>IF(A190="","",SUMPRODUCT(('NHẬP ĐƠN'!A$2:A$1000=A190)*('NHẬP ĐƠN'!I$2:I$1000&lt;&gt;"Đã xoá")*('NHẬP ĐƠN'!F$2:F$1000)))</f>
        <v/>
      </c>
      <c r="D190" s="11" t="str">
        <f>IF(A190="","",SUMPRODUCT(('NHẬP ĐƠN'!A$2:A$1000=A190)*('NHẬP ĐƠN'!I$2:I$1000&lt;&gt;"Đã xoá")*('NHẬP ĐƠN'!G$2:G$1000)*('NHẬP ĐƠN'!F$2:F$1000)))</f>
        <v/>
      </c>
      <c r="E190" s="11" t="str">
        <f t="shared" si="1"/>
        <v>#DIV/0!</v>
      </c>
      <c r="F190" s="38" t="str">
        <f>IFERROR(VLOOKUP(A190,'NHẬP ĐƠN'!A:J,10,FALSE),"")</f>
        <v/>
      </c>
      <c r="G190" s="38" t="str">
        <f t="shared" si="2"/>
        <v/>
      </c>
      <c r="K190" s="83"/>
    </row>
    <row r="191">
      <c r="A191" s="38"/>
      <c r="B191" s="38" t="str">
        <f>IF(A191="","",COUNTIFS('NHẬP ĐƠN'!A:A,A191,'NHẬP ĐƠN'!I:I,"&lt;&gt;Đã xoá"))</f>
        <v/>
      </c>
      <c r="C191" s="38" t="str">
        <f>IF(A191="","",SUMPRODUCT(('NHẬP ĐƠN'!A$2:A$1000=A191)*('NHẬP ĐƠN'!I$2:I$1000&lt;&gt;"Đã xoá")*('NHẬP ĐƠN'!F$2:F$1000)))</f>
        <v/>
      </c>
      <c r="D191" s="11" t="str">
        <f>IF(A191="","",SUMPRODUCT(('NHẬP ĐƠN'!A$2:A$1000=A191)*('NHẬP ĐƠN'!I$2:I$1000&lt;&gt;"Đã xoá")*('NHẬP ĐƠN'!G$2:G$1000)*('NHẬP ĐƠN'!F$2:F$1000)))</f>
        <v/>
      </c>
      <c r="E191" s="11" t="str">
        <f t="shared" si="1"/>
        <v>#DIV/0!</v>
      </c>
      <c r="F191" s="38" t="str">
        <f>IFERROR(VLOOKUP(A191,'NHẬP ĐƠN'!A:J,10,FALSE),"")</f>
        <v/>
      </c>
      <c r="G191" s="38" t="str">
        <f t="shared" si="2"/>
        <v/>
      </c>
      <c r="K191" s="83"/>
    </row>
    <row r="192">
      <c r="A192" s="38"/>
      <c r="B192" s="38" t="str">
        <f>IF(A192="","",COUNTIFS('NHẬP ĐƠN'!A:A,A192,'NHẬP ĐƠN'!I:I,"&lt;&gt;Đã xoá"))</f>
        <v/>
      </c>
      <c r="C192" s="38" t="str">
        <f>IF(A192="","",SUMPRODUCT(('NHẬP ĐƠN'!A$2:A$1000=A192)*('NHẬP ĐƠN'!I$2:I$1000&lt;&gt;"Đã xoá")*('NHẬP ĐƠN'!F$2:F$1000)))</f>
        <v/>
      </c>
      <c r="D192" s="11" t="str">
        <f>IF(A192="","",SUMPRODUCT(('NHẬP ĐƠN'!A$2:A$1000=A192)*('NHẬP ĐƠN'!I$2:I$1000&lt;&gt;"Đã xoá")*('NHẬP ĐƠN'!G$2:G$1000)*('NHẬP ĐƠN'!F$2:F$1000)))</f>
        <v/>
      </c>
      <c r="E192" s="11" t="str">
        <f t="shared" si="1"/>
        <v>#DIV/0!</v>
      </c>
      <c r="F192" s="38" t="str">
        <f>IFERROR(VLOOKUP(A192,'NHẬP ĐƠN'!A:J,10,FALSE),"")</f>
        <v/>
      </c>
      <c r="G192" s="38" t="str">
        <f t="shared" si="2"/>
        <v/>
      </c>
      <c r="K192" s="83"/>
    </row>
    <row r="193">
      <c r="A193" s="38"/>
      <c r="B193" s="38" t="str">
        <f>IF(A193="","",COUNTIFS('NHẬP ĐƠN'!A:A,A193,'NHẬP ĐƠN'!I:I,"&lt;&gt;Đã xoá"))</f>
        <v/>
      </c>
      <c r="C193" s="38" t="str">
        <f>IF(A193="","",SUMPRODUCT(('NHẬP ĐƠN'!A$2:A$1000=A193)*('NHẬP ĐƠN'!I$2:I$1000&lt;&gt;"Đã xoá")*('NHẬP ĐƠN'!F$2:F$1000)))</f>
        <v/>
      </c>
      <c r="D193" s="11" t="str">
        <f>IF(A193="","",SUMPRODUCT(('NHẬP ĐƠN'!A$2:A$1000=A193)*('NHẬP ĐƠN'!I$2:I$1000&lt;&gt;"Đã xoá")*('NHẬP ĐƠN'!G$2:G$1000)*('NHẬP ĐƠN'!F$2:F$1000)))</f>
        <v/>
      </c>
      <c r="E193" s="11" t="str">
        <f t="shared" si="1"/>
        <v>#DIV/0!</v>
      </c>
      <c r="F193" s="38" t="str">
        <f>IFERROR(VLOOKUP(A193,'NHẬP ĐƠN'!A:J,10,FALSE),"")</f>
        <v/>
      </c>
      <c r="G193" s="38" t="str">
        <f t="shared" si="2"/>
        <v/>
      </c>
      <c r="K193" s="83"/>
    </row>
    <row r="194">
      <c r="A194" s="38"/>
      <c r="B194" s="38" t="str">
        <f>IF(A194="","",COUNTIFS('NHẬP ĐƠN'!A:A,A194,'NHẬP ĐƠN'!I:I,"&lt;&gt;Đã xoá"))</f>
        <v/>
      </c>
      <c r="C194" s="38" t="str">
        <f>IF(A194="","",SUMPRODUCT(('NHẬP ĐƠN'!A$2:A$1000=A194)*('NHẬP ĐƠN'!I$2:I$1000&lt;&gt;"Đã xoá")*('NHẬP ĐƠN'!F$2:F$1000)))</f>
        <v/>
      </c>
      <c r="D194" s="11" t="str">
        <f>IF(A194="","",SUMPRODUCT(('NHẬP ĐƠN'!A$2:A$1000=A194)*('NHẬP ĐƠN'!I$2:I$1000&lt;&gt;"Đã xoá")*('NHẬP ĐƠN'!G$2:G$1000)*('NHẬP ĐƠN'!F$2:F$1000)))</f>
        <v/>
      </c>
      <c r="E194" s="11" t="str">
        <f t="shared" si="1"/>
        <v>#DIV/0!</v>
      </c>
      <c r="F194" s="38" t="str">
        <f>IFERROR(VLOOKUP(A194,'NHẬP ĐƠN'!A:J,10,FALSE),"")</f>
        <v/>
      </c>
      <c r="G194" s="38" t="str">
        <f t="shared" si="2"/>
        <v/>
      </c>
      <c r="K194" s="83"/>
    </row>
    <row r="195">
      <c r="A195" s="38"/>
      <c r="B195" s="38" t="str">
        <f>IF(A195="","",COUNTIFS('NHẬP ĐƠN'!A:A,A195,'NHẬP ĐƠN'!I:I,"&lt;&gt;Đã xoá"))</f>
        <v/>
      </c>
      <c r="C195" s="38" t="str">
        <f>IF(A195="","",SUMPRODUCT(('NHẬP ĐƠN'!A$2:A$1000=A195)*('NHẬP ĐƠN'!I$2:I$1000&lt;&gt;"Đã xoá")*('NHẬP ĐƠN'!F$2:F$1000)))</f>
        <v/>
      </c>
      <c r="D195" s="11" t="str">
        <f>IF(A195="","",SUMPRODUCT(('NHẬP ĐƠN'!A$2:A$1000=A195)*('NHẬP ĐƠN'!I$2:I$1000&lt;&gt;"Đã xoá")*('NHẬP ĐƠN'!G$2:G$1000)*('NHẬP ĐƠN'!F$2:F$1000)))</f>
        <v/>
      </c>
      <c r="E195" s="11" t="str">
        <f t="shared" si="1"/>
        <v>#DIV/0!</v>
      </c>
      <c r="F195" s="38" t="str">
        <f>IFERROR(VLOOKUP(A195,'NHẬP ĐƠN'!A:J,10,FALSE),"")</f>
        <v/>
      </c>
      <c r="G195" s="38" t="str">
        <f t="shared" si="2"/>
        <v/>
      </c>
      <c r="K195" s="83"/>
    </row>
    <row r="196">
      <c r="A196" s="38"/>
      <c r="B196" s="38" t="str">
        <f>IF(A196="","",COUNTIFS('NHẬP ĐƠN'!A:A,A196,'NHẬP ĐƠN'!I:I,"&lt;&gt;Đã xoá"))</f>
        <v/>
      </c>
      <c r="C196" s="38" t="str">
        <f>IF(A196="","",SUMPRODUCT(('NHẬP ĐƠN'!A$2:A$1000=A196)*('NHẬP ĐƠN'!I$2:I$1000&lt;&gt;"Đã xoá")*('NHẬP ĐƠN'!F$2:F$1000)))</f>
        <v/>
      </c>
      <c r="D196" s="11" t="str">
        <f>IF(A196="","",SUMPRODUCT(('NHẬP ĐƠN'!A$2:A$1000=A196)*('NHẬP ĐƠN'!I$2:I$1000&lt;&gt;"Đã xoá")*('NHẬP ĐƠN'!G$2:G$1000)*('NHẬP ĐƠN'!F$2:F$1000)))</f>
        <v/>
      </c>
      <c r="E196" s="11" t="str">
        <f t="shared" si="1"/>
        <v>#DIV/0!</v>
      </c>
      <c r="F196" s="38" t="str">
        <f>IFERROR(VLOOKUP(A196,'NHẬP ĐƠN'!A:J,10,FALSE),"")</f>
        <v/>
      </c>
      <c r="G196" s="38" t="str">
        <f t="shared" si="2"/>
        <v/>
      </c>
      <c r="K196" s="83"/>
    </row>
    <row r="197">
      <c r="A197" s="38"/>
      <c r="B197" s="38" t="str">
        <f>IF(A197="","",COUNTIFS('NHẬP ĐƠN'!A:A,A197,'NHẬP ĐƠN'!I:I,"&lt;&gt;Đã xoá"))</f>
        <v/>
      </c>
      <c r="C197" s="38" t="str">
        <f>IF(A197="","",SUMPRODUCT(('NHẬP ĐƠN'!A$2:A$1000=A197)*('NHẬP ĐƠN'!I$2:I$1000&lt;&gt;"Đã xoá")*('NHẬP ĐƠN'!F$2:F$1000)))</f>
        <v/>
      </c>
      <c r="D197" s="11" t="str">
        <f>IF(A197="","",SUMPRODUCT(('NHẬP ĐƠN'!A$2:A$1000=A197)*('NHẬP ĐƠN'!I$2:I$1000&lt;&gt;"Đã xoá")*('NHẬP ĐƠN'!G$2:G$1000)*('NHẬP ĐƠN'!F$2:F$1000)))</f>
        <v/>
      </c>
      <c r="E197" s="11" t="str">
        <f t="shared" si="1"/>
        <v>#DIV/0!</v>
      </c>
      <c r="F197" s="38" t="str">
        <f>IFERROR(VLOOKUP(A197,'NHẬP ĐƠN'!A:J,10,FALSE),"")</f>
        <v/>
      </c>
      <c r="G197" s="38" t="str">
        <f t="shared" si="2"/>
        <v/>
      </c>
      <c r="K197" s="83"/>
    </row>
    <row r="198">
      <c r="A198" s="38"/>
      <c r="B198" s="38" t="str">
        <f>IF(A198="","",COUNTIFS('NHẬP ĐƠN'!A:A,A198,'NHẬP ĐƠN'!I:I,"&lt;&gt;Đã xoá"))</f>
        <v/>
      </c>
      <c r="C198" s="38" t="str">
        <f>IF(A198="","",SUMPRODUCT(('NHẬP ĐƠN'!A$2:A$1000=A198)*('NHẬP ĐƠN'!I$2:I$1000&lt;&gt;"Đã xoá")*('NHẬP ĐƠN'!F$2:F$1000)))</f>
        <v/>
      </c>
      <c r="D198" s="11" t="str">
        <f>IF(A198="","",SUMPRODUCT(('NHẬP ĐƠN'!A$2:A$1000=A198)*('NHẬP ĐƠN'!I$2:I$1000&lt;&gt;"Đã xoá")*('NHẬP ĐƠN'!G$2:G$1000)*('NHẬP ĐƠN'!F$2:F$1000)))</f>
        <v/>
      </c>
      <c r="E198" s="11" t="str">
        <f t="shared" si="1"/>
        <v>#DIV/0!</v>
      </c>
      <c r="F198" s="38" t="str">
        <f>IFERROR(VLOOKUP(A198,'NHẬP ĐƠN'!A:J,10,FALSE),"")</f>
        <v/>
      </c>
      <c r="G198" s="38" t="str">
        <f t="shared" si="2"/>
        <v/>
      </c>
      <c r="H198" s="2" t="s">
        <v>2608</v>
      </c>
      <c r="I198" s="2" t="s">
        <v>2609</v>
      </c>
      <c r="J198" s="2" t="s">
        <v>2610</v>
      </c>
      <c r="K198" s="82" t="s">
        <v>2611</v>
      </c>
      <c r="L198" s="2">
        <v>8.098574913E9</v>
      </c>
    </row>
    <row r="199">
      <c r="A199" s="38"/>
      <c r="B199" s="38" t="str">
        <f>IF(A199="","",COUNTIFS('NHẬP ĐƠN'!A:A,A199,'NHẬP ĐƠN'!I:I,"&lt;&gt;Đã xoá"))</f>
        <v/>
      </c>
      <c r="C199" s="38" t="str">
        <f>IF(A199="","",SUMPRODUCT(('NHẬP ĐƠN'!A$2:A$1000=A199)*('NHẬP ĐƠN'!I$2:I$1000&lt;&gt;"Đã xoá")*('NHẬP ĐƠN'!F$2:F$1000)))</f>
        <v/>
      </c>
      <c r="D199" s="11" t="str">
        <f>IF(A199="","",SUMPRODUCT(('NHẬP ĐƠN'!A$2:A$1000=A199)*('NHẬP ĐƠN'!I$2:I$1000&lt;&gt;"Đã xoá")*('NHẬP ĐƠN'!G$2:G$1000)*('NHẬP ĐƠN'!F$2:F$1000)))</f>
        <v/>
      </c>
      <c r="E199" s="11" t="str">
        <f t="shared" si="1"/>
        <v>#DIV/0!</v>
      </c>
      <c r="F199" s="38" t="str">
        <f>IFERROR(VLOOKUP(A199,'NHẬP ĐƠN'!A:J,10,FALSE),"")</f>
        <v/>
      </c>
      <c r="G199" s="38" t="str">
        <f t="shared" si="2"/>
        <v/>
      </c>
      <c r="H199" s="2" t="s">
        <v>2608</v>
      </c>
      <c r="I199" s="2" t="s">
        <v>2609</v>
      </c>
      <c r="J199" s="2" t="s">
        <v>2610</v>
      </c>
      <c r="K199" s="82" t="s">
        <v>2611</v>
      </c>
      <c r="L199" s="2">
        <v>8.098574913E9</v>
      </c>
    </row>
    <row r="200">
      <c r="A200" s="2" t="s">
        <v>142</v>
      </c>
      <c r="B200" s="38">
        <f>IF(A200="","",COUNTIFS('NHẬP ĐƠN'!A:A,A200,'NHẬP ĐƠN'!I:I,"&lt;&gt;Đã xoá"))</f>
        <v>11</v>
      </c>
      <c r="C200" s="38">
        <f>IF(A200="","",SUMPRODUCT(('NHẬP ĐƠN'!A$2:A$1000=A200)*('NHẬP ĐƠN'!I$2:I$1000&lt;&gt;"Đã xoá")*('NHẬP ĐƠN'!F$2:F$1000)))</f>
        <v>4</v>
      </c>
      <c r="D200" s="11">
        <f>IF(A200="","",SUMPRODUCT(('NHẬP ĐƠN'!A$2:A$1000=A200)*('NHẬP ĐƠN'!I$2:I$1000&lt;&gt;"Đã xoá")*('NHẬP ĐƠN'!G$2:G$1000)*('NHẬP ĐƠN'!F$2:F$1000)))</f>
        <v>5530</v>
      </c>
      <c r="E200" s="11">
        <f t="shared" si="1"/>
        <v>502.7272727</v>
      </c>
      <c r="F200" s="38" t="str">
        <f>IFERROR(VLOOKUP(A200,'NHẬP ĐƠN'!A:J,10,FALSE),"")</f>
        <v/>
      </c>
      <c r="G200" s="38" t="str">
        <f t="shared" si="2"/>
        <v>⭐ VIP</v>
      </c>
      <c r="H200" s="2" t="s">
        <v>2612</v>
      </c>
      <c r="I200" s="2" t="s">
        <v>2459</v>
      </c>
      <c r="J200" s="2" t="s">
        <v>2613</v>
      </c>
      <c r="K200" s="82" t="s">
        <v>2614</v>
      </c>
      <c r="L200" s="2">
        <v>8.057000836E9</v>
      </c>
      <c r="M200" s="12" t="s">
        <v>709</v>
      </c>
    </row>
    <row r="201">
      <c r="B201" s="38" t="str">
        <f>IF(A201="","",COUNTIFS('NHẬP ĐƠN'!A:A,A201,'NHẬP ĐƠN'!I:I,"&lt;&gt;Đã xoá"))</f>
        <v/>
      </c>
      <c r="C201" s="38" t="str">
        <f>IF(A201="","",SUMPRODUCT(('NHẬP ĐƠN'!A$2:A$1000=A201)*('NHẬP ĐƠN'!I$2:I$1000&lt;&gt;"Đã xoá")*('NHẬP ĐƠN'!F$2:F$1000)))</f>
        <v/>
      </c>
      <c r="D201" s="11" t="str">
        <f>IF(A201="","",SUMPRODUCT(('NHẬP ĐƠN'!A$2:A$1000=A201)*('NHẬP ĐƠN'!I$2:I$1000&lt;&gt;"Đã xoá")*('NHẬP ĐƠN'!G$2:G$1000)*('NHẬP ĐƠN'!F$2:F$1000)))</f>
        <v/>
      </c>
      <c r="E201" s="11" t="str">
        <f t="shared" si="1"/>
        <v>#DIV/0!</v>
      </c>
      <c r="F201" s="38" t="str">
        <f>IFERROR(VLOOKUP(A201,'NHẬP ĐƠN'!A:J,10,FALSE),"")</f>
        <v/>
      </c>
      <c r="G201" s="38" t="str">
        <f t="shared" si="2"/>
        <v/>
      </c>
      <c r="H201" s="2" t="s">
        <v>2615</v>
      </c>
      <c r="I201" s="2" t="s">
        <v>2616</v>
      </c>
      <c r="J201" s="2" t="s">
        <v>2617</v>
      </c>
      <c r="K201" s="82" t="s">
        <v>2618</v>
      </c>
      <c r="L201" s="2">
        <v>9.030991196E9</v>
      </c>
    </row>
    <row r="202">
      <c r="B202" s="38" t="str">
        <f>IF(A202="","",COUNTIFS('NHẬP ĐƠN'!A:A,A202,'NHẬP ĐƠN'!I:I,"&lt;&gt;Đã xoá"))</f>
        <v/>
      </c>
      <c r="C202" s="38" t="str">
        <f>IF(A202="","",SUMPRODUCT(('NHẬP ĐƠN'!A$2:A$1000=A202)*('NHẬP ĐƠN'!I$2:I$1000&lt;&gt;"Đã xoá")*('NHẬP ĐƠN'!F$2:F$1000)))</f>
        <v/>
      </c>
      <c r="D202" s="11" t="str">
        <f>IF(A202="","",SUMPRODUCT(('NHẬP ĐƠN'!A$2:A$1000=A202)*('NHẬP ĐƠN'!I$2:I$1000&lt;&gt;"Đã xoá")*('NHẬP ĐƠN'!G$2:G$1000)*('NHẬP ĐƠN'!F$2:F$1000)))</f>
        <v/>
      </c>
      <c r="E202" s="11" t="str">
        <f t="shared" si="1"/>
        <v>#DIV/0!</v>
      </c>
      <c r="F202" s="38" t="str">
        <f>IFERROR(VLOOKUP(A202,'NHẬP ĐƠN'!A:J,10,FALSE),"")</f>
        <v/>
      </c>
      <c r="G202" s="38" t="str">
        <f t="shared" si="2"/>
        <v/>
      </c>
      <c r="K202" s="83"/>
    </row>
    <row r="203">
      <c r="B203" s="38" t="str">
        <f>IF(A203="","",COUNTIFS('NHẬP ĐƠN'!A:A,A203,'NHẬP ĐƠN'!I:I,"&lt;&gt;Đã xoá"))</f>
        <v/>
      </c>
      <c r="C203" s="38" t="str">
        <f>IF(A203="","",SUMPRODUCT(('NHẬP ĐƠN'!A$2:A$1000=A203)*('NHẬP ĐƠN'!I$2:I$1000&lt;&gt;"Đã xoá")*('NHẬP ĐƠN'!F$2:F$1000)))</f>
        <v/>
      </c>
      <c r="D203" s="11" t="str">
        <f>IF(A203="","",SUMPRODUCT(('NHẬP ĐƠN'!A$2:A$1000=A203)*('NHẬP ĐƠN'!I$2:I$1000&lt;&gt;"Đã xoá")*('NHẬP ĐƠN'!G$2:G$1000)*('NHẬP ĐƠN'!F$2:F$1000)))</f>
        <v/>
      </c>
      <c r="E203" s="11" t="str">
        <f t="shared" si="1"/>
        <v>#DIV/0!</v>
      </c>
      <c r="F203" s="38" t="str">
        <f>IFERROR(VLOOKUP(A203,'NHẬP ĐƠN'!A:J,10,FALSE),"")</f>
        <v/>
      </c>
      <c r="G203" s="38" t="str">
        <f t="shared" si="2"/>
        <v/>
      </c>
      <c r="K203" s="83"/>
    </row>
    <row r="204">
      <c r="B204" s="38" t="str">
        <f>IF(A204="","",COUNTIFS('NHẬP ĐƠN'!A:A,A204,'NHẬP ĐƠN'!I:I,"&lt;&gt;Đã xoá"))</f>
        <v/>
      </c>
      <c r="C204" s="38" t="str">
        <f>IF(A204="","",SUMPRODUCT(('NHẬP ĐƠN'!A$2:A$1000=A204)*('NHẬP ĐƠN'!I$2:I$1000&lt;&gt;"Đã xoá")*('NHẬP ĐƠN'!F$2:F$1000)))</f>
        <v/>
      </c>
      <c r="D204" s="11" t="str">
        <f>IF(A204="","",SUMPRODUCT(('NHẬP ĐƠN'!A$2:A$1000=A204)*('NHẬP ĐƠN'!I$2:I$1000&lt;&gt;"Đã xoá")*('NHẬP ĐƠN'!G$2:G$1000)*('NHẬP ĐƠN'!F$2:F$1000)))</f>
        <v/>
      </c>
      <c r="E204" s="11" t="str">
        <f t="shared" si="1"/>
        <v>#DIV/0!</v>
      </c>
      <c r="F204" s="38" t="str">
        <f>IFERROR(VLOOKUP(A204,'NHẬP ĐƠN'!A:J,10,FALSE),"")</f>
        <v/>
      </c>
      <c r="G204" s="38" t="str">
        <f t="shared" si="2"/>
        <v/>
      </c>
      <c r="K204" s="83"/>
    </row>
    <row r="205">
      <c r="B205" s="38" t="str">
        <f>IF(A205="","",COUNTIFS('NHẬP ĐƠN'!A:A,A205,'NHẬP ĐƠN'!I:I,"&lt;&gt;Đã xoá"))</f>
        <v/>
      </c>
      <c r="C205" s="38" t="str">
        <f>IF(A205="","",SUMPRODUCT(('NHẬP ĐƠN'!A$2:A$1000=A205)*('NHẬP ĐƠN'!I$2:I$1000&lt;&gt;"Đã xoá")*('NHẬP ĐƠN'!F$2:F$1000)))</f>
        <v/>
      </c>
      <c r="D205" s="11" t="str">
        <f>IF(A205="","",SUMPRODUCT(('NHẬP ĐƠN'!A$2:A$1000=A205)*('NHẬP ĐƠN'!I$2:I$1000&lt;&gt;"Đã xoá")*('NHẬP ĐƠN'!G$2:G$1000)*('NHẬP ĐƠN'!F$2:F$1000)))</f>
        <v/>
      </c>
      <c r="E205" s="11" t="str">
        <f t="shared" si="1"/>
        <v>#DIV/0!</v>
      </c>
      <c r="F205" s="38" t="str">
        <f>IFERROR(VLOOKUP(A205,'NHẬP ĐƠN'!A:J,10,FALSE),"")</f>
        <v/>
      </c>
      <c r="G205" s="38" t="str">
        <f t="shared" si="2"/>
        <v/>
      </c>
      <c r="K205" s="83"/>
    </row>
    <row r="206">
      <c r="B206" s="38" t="str">
        <f>IF(A206="","",COUNTIFS('NHẬP ĐƠN'!A:A,A206,'NHẬP ĐƠN'!I:I,"&lt;&gt;Đã xoá"))</f>
        <v/>
      </c>
      <c r="C206" s="38" t="str">
        <f>IF(A206="","",SUMPRODUCT(('NHẬP ĐƠN'!A$2:A$1000=A206)*('NHẬP ĐƠN'!I$2:I$1000&lt;&gt;"Đã xoá")*('NHẬP ĐƠN'!F$2:F$1000)))</f>
        <v/>
      </c>
      <c r="D206" s="11" t="str">
        <f>IF(A206="","",SUMPRODUCT(('NHẬP ĐƠN'!A$2:A$1000=A206)*('NHẬP ĐƠN'!I$2:I$1000&lt;&gt;"Đã xoá")*('NHẬP ĐƠN'!G$2:G$1000)*('NHẬP ĐƠN'!F$2:F$1000)))</f>
        <v/>
      </c>
      <c r="E206" s="11" t="str">
        <f t="shared" si="1"/>
        <v>#DIV/0!</v>
      </c>
      <c r="F206" s="38" t="str">
        <f>IFERROR(VLOOKUP(A206,'NHẬP ĐƠN'!A:J,10,FALSE),"")</f>
        <v/>
      </c>
      <c r="G206" s="38" t="str">
        <f t="shared" si="2"/>
        <v/>
      </c>
      <c r="K206" s="83"/>
    </row>
    <row r="207">
      <c r="B207" s="38" t="str">
        <f>IF(A207="","",COUNTIFS('NHẬP ĐƠN'!A:A,A207,'NHẬP ĐƠN'!I:I,"&lt;&gt;Đã xoá"))</f>
        <v/>
      </c>
      <c r="C207" s="38" t="str">
        <f>IF(A207="","",SUMPRODUCT(('NHẬP ĐƠN'!A$2:A$1000=A207)*('NHẬP ĐƠN'!I$2:I$1000&lt;&gt;"Đã xoá")*('NHẬP ĐƠN'!F$2:F$1000)))</f>
        <v/>
      </c>
      <c r="D207" s="11" t="str">
        <f>IF(A207="","",SUMPRODUCT(('NHẬP ĐƠN'!A$2:A$1000=A207)*('NHẬP ĐƠN'!I$2:I$1000&lt;&gt;"Đã xoá")*('NHẬP ĐƠN'!G$2:G$1000)*('NHẬP ĐƠN'!F$2:F$1000)))</f>
        <v/>
      </c>
      <c r="E207" s="11" t="str">
        <f t="shared" si="1"/>
        <v>#DIV/0!</v>
      </c>
      <c r="F207" s="38" t="str">
        <f>IFERROR(VLOOKUP(A207,'NHẬP ĐƠN'!A:J,10,FALSE),"")</f>
        <v/>
      </c>
      <c r="G207" s="38" t="str">
        <f t="shared" si="2"/>
        <v/>
      </c>
      <c r="K207" s="83"/>
    </row>
    <row r="208">
      <c r="B208" s="38" t="str">
        <f>IF(A208="","",COUNTIFS('NHẬP ĐƠN'!A:A,A208,'NHẬP ĐƠN'!I:I,"&lt;&gt;Đã xoá"))</f>
        <v/>
      </c>
      <c r="C208" s="38" t="str">
        <f>IF(A208="","",SUMPRODUCT(('NHẬP ĐƠN'!A$2:A$1000=A208)*('NHẬP ĐƠN'!I$2:I$1000&lt;&gt;"Đã xoá")*('NHẬP ĐƠN'!F$2:F$1000)))</f>
        <v/>
      </c>
      <c r="D208" s="11" t="str">
        <f>IF(A208="","",SUMPRODUCT(('NHẬP ĐƠN'!A$2:A$1000=A208)*('NHẬP ĐƠN'!I$2:I$1000&lt;&gt;"Đã xoá")*('NHẬP ĐƠN'!G$2:G$1000)*('NHẬP ĐƠN'!F$2:F$1000)))</f>
        <v/>
      </c>
      <c r="E208" s="11" t="str">
        <f t="shared" si="1"/>
        <v>#DIV/0!</v>
      </c>
      <c r="F208" s="38" t="str">
        <f>IFERROR(VLOOKUP(A208,'NHẬP ĐƠN'!A:J,10,FALSE),"")</f>
        <v/>
      </c>
      <c r="G208" s="38" t="str">
        <f t="shared" si="2"/>
        <v/>
      </c>
      <c r="K208" s="83"/>
    </row>
    <row r="209">
      <c r="B209" s="38" t="str">
        <f>IF(A209="","",COUNTIFS('NHẬP ĐƠN'!A:A,A209,'NHẬP ĐƠN'!I:I,"&lt;&gt;Đã xoá"))</f>
        <v/>
      </c>
      <c r="C209" s="38" t="str">
        <f>IF(A209="","",SUMPRODUCT(('NHẬP ĐƠN'!A$2:A$1000=A209)*('NHẬP ĐƠN'!I$2:I$1000&lt;&gt;"Đã xoá")*('NHẬP ĐƠN'!F$2:F$1000)))</f>
        <v/>
      </c>
      <c r="D209" s="11" t="str">
        <f>IF(A209="","",SUMPRODUCT(('NHẬP ĐƠN'!A$2:A$1000=A209)*('NHẬP ĐƠN'!I$2:I$1000&lt;&gt;"Đã xoá")*('NHẬP ĐƠN'!G$2:G$1000)*('NHẬP ĐƠN'!F$2:F$1000)))</f>
        <v/>
      </c>
      <c r="E209" s="11" t="str">
        <f t="shared" si="1"/>
        <v>#DIV/0!</v>
      </c>
      <c r="F209" s="38" t="str">
        <f>IFERROR(VLOOKUP(A209,'NHẬP ĐƠN'!A:J,10,FALSE),"")</f>
        <v/>
      </c>
      <c r="G209" s="38" t="str">
        <f t="shared" si="2"/>
        <v/>
      </c>
      <c r="K209" s="83"/>
    </row>
    <row r="210">
      <c r="B210" s="38" t="str">
        <f>IF(A210="","",COUNTIFS('NHẬP ĐƠN'!A:A,A210,'NHẬP ĐƠN'!I:I,"&lt;&gt;Đã xoá"))</f>
        <v/>
      </c>
      <c r="C210" s="38" t="str">
        <f>IF(A210="","",SUMPRODUCT(('NHẬP ĐƠN'!A$2:A$1000=A210)*('NHẬP ĐƠN'!I$2:I$1000&lt;&gt;"Đã xoá")*('NHẬP ĐƠN'!F$2:F$1000)))</f>
        <v/>
      </c>
      <c r="D210" s="11" t="str">
        <f>IF(A210="","",SUMPRODUCT(('NHẬP ĐƠN'!A$2:A$1000=A210)*('NHẬP ĐƠN'!I$2:I$1000&lt;&gt;"Đã xoá")*('NHẬP ĐƠN'!G$2:G$1000)*('NHẬP ĐƠN'!F$2:F$1000)))</f>
        <v/>
      </c>
      <c r="E210" s="11" t="str">
        <f t="shared" si="1"/>
        <v>#DIV/0!</v>
      </c>
      <c r="F210" s="38" t="str">
        <f>IFERROR(VLOOKUP(A210,'NHẬP ĐƠN'!A:J,10,FALSE),"")</f>
        <v/>
      </c>
      <c r="G210" s="38" t="str">
        <f t="shared" si="2"/>
        <v/>
      </c>
      <c r="K210" s="83"/>
    </row>
    <row r="211">
      <c r="B211" s="38" t="str">
        <f>IF(A211="","",COUNTIFS('NHẬP ĐƠN'!A:A,A211,'NHẬP ĐƠN'!I:I,"&lt;&gt;Đã xoá"))</f>
        <v/>
      </c>
      <c r="C211" s="38" t="str">
        <f>IF(A211="","",SUMPRODUCT(('NHẬP ĐƠN'!A$2:A$1000=A211)*('NHẬP ĐƠN'!I$2:I$1000&lt;&gt;"Đã xoá")*('NHẬP ĐƠN'!F$2:F$1000)))</f>
        <v/>
      </c>
      <c r="D211" s="11" t="str">
        <f>IF(A211="","",SUMPRODUCT(('NHẬP ĐƠN'!A$2:A$1000=A211)*('NHẬP ĐƠN'!I$2:I$1000&lt;&gt;"Đã xoá")*('NHẬP ĐƠN'!G$2:G$1000)*('NHẬP ĐƠN'!F$2:F$1000)))</f>
        <v/>
      </c>
      <c r="E211" s="11" t="str">
        <f t="shared" si="1"/>
        <v>#DIV/0!</v>
      </c>
      <c r="F211" s="38" t="str">
        <f>IFERROR(VLOOKUP(A211,'NHẬP ĐƠN'!A:J,10,FALSE),"")</f>
        <v/>
      </c>
      <c r="G211" s="38" t="str">
        <f t="shared" si="2"/>
        <v/>
      </c>
      <c r="K211" s="83"/>
    </row>
    <row r="212">
      <c r="B212" s="38" t="str">
        <f>IF(A212="","",COUNTIFS('NHẬP ĐƠN'!A:A,A212,'NHẬP ĐƠN'!I:I,"&lt;&gt;Đã xoá"))</f>
        <v/>
      </c>
      <c r="C212" s="38" t="str">
        <f>IF(A212="","",SUMPRODUCT(('NHẬP ĐƠN'!A$2:A$1000=A212)*('NHẬP ĐƠN'!I$2:I$1000&lt;&gt;"Đã xoá")*('NHẬP ĐƠN'!F$2:F$1000)))</f>
        <v/>
      </c>
      <c r="D212" s="11" t="str">
        <f>IF(A212="","",SUMPRODUCT(('NHẬP ĐƠN'!A$2:A$1000=A212)*('NHẬP ĐƠN'!I$2:I$1000&lt;&gt;"Đã xoá")*('NHẬP ĐƠN'!G$2:G$1000)*('NHẬP ĐƠN'!F$2:F$1000)))</f>
        <v/>
      </c>
      <c r="E212" s="11" t="str">
        <f t="shared" si="1"/>
        <v>#DIV/0!</v>
      </c>
      <c r="F212" s="38" t="str">
        <f>IFERROR(VLOOKUP(A212,'NHẬP ĐƠN'!A:J,10,FALSE),"")</f>
        <v/>
      </c>
      <c r="G212" s="38" t="str">
        <f t="shared" si="2"/>
        <v/>
      </c>
      <c r="K212" s="83"/>
    </row>
    <row r="213">
      <c r="B213" s="38" t="str">
        <f>IF(A213="","",COUNTIFS('NHẬP ĐƠN'!A:A,A213,'NHẬP ĐƠN'!I:I,"&lt;&gt;Đã xoá"))</f>
        <v/>
      </c>
      <c r="C213" s="38" t="str">
        <f>IF(A213="","",SUMPRODUCT(('NHẬP ĐƠN'!A$2:A$1000=A213)*('NHẬP ĐƠN'!I$2:I$1000&lt;&gt;"Đã xoá")*('NHẬP ĐƠN'!F$2:F$1000)))</f>
        <v/>
      </c>
      <c r="D213" s="11" t="str">
        <f>IF(A213="","",SUMPRODUCT(('NHẬP ĐƠN'!A$2:A$1000=A213)*('NHẬP ĐƠN'!I$2:I$1000&lt;&gt;"Đã xoá")*('NHẬP ĐƠN'!G$2:G$1000)*('NHẬP ĐƠN'!F$2:F$1000)))</f>
        <v/>
      </c>
      <c r="E213" s="11" t="str">
        <f t="shared" si="1"/>
        <v>#DIV/0!</v>
      </c>
      <c r="F213" s="38" t="str">
        <f>IFERROR(VLOOKUP(A213,'NHẬP ĐƠN'!A:J,10,FALSE),"")</f>
        <v/>
      </c>
      <c r="G213" s="38" t="str">
        <f t="shared" si="2"/>
        <v/>
      </c>
      <c r="K213" s="83"/>
    </row>
    <row r="214">
      <c r="B214" s="38" t="str">
        <f>IF(A214="","",COUNTIFS('NHẬP ĐƠN'!A:A,A214,'NHẬP ĐƠN'!I:I,"&lt;&gt;Đã xoá"))</f>
        <v/>
      </c>
      <c r="C214" s="38" t="str">
        <f>IF(A214="","",SUMPRODUCT(('NHẬP ĐƠN'!A$2:A$1000=A214)*('NHẬP ĐƠN'!I$2:I$1000&lt;&gt;"Đã xoá")*('NHẬP ĐƠN'!F$2:F$1000)))</f>
        <v/>
      </c>
      <c r="D214" s="11" t="str">
        <f>IF(A214="","",SUMPRODUCT(('NHẬP ĐƠN'!A$2:A$1000=A214)*('NHẬP ĐƠN'!I$2:I$1000&lt;&gt;"Đã xoá")*('NHẬP ĐƠN'!G$2:G$1000)*('NHẬP ĐƠN'!F$2:F$1000)))</f>
        <v/>
      </c>
      <c r="E214" s="11" t="str">
        <f t="shared" si="1"/>
        <v>#DIV/0!</v>
      </c>
      <c r="F214" s="38" t="str">
        <f>IFERROR(VLOOKUP(A214,'NHẬP ĐƠN'!A:J,10,FALSE),"")</f>
        <v/>
      </c>
      <c r="G214" s="38" t="str">
        <f t="shared" si="2"/>
        <v/>
      </c>
      <c r="K214" s="83"/>
    </row>
    <row r="215">
      <c r="B215" s="38" t="str">
        <f>IF(A215="","",COUNTIFS('NHẬP ĐƠN'!A:A,A215,'NHẬP ĐƠN'!I:I,"&lt;&gt;Đã xoá"))</f>
        <v/>
      </c>
      <c r="C215" s="38" t="str">
        <f>IF(A215="","",SUMPRODUCT(('NHẬP ĐƠN'!A$2:A$1000=A215)*('NHẬP ĐƠN'!I$2:I$1000&lt;&gt;"Đã xoá")*('NHẬP ĐƠN'!F$2:F$1000)))</f>
        <v/>
      </c>
      <c r="D215" s="11" t="str">
        <f>IF(A215="","",SUMPRODUCT(('NHẬP ĐƠN'!A$2:A$1000=A215)*('NHẬP ĐƠN'!I$2:I$1000&lt;&gt;"Đã xoá")*('NHẬP ĐƠN'!G$2:G$1000)*('NHẬP ĐƠN'!F$2:F$1000)))</f>
        <v/>
      </c>
      <c r="E215" s="11" t="str">
        <f t="shared" si="1"/>
        <v>#DIV/0!</v>
      </c>
      <c r="F215" s="38" t="str">
        <f>IFERROR(VLOOKUP(A215,'NHẬP ĐƠN'!A:J,10,FALSE),"")</f>
        <v/>
      </c>
      <c r="G215" s="38" t="str">
        <f t="shared" si="2"/>
        <v/>
      </c>
      <c r="H215" s="2" t="s">
        <v>2619</v>
      </c>
      <c r="I215" s="2" t="s">
        <v>2459</v>
      </c>
      <c r="J215" s="2" t="s">
        <v>2620</v>
      </c>
      <c r="K215" s="82" t="s">
        <v>2621</v>
      </c>
      <c r="L215" s="2">
        <v>9.030991196E9</v>
      </c>
    </row>
    <row r="216">
      <c r="B216" s="38" t="str">
        <f>IF(A216="","",COUNTIFS('NHẬP ĐƠN'!A:A,A216,'NHẬP ĐƠN'!I:I,"&lt;&gt;Đã xoá"))</f>
        <v/>
      </c>
      <c r="C216" s="38" t="str">
        <f>IF(A216="","",SUMPRODUCT(('NHẬP ĐƠN'!A$2:A$1000=A216)*('NHẬP ĐƠN'!I$2:I$1000&lt;&gt;"Đã xoá")*('NHẬP ĐƠN'!F$2:F$1000)))</f>
        <v/>
      </c>
      <c r="D216" s="11" t="str">
        <f>IF(A216="","",SUMPRODUCT(('NHẬP ĐƠN'!A$2:A$1000=A216)*('NHẬP ĐƠN'!I$2:I$1000&lt;&gt;"Đã xoá")*('NHẬP ĐƠN'!G$2:G$1000)*('NHẬP ĐƠN'!F$2:F$1000)))</f>
        <v/>
      </c>
      <c r="E216" s="11" t="str">
        <f t="shared" si="1"/>
        <v>#DIV/0!</v>
      </c>
      <c r="F216" s="38" t="str">
        <f>IFERROR(VLOOKUP(A216,'NHẬP ĐƠN'!A:J,10,FALSE),"")</f>
        <v/>
      </c>
      <c r="G216" s="38" t="str">
        <f t="shared" si="2"/>
        <v/>
      </c>
      <c r="K216" s="83"/>
    </row>
    <row r="217">
      <c r="B217" s="38" t="str">
        <f>IF(A217="","",COUNTIFS('NHẬP ĐƠN'!A:A,A217,'NHẬP ĐƠN'!I:I,"&lt;&gt;Đã xoá"))</f>
        <v/>
      </c>
      <c r="C217" s="38" t="str">
        <f>IF(A217="","",SUMPRODUCT(('NHẬP ĐƠN'!A$2:A$1000=A217)*('NHẬP ĐƠN'!I$2:I$1000&lt;&gt;"Đã xoá")*('NHẬP ĐƠN'!F$2:F$1000)))</f>
        <v/>
      </c>
      <c r="D217" s="11" t="str">
        <f>IF(A217="","",SUMPRODUCT(('NHẬP ĐƠN'!A$2:A$1000=A217)*('NHẬP ĐƠN'!I$2:I$1000&lt;&gt;"Đã xoá")*('NHẬP ĐƠN'!G$2:G$1000)*('NHẬP ĐƠN'!F$2:F$1000)))</f>
        <v/>
      </c>
      <c r="E217" s="11" t="str">
        <f t="shared" si="1"/>
        <v>#DIV/0!</v>
      </c>
      <c r="F217" s="38" t="str">
        <f>IFERROR(VLOOKUP(A217,'NHẬP ĐƠN'!A:J,10,FALSE),"")</f>
        <v/>
      </c>
      <c r="G217" s="38" t="str">
        <f t="shared" si="2"/>
        <v/>
      </c>
      <c r="K217" s="83"/>
    </row>
    <row r="218">
      <c r="B218" s="38" t="str">
        <f>IF(A218="","",COUNTIFS('NHẬP ĐƠN'!A:A,A218,'NHẬP ĐƠN'!I:I,"&lt;&gt;Đã xoá"))</f>
        <v/>
      </c>
      <c r="C218" s="38" t="str">
        <f>IF(A218="","",SUMPRODUCT(('NHẬP ĐƠN'!A$2:A$1000=A218)*('NHẬP ĐƠN'!I$2:I$1000&lt;&gt;"Đã xoá")*('NHẬP ĐƠN'!F$2:F$1000)))</f>
        <v/>
      </c>
      <c r="D218" s="11" t="str">
        <f>IF(A218="","",SUMPRODUCT(('NHẬP ĐƠN'!A$2:A$1000=A218)*('NHẬP ĐƠN'!I$2:I$1000&lt;&gt;"Đã xoá")*('NHẬP ĐƠN'!G$2:G$1000)*('NHẬP ĐƠN'!F$2:F$1000)))</f>
        <v/>
      </c>
      <c r="E218" s="11" t="str">
        <f t="shared" si="1"/>
        <v>#DIV/0!</v>
      </c>
      <c r="F218" s="38" t="str">
        <f>IFERROR(VLOOKUP(A218,'NHẬP ĐƠN'!A:J,10,FALSE),"")</f>
        <v/>
      </c>
      <c r="G218" s="38" t="str">
        <f t="shared" si="2"/>
        <v/>
      </c>
      <c r="K218" s="83"/>
    </row>
    <row r="219">
      <c r="B219" s="38" t="str">
        <f>IF(A219="","",COUNTIFS('NHẬP ĐƠN'!A:A,A219,'NHẬP ĐƠN'!I:I,"&lt;&gt;Đã xoá"))</f>
        <v/>
      </c>
      <c r="C219" s="38" t="str">
        <f>IF(A219="","",SUMPRODUCT(('NHẬP ĐƠN'!A$2:A$1000=A219)*('NHẬP ĐƠN'!I$2:I$1000&lt;&gt;"Đã xoá")*('NHẬP ĐƠN'!F$2:F$1000)))</f>
        <v/>
      </c>
      <c r="D219" s="11" t="str">
        <f>IF(A219="","",SUMPRODUCT(('NHẬP ĐƠN'!A$2:A$1000=A219)*('NHẬP ĐƠN'!I$2:I$1000&lt;&gt;"Đã xoá")*('NHẬP ĐƠN'!G$2:G$1000)*('NHẬP ĐƠN'!F$2:F$1000)))</f>
        <v/>
      </c>
      <c r="E219" s="11" t="str">
        <f t="shared" si="1"/>
        <v>#DIV/0!</v>
      </c>
      <c r="F219" s="38" t="str">
        <f>IFERROR(VLOOKUP(A219,'NHẬP ĐƠN'!A:J,10,FALSE),"")</f>
        <v/>
      </c>
      <c r="G219" s="38" t="str">
        <f t="shared" si="2"/>
        <v/>
      </c>
      <c r="K219" s="83"/>
    </row>
    <row r="220">
      <c r="B220" s="38" t="str">
        <f>IF(A220="","",COUNTIFS('NHẬP ĐƠN'!A:A,A220,'NHẬP ĐƠN'!I:I,"&lt;&gt;Đã xoá"))</f>
        <v/>
      </c>
      <c r="C220" s="38" t="str">
        <f>IF(A220="","",SUMPRODUCT(('NHẬP ĐƠN'!A$2:A$1000=A220)*('NHẬP ĐƠN'!I$2:I$1000&lt;&gt;"Đã xoá")*('NHẬP ĐƠN'!F$2:F$1000)))</f>
        <v/>
      </c>
      <c r="D220" s="11" t="str">
        <f>IF(A220="","",SUMPRODUCT(('NHẬP ĐƠN'!A$2:A$1000=A220)*('NHẬP ĐƠN'!I$2:I$1000&lt;&gt;"Đã xoá")*('NHẬP ĐƠN'!G$2:G$1000)*('NHẬP ĐƠN'!F$2:F$1000)))</f>
        <v/>
      </c>
      <c r="E220" s="11" t="str">
        <f t="shared" si="1"/>
        <v>#DIV/0!</v>
      </c>
      <c r="F220" s="38" t="str">
        <f>IFERROR(VLOOKUP(A220,'NHẬP ĐƠN'!A:J,10,FALSE),"")</f>
        <v/>
      </c>
      <c r="G220" s="38" t="str">
        <f t="shared" si="2"/>
        <v/>
      </c>
      <c r="K220" s="83"/>
    </row>
    <row r="221">
      <c r="B221" s="38" t="str">
        <f>IF(A221="","",COUNTIFS('NHẬP ĐƠN'!A:A,A221,'NHẬP ĐƠN'!I:I,"&lt;&gt;Đã xoá"))</f>
        <v/>
      </c>
      <c r="C221" s="38" t="str">
        <f>IF(A221="","",SUMPRODUCT(('NHẬP ĐƠN'!A$2:A$1000=A221)*('NHẬP ĐƠN'!I$2:I$1000&lt;&gt;"Đã xoá")*('NHẬP ĐƠN'!F$2:F$1000)))</f>
        <v/>
      </c>
      <c r="D221" s="11" t="str">
        <f>IF(A221="","",SUMPRODUCT(('NHẬP ĐƠN'!A$2:A$1000=A221)*('NHẬP ĐƠN'!I$2:I$1000&lt;&gt;"Đã xoá")*('NHẬP ĐƠN'!G$2:G$1000)*('NHẬP ĐƠN'!F$2:F$1000)))</f>
        <v/>
      </c>
      <c r="E221" s="11" t="str">
        <f t="shared" si="1"/>
        <v>#DIV/0!</v>
      </c>
      <c r="F221" s="38" t="str">
        <f>IFERROR(VLOOKUP(A221,'NHẬP ĐƠN'!A:J,10,FALSE),"")</f>
        <v/>
      </c>
      <c r="G221" s="38" t="str">
        <f t="shared" si="2"/>
        <v/>
      </c>
      <c r="K221" s="83"/>
    </row>
    <row r="222">
      <c r="B222" s="38" t="str">
        <f>IF(A222="","",COUNTIFS('NHẬP ĐƠN'!A:A,A222,'NHẬP ĐƠN'!I:I,"&lt;&gt;Đã xoá"))</f>
        <v/>
      </c>
      <c r="C222" s="38" t="str">
        <f>IF(A222="","",SUMPRODUCT(('NHẬP ĐƠN'!A$2:A$1000=A222)*('NHẬP ĐƠN'!I$2:I$1000&lt;&gt;"Đã xoá")*('NHẬP ĐƠN'!F$2:F$1000)))</f>
        <v/>
      </c>
      <c r="D222" s="11" t="str">
        <f>IF(A222="","",SUMPRODUCT(('NHẬP ĐƠN'!A$2:A$1000=A222)*('NHẬP ĐƠN'!I$2:I$1000&lt;&gt;"Đã xoá")*('NHẬP ĐƠN'!G$2:G$1000)*('NHẬP ĐƠN'!F$2:F$1000)))</f>
        <v/>
      </c>
      <c r="E222" s="11" t="str">
        <f t="shared" si="1"/>
        <v>#DIV/0!</v>
      </c>
      <c r="F222" s="38" t="str">
        <f>IFERROR(VLOOKUP(A222,'NHẬP ĐƠN'!A:J,10,FALSE),"")</f>
        <v/>
      </c>
      <c r="G222" s="38" t="str">
        <f t="shared" si="2"/>
        <v/>
      </c>
      <c r="K222" s="83"/>
    </row>
    <row r="223">
      <c r="B223" s="38" t="str">
        <f>IF(A223="","",COUNTIFS('NHẬP ĐƠN'!A:A,A223,'NHẬP ĐƠN'!I:I,"&lt;&gt;Đã xoá"))</f>
        <v/>
      </c>
      <c r="C223" s="38" t="str">
        <f>IF(A223="","",SUMPRODUCT(('NHẬP ĐƠN'!A$2:A$1000=A223)*('NHẬP ĐƠN'!I$2:I$1000&lt;&gt;"Đã xoá")*('NHẬP ĐƠN'!F$2:F$1000)))</f>
        <v/>
      </c>
      <c r="D223" s="11" t="str">
        <f>IF(A223="","",SUMPRODUCT(('NHẬP ĐƠN'!A$2:A$1000=A223)*('NHẬP ĐƠN'!I$2:I$1000&lt;&gt;"Đã xoá")*('NHẬP ĐƠN'!G$2:G$1000)*('NHẬP ĐƠN'!F$2:F$1000)))</f>
        <v/>
      </c>
      <c r="E223" s="11" t="str">
        <f t="shared" si="1"/>
        <v>#DIV/0!</v>
      </c>
      <c r="F223" s="38" t="str">
        <f>IFERROR(VLOOKUP(A223,'NHẬP ĐƠN'!A:J,10,FALSE),"")</f>
        <v/>
      </c>
      <c r="G223" s="38" t="str">
        <f t="shared" si="2"/>
        <v/>
      </c>
      <c r="H223" s="2" t="s">
        <v>2622</v>
      </c>
      <c r="I223" s="2" t="s">
        <v>2623</v>
      </c>
      <c r="J223" s="2" t="s">
        <v>2624</v>
      </c>
      <c r="K223" s="82" t="s">
        <v>2625</v>
      </c>
      <c r="L223" s="2">
        <v>9.030991196E9</v>
      </c>
    </row>
    <row r="224">
      <c r="B224" s="38" t="str">
        <f>IF(A224="","",COUNTIFS('NHẬP ĐƠN'!A:A,A224,'NHẬP ĐƠN'!I:I,"&lt;&gt;Đã xoá"))</f>
        <v/>
      </c>
      <c r="C224" s="38" t="str">
        <f>IF(A224="","",SUMPRODUCT(('NHẬP ĐƠN'!A$2:A$1000=A224)*('NHẬP ĐƠN'!I$2:I$1000&lt;&gt;"Đã xoá")*('NHẬP ĐƠN'!F$2:F$1000)))</f>
        <v/>
      </c>
      <c r="D224" s="11" t="str">
        <f>IF(A224="","",SUMPRODUCT(('NHẬP ĐƠN'!A$2:A$1000=A224)*('NHẬP ĐƠN'!I$2:I$1000&lt;&gt;"Đã xoá")*('NHẬP ĐƠN'!G$2:G$1000)*('NHẬP ĐƠN'!F$2:F$1000)))</f>
        <v/>
      </c>
      <c r="E224" s="11" t="str">
        <f t="shared" si="1"/>
        <v>#DIV/0!</v>
      </c>
      <c r="F224" s="38" t="str">
        <f>IFERROR(VLOOKUP(A224,'NHẬP ĐƠN'!A:J,10,FALSE),"")</f>
        <v/>
      </c>
      <c r="G224" s="38" t="str">
        <f t="shared" si="2"/>
        <v/>
      </c>
      <c r="H224" s="2" t="s">
        <v>2622</v>
      </c>
      <c r="I224" s="2" t="s">
        <v>2623</v>
      </c>
      <c r="J224" s="2" t="s">
        <v>2624</v>
      </c>
      <c r="K224" s="82" t="s">
        <v>2625</v>
      </c>
      <c r="L224" s="2">
        <v>9.030991196E9</v>
      </c>
    </row>
    <row r="225">
      <c r="B225" s="38" t="str">
        <f>IF(A225="","",COUNTIFS('NHẬP ĐƠN'!A:A,A225,'NHẬP ĐƠN'!I:I,"&lt;&gt;Đã xoá"))</f>
        <v/>
      </c>
      <c r="C225" s="38" t="str">
        <f>IF(A225="","",SUMPRODUCT(('NHẬP ĐƠN'!A$2:A$1000=A225)*('NHẬP ĐƠN'!I$2:I$1000&lt;&gt;"Đã xoá")*('NHẬP ĐƠN'!F$2:F$1000)))</f>
        <v/>
      </c>
      <c r="D225" s="11" t="str">
        <f>IF(A225="","",SUMPRODUCT(('NHẬP ĐƠN'!A$2:A$1000=A225)*('NHẬP ĐƠN'!I$2:I$1000&lt;&gt;"Đã xoá")*('NHẬP ĐƠN'!G$2:G$1000)*('NHẬP ĐƠN'!F$2:F$1000)))</f>
        <v/>
      </c>
      <c r="E225" s="11" t="str">
        <f t="shared" si="1"/>
        <v>#DIV/0!</v>
      </c>
      <c r="F225" s="38" t="str">
        <f>IFERROR(VLOOKUP(A225,'NHẬP ĐƠN'!A:J,10,FALSE),"")</f>
        <v/>
      </c>
      <c r="G225" s="38" t="str">
        <f t="shared" si="2"/>
        <v/>
      </c>
      <c r="K225" s="83"/>
    </row>
    <row r="226">
      <c r="B226" s="38" t="str">
        <f>IF(A226="","",COUNTIFS('NHẬP ĐƠN'!A:A,A226,'NHẬP ĐƠN'!I:I,"&lt;&gt;Đã xoá"))</f>
        <v/>
      </c>
      <c r="C226" s="38" t="str">
        <f>IF(A226="","",SUMPRODUCT(('NHẬP ĐƠN'!A$2:A$1000=A226)*('NHẬP ĐƠN'!I$2:I$1000&lt;&gt;"Đã xoá")*('NHẬP ĐƠN'!F$2:F$1000)))</f>
        <v/>
      </c>
      <c r="D226" s="11" t="str">
        <f>IF(A226="","",SUMPRODUCT(('NHẬP ĐƠN'!A$2:A$1000=A226)*('NHẬP ĐƠN'!I$2:I$1000&lt;&gt;"Đã xoá")*('NHẬP ĐƠN'!G$2:G$1000)*('NHẬP ĐƠN'!F$2:F$1000)))</f>
        <v/>
      </c>
      <c r="E226" s="11" t="str">
        <f t="shared" si="1"/>
        <v>#DIV/0!</v>
      </c>
      <c r="F226" s="38" t="str">
        <f>IFERROR(VLOOKUP(A226,'NHẬP ĐƠN'!A:J,10,FALSE),"")</f>
        <v/>
      </c>
      <c r="G226" s="38" t="str">
        <f t="shared" si="2"/>
        <v/>
      </c>
      <c r="K226" s="83"/>
    </row>
    <row r="227">
      <c r="B227" s="38" t="str">
        <f>IF(A227="","",COUNTIFS('NHẬP ĐƠN'!A:A,A227,'NHẬP ĐƠN'!I:I,"&lt;&gt;Đã xoá"))</f>
        <v/>
      </c>
      <c r="C227" s="38" t="str">
        <f>IF(A227="","",SUMPRODUCT(('NHẬP ĐƠN'!A$2:A$1000=A227)*('NHẬP ĐƠN'!I$2:I$1000&lt;&gt;"Đã xoá")*('NHẬP ĐƠN'!F$2:F$1000)))</f>
        <v/>
      </c>
      <c r="D227" s="11" t="str">
        <f>IF(A227="","",SUMPRODUCT(('NHẬP ĐƠN'!A$2:A$1000=A227)*('NHẬP ĐƠN'!I$2:I$1000&lt;&gt;"Đã xoá")*('NHẬP ĐƠN'!G$2:G$1000)*('NHẬP ĐƠN'!F$2:F$1000)))</f>
        <v/>
      </c>
      <c r="E227" s="11" t="str">
        <f t="shared" si="1"/>
        <v>#DIV/0!</v>
      </c>
      <c r="F227" s="38" t="str">
        <f>IFERROR(VLOOKUP(A227,'NHẬP ĐƠN'!A:J,10,FALSE),"")</f>
        <v/>
      </c>
      <c r="G227" s="38" t="str">
        <f t="shared" si="2"/>
        <v/>
      </c>
      <c r="K227" s="83"/>
    </row>
    <row r="228">
      <c r="B228" s="38" t="str">
        <f>IF(A228="","",COUNTIFS('NHẬP ĐƠN'!A:A,A228,'NHẬP ĐƠN'!I:I,"&lt;&gt;Đã xoá"))</f>
        <v/>
      </c>
      <c r="C228" s="38" t="str">
        <f>IF(A228="","",SUMPRODUCT(('NHẬP ĐƠN'!A$2:A$1000=A228)*('NHẬP ĐƠN'!I$2:I$1000&lt;&gt;"Đã xoá")*('NHẬP ĐƠN'!F$2:F$1000)))</f>
        <v/>
      </c>
      <c r="D228" s="11" t="str">
        <f>IF(A228="","",SUMPRODUCT(('NHẬP ĐƠN'!A$2:A$1000=A228)*('NHẬP ĐƠN'!I$2:I$1000&lt;&gt;"Đã xoá")*('NHẬP ĐƠN'!G$2:G$1000)*('NHẬP ĐƠN'!F$2:F$1000)))</f>
        <v/>
      </c>
      <c r="E228" s="11" t="str">
        <f t="shared" si="1"/>
        <v>#DIV/0!</v>
      </c>
      <c r="F228" s="38" t="str">
        <f>IFERROR(VLOOKUP(A228,'NHẬP ĐƠN'!A:J,10,FALSE),"")</f>
        <v/>
      </c>
      <c r="G228" s="38" t="str">
        <f t="shared" si="2"/>
        <v/>
      </c>
      <c r="K228" s="83"/>
    </row>
    <row r="229">
      <c r="B229" s="38" t="str">
        <f>IF(A229="","",COUNTIFS('NHẬP ĐƠN'!A:A,A229,'NHẬP ĐƠN'!I:I,"&lt;&gt;Đã xoá"))</f>
        <v/>
      </c>
      <c r="C229" s="38" t="str">
        <f>IF(A229="","",SUMPRODUCT(('NHẬP ĐƠN'!A$2:A$1000=A229)*('NHẬP ĐƠN'!I$2:I$1000&lt;&gt;"Đã xoá")*('NHẬP ĐƠN'!F$2:F$1000)))</f>
        <v/>
      </c>
      <c r="D229" s="11" t="str">
        <f>IF(A229="","",SUMPRODUCT(('NHẬP ĐƠN'!A$2:A$1000=A229)*('NHẬP ĐƠN'!I$2:I$1000&lt;&gt;"Đã xoá")*('NHẬP ĐƠN'!G$2:G$1000)*('NHẬP ĐƠN'!F$2:F$1000)))</f>
        <v/>
      </c>
      <c r="E229" s="11" t="str">
        <f t="shared" si="1"/>
        <v>#DIV/0!</v>
      </c>
      <c r="F229" s="38" t="str">
        <f>IFERROR(VLOOKUP(A229,'NHẬP ĐƠN'!A:J,10,FALSE),"")</f>
        <v/>
      </c>
      <c r="G229" s="38" t="str">
        <f t="shared" si="2"/>
        <v/>
      </c>
      <c r="K229" s="83"/>
    </row>
    <row r="230">
      <c r="B230" s="38" t="str">
        <f>IF(A230="","",COUNTIFS('NHẬP ĐƠN'!A:A,A230,'NHẬP ĐƠN'!I:I,"&lt;&gt;Đã xoá"))</f>
        <v/>
      </c>
      <c r="C230" s="38" t="str">
        <f>IF(A230="","",SUMPRODUCT(('NHẬP ĐƠN'!A$2:A$1000=A230)*('NHẬP ĐƠN'!I$2:I$1000&lt;&gt;"Đã xoá")*('NHẬP ĐƠN'!F$2:F$1000)))</f>
        <v/>
      </c>
      <c r="D230" s="11" t="str">
        <f>IF(A230="","",SUMPRODUCT(('NHẬP ĐƠN'!A$2:A$1000=A230)*('NHẬP ĐƠN'!I$2:I$1000&lt;&gt;"Đã xoá")*('NHẬP ĐƠN'!G$2:G$1000)*('NHẬP ĐƠN'!F$2:F$1000)))</f>
        <v/>
      </c>
      <c r="E230" s="11" t="str">
        <f t="shared" si="1"/>
        <v>#DIV/0!</v>
      </c>
      <c r="F230" s="38" t="str">
        <f>IFERROR(VLOOKUP(A230,'NHẬP ĐƠN'!A:J,10,FALSE),"")</f>
        <v/>
      </c>
      <c r="G230" s="38" t="str">
        <f t="shared" si="2"/>
        <v/>
      </c>
      <c r="K230" s="83"/>
    </row>
    <row r="231">
      <c r="B231" s="38" t="str">
        <f>IF(A231="","",COUNTIFS('NHẬP ĐƠN'!A:A,A231,'NHẬP ĐƠN'!I:I,"&lt;&gt;Đã xoá"))</f>
        <v/>
      </c>
      <c r="C231" s="38" t="str">
        <f>IF(A231="","",SUMPRODUCT(('NHẬP ĐƠN'!A$2:A$1000=A231)*('NHẬP ĐƠN'!I$2:I$1000&lt;&gt;"Đã xoá")*('NHẬP ĐƠN'!F$2:F$1000)))</f>
        <v/>
      </c>
      <c r="D231" s="11" t="str">
        <f>IF(A231="","",SUMPRODUCT(('NHẬP ĐƠN'!A$2:A$1000=A231)*('NHẬP ĐƠN'!I$2:I$1000&lt;&gt;"Đã xoá")*('NHẬP ĐƠN'!G$2:G$1000)*('NHẬP ĐƠN'!F$2:F$1000)))</f>
        <v/>
      </c>
      <c r="E231" s="11" t="str">
        <f t="shared" si="1"/>
        <v>#DIV/0!</v>
      </c>
      <c r="F231" s="38" t="str">
        <f>IFERROR(VLOOKUP(A231,'NHẬP ĐƠN'!A:J,10,FALSE),"")</f>
        <v/>
      </c>
      <c r="G231" s="38" t="str">
        <f t="shared" si="2"/>
        <v/>
      </c>
      <c r="K231" s="83"/>
    </row>
    <row r="232">
      <c r="B232" s="38" t="str">
        <f>IF(A232="","",COUNTIFS('NHẬP ĐƠN'!A:A,A232,'NHẬP ĐƠN'!I:I,"&lt;&gt;Đã xoá"))</f>
        <v/>
      </c>
      <c r="C232" s="38" t="str">
        <f>IF(A232="","",SUMPRODUCT(('NHẬP ĐƠN'!A$2:A$1000=A232)*('NHẬP ĐƠN'!I$2:I$1000&lt;&gt;"Đã xoá")*('NHẬP ĐƠN'!F$2:F$1000)))</f>
        <v/>
      </c>
      <c r="D232" s="11" t="str">
        <f>IF(A232="","",SUMPRODUCT(('NHẬP ĐƠN'!A$2:A$1000=A232)*('NHẬP ĐƠN'!I$2:I$1000&lt;&gt;"Đã xoá")*('NHẬP ĐƠN'!G$2:G$1000)*('NHẬP ĐƠN'!F$2:F$1000)))</f>
        <v/>
      </c>
      <c r="E232" s="11" t="str">
        <f t="shared" si="1"/>
        <v>#DIV/0!</v>
      </c>
      <c r="F232" s="38" t="str">
        <f>IFERROR(VLOOKUP(A232,'NHẬP ĐƠN'!A:J,10,FALSE),"")</f>
        <v/>
      </c>
      <c r="G232" s="38" t="str">
        <f t="shared" si="2"/>
        <v/>
      </c>
      <c r="K232" s="83"/>
    </row>
    <row r="233">
      <c r="B233" s="38" t="str">
        <f>IF(A233="","",COUNTIFS('NHẬP ĐƠN'!A:A,A233,'NHẬP ĐƠN'!I:I,"&lt;&gt;Đã xoá"))</f>
        <v/>
      </c>
      <c r="C233" s="38" t="str">
        <f>IF(A233="","",SUMPRODUCT(('NHẬP ĐƠN'!A$2:A$1000=A233)*('NHẬP ĐƠN'!I$2:I$1000&lt;&gt;"Đã xoá")*('NHẬP ĐƠN'!F$2:F$1000)))</f>
        <v/>
      </c>
      <c r="D233" s="11" t="str">
        <f>IF(A233="","",SUMPRODUCT(('NHẬP ĐƠN'!A$2:A$1000=A233)*('NHẬP ĐƠN'!I$2:I$1000&lt;&gt;"Đã xoá")*('NHẬP ĐƠN'!G$2:G$1000)*('NHẬP ĐƠN'!F$2:F$1000)))</f>
        <v/>
      </c>
      <c r="E233" s="11" t="str">
        <f t="shared" si="1"/>
        <v>#DIV/0!</v>
      </c>
      <c r="F233" s="38" t="str">
        <f>IFERROR(VLOOKUP(A233,'NHẬP ĐƠN'!A:J,10,FALSE),"")</f>
        <v/>
      </c>
      <c r="G233" s="38" t="str">
        <f t="shared" si="2"/>
        <v/>
      </c>
      <c r="H233" s="2" t="s">
        <v>2626</v>
      </c>
      <c r="I233" s="2" t="s">
        <v>2463</v>
      </c>
      <c r="J233" s="2" t="s">
        <v>2627</v>
      </c>
      <c r="K233" s="82" t="s">
        <v>2628</v>
      </c>
      <c r="L233" s="2" t="s">
        <v>2629</v>
      </c>
    </row>
    <row r="234">
      <c r="B234" s="38" t="str">
        <f>IF(A234="","",COUNTIFS('NHẬP ĐƠN'!A:A,A234,'NHẬP ĐƠN'!I:I,"&lt;&gt;Đã xoá"))</f>
        <v/>
      </c>
      <c r="C234" s="38" t="str">
        <f>IF(A234="","",SUMPRODUCT(('NHẬP ĐƠN'!A$2:A$1000=A234)*('NHẬP ĐƠN'!I$2:I$1000&lt;&gt;"Đã xoá")*('NHẬP ĐƠN'!F$2:F$1000)))</f>
        <v/>
      </c>
      <c r="D234" s="11" t="str">
        <f>IF(A234="","",SUMPRODUCT(('NHẬP ĐƠN'!A$2:A$1000=A234)*('NHẬP ĐƠN'!I$2:I$1000&lt;&gt;"Đã xoá")*('NHẬP ĐƠN'!G$2:G$1000)*('NHẬP ĐƠN'!F$2:F$1000)))</f>
        <v/>
      </c>
      <c r="E234" s="11" t="str">
        <f t="shared" si="1"/>
        <v>#DIV/0!</v>
      </c>
      <c r="F234" s="38" t="str">
        <f>IFERROR(VLOOKUP(A234,'NHẬP ĐƠN'!A:J,10,FALSE),"")</f>
        <v/>
      </c>
      <c r="G234" s="38" t="str">
        <f t="shared" si="2"/>
        <v/>
      </c>
      <c r="H234" s="2" t="s">
        <v>2630</v>
      </c>
      <c r="I234" s="2" t="s">
        <v>2631</v>
      </c>
      <c r="J234" s="2" t="s">
        <v>2632</v>
      </c>
      <c r="K234" s="82" t="s">
        <v>2633</v>
      </c>
      <c r="L234" s="2">
        <v>9.030991196E9</v>
      </c>
    </row>
    <row r="235">
      <c r="B235" s="38" t="str">
        <f>IF(A235="","",COUNTIFS('NHẬP ĐƠN'!A:A,A235,'NHẬP ĐƠN'!I:I,"&lt;&gt;Đã xoá"))</f>
        <v/>
      </c>
      <c r="C235" s="38" t="str">
        <f>IF(A235="","",SUMPRODUCT(('NHẬP ĐƠN'!A$2:A$1000=A235)*('NHẬP ĐƠN'!I$2:I$1000&lt;&gt;"Đã xoá")*('NHẬP ĐƠN'!F$2:F$1000)))</f>
        <v/>
      </c>
      <c r="D235" s="11" t="str">
        <f>IF(A235="","",SUMPRODUCT(('NHẬP ĐƠN'!A$2:A$1000=A235)*('NHẬP ĐƠN'!I$2:I$1000&lt;&gt;"Đã xoá")*('NHẬP ĐƠN'!G$2:G$1000)*('NHẬP ĐƠN'!F$2:F$1000)))</f>
        <v/>
      </c>
      <c r="E235" s="11" t="str">
        <f t="shared" si="1"/>
        <v>#DIV/0!</v>
      </c>
      <c r="F235" s="38" t="str">
        <f>IFERROR(VLOOKUP(A235,'NHẬP ĐƠN'!A:J,10,FALSE),"")</f>
        <v/>
      </c>
      <c r="G235" s="38" t="str">
        <f t="shared" si="2"/>
        <v/>
      </c>
      <c r="H235" s="2" t="s">
        <v>2630</v>
      </c>
      <c r="I235" s="2" t="s">
        <v>2631</v>
      </c>
      <c r="J235" s="2" t="s">
        <v>2632</v>
      </c>
      <c r="K235" s="82" t="s">
        <v>2633</v>
      </c>
      <c r="L235" s="2">
        <v>8.080359847E9</v>
      </c>
    </row>
    <row r="236">
      <c r="B236" s="38" t="str">
        <f>IF(A236="","",COUNTIFS('NHẬP ĐƠN'!A:A,A236,'NHẬP ĐƠN'!I:I,"&lt;&gt;Đã xoá"))</f>
        <v/>
      </c>
      <c r="C236" s="38" t="str">
        <f>IF(A236="","",SUMPRODUCT(('NHẬP ĐƠN'!A$2:A$1000=A236)*('NHẬP ĐƠN'!I$2:I$1000&lt;&gt;"Đã xoá")*('NHẬP ĐƠN'!F$2:F$1000)))</f>
        <v/>
      </c>
      <c r="D236" s="11" t="str">
        <f>IF(A236="","",SUMPRODUCT(('NHẬP ĐƠN'!A$2:A$1000=A236)*('NHẬP ĐƠN'!I$2:I$1000&lt;&gt;"Đã xoá")*('NHẬP ĐƠN'!G$2:G$1000)*('NHẬP ĐƠN'!F$2:F$1000)))</f>
        <v/>
      </c>
      <c r="E236" s="11" t="str">
        <f t="shared" si="1"/>
        <v>#DIV/0!</v>
      </c>
      <c r="F236" s="38" t="str">
        <f>IFERROR(VLOOKUP(A236,'NHẬP ĐƠN'!A:J,10,FALSE),"")</f>
        <v/>
      </c>
      <c r="G236" s="38" t="str">
        <f t="shared" si="2"/>
        <v/>
      </c>
      <c r="K236" s="83"/>
    </row>
    <row r="237">
      <c r="B237" s="38" t="str">
        <f>IF(A237="","",COUNTIFS('NHẬP ĐƠN'!A:A,A237,'NHẬP ĐƠN'!I:I,"&lt;&gt;Đã xoá"))</f>
        <v/>
      </c>
      <c r="C237" s="38" t="str">
        <f>IF(A237="","",SUMPRODUCT(('NHẬP ĐƠN'!A$2:A$1000=A237)*('NHẬP ĐƠN'!I$2:I$1000&lt;&gt;"Đã xoá")*('NHẬP ĐƠN'!F$2:F$1000)))</f>
        <v/>
      </c>
      <c r="D237" s="11" t="str">
        <f>IF(A237="","",SUMPRODUCT(('NHẬP ĐƠN'!A$2:A$1000=A237)*('NHẬP ĐƠN'!I$2:I$1000&lt;&gt;"Đã xoá")*('NHẬP ĐƠN'!G$2:G$1000)*('NHẬP ĐƠN'!F$2:F$1000)))</f>
        <v/>
      </c>
      <c r="E237" s="11" t="str">
        <f t="shared" si="1"/>
        <v>#DIV/0!</v>
      </c>
      <c r="F237" s="38" t="str">
        <f>IFERROR(VLOOKUP(A237,'NHẬP ĐƠN'!A:J,10,FALSE),"")</f>
        <v/>
      </c>
      <c r="G237" s="38" t="str">
        <f t="shared" si="2"/>
        <v/>
      </c>
      <c r="K237" s="83"/>
    </row>
    <row r="238">
      <c r="B238" s="38" t="str">
        <f>IF(A238="","",COUNTIFS('NHẬP ĐƠN'!A:A,A238,'NHẬP ĐƠN'!I:I,"&lt;&gt;Đã xoá"))</f>
        <v/>
      </c>
      <c r="C238" s="38" t="str">
        <f>IF(A238="","",SUMPRODUCT(('NHẬP ĐƠN'!A$2:A$1000=A238)*('NHẬP ĐƠN'!I$2:I$1000&lt;&gt;"Đã xoá")*('NHẬP ĐƠN'!F$2:F$1000)))</f>
        <v/>
      </c>
      <c r="D238" s="11" t="str">
        <f>IF(A238="","",SUMPRODUCT(('NHẬP ĐƠN'!A$2:A$1000=A238)*('NHẬP ĐƠN'!I$2:I$1000&lt;&gt;"Đã xoá")*('NHẬP ĐƠN'!G$2:G$1000)*('NHẬP ĐƠN'!F$2:F$1000)))</f>
        <v/>
      </c>
      <c r="E238" s="11" t="str">
        <f t="shared" si="1"/>
        <v>#DIV/0!</v>
      </c>
      <c r="F238" s="38" t="str">
        <f>IFERROR(VLOOKUP(A238,'NHẬP ĐƠN'!A:J,10,FALSE),"")</f>
        <v/>
      </c>
      <c r="G238" s="38" t="str">
        <f t="shared" si="2"/>
        <v/>
      </c>
      <c r="K238" s="83"/>
    </row>
    <row r="239">
      <c r="B239" s="38" t="str">
        <f>IF(A239="","",COUNTIFS('NHẬP ĐƠN'!A:A,A239,'NHẬP ĐƠN'!I:I,"&lt;&gt;Đã xoá"))</f>
        <v/>
      </c>
      <c r="C239" s="38" t="str">
        <f>IF(A239="","",SUMPRODUCT(('NHẬP ĐƠN'!A$2:A$1000=A239)*('NHẬP ĐƠN'!I$2:I$1000&lt;&gt;"Đã xoá")*('NHẬP ĐƠN'!F$2:F$1000)))</f>
        <v/>
      </c>
      <c r="D239" s="11" t="str">
        <f>IF(A239="","",SUMPRODUCT(('NHẬP ĐƠN'!A$2:A$1000=A239)*('NHẬP ĐƠN'!I$2:I$1000&lt;&gt;"Đã xoá")*('NHẬP ĐƠN'!G$2:G$1000)*('NHẬP ĐƠN'!F$2:F$1000)))</f>
        <v/>
      </c>
      <c r="E239" s="11" t="str">
        <f t="shared" si="1"/>
        <v>#DIV/0!</v>
      </c>
      <c r="F239" s="38" t="str">
        <f>IFERROR(VLOOKUP(A239,'NHẬP ĐƠN'!A:J,10,FALSE),"")</f>
        <v/>
      </c>
      <c r="G239" s="38" t="str">
        <f t="shared" si="2"/>
        <v/>
      </c>
      <c r="K239" s="83"/>
    </row>
    <row r="240">
      <c r="B240" s="38" t="str">
        <f>IF(A240="","",COUNTIFS('NHẬP ĐƠN'!A:A,A240,'NHẬP ĐƠN'!I:I,"&lt;&gt;Đã xoá"))</f>
        <v/>
      </c>
      <c r="C240" s="38" t="str">
        <f>IF(A240="","",SUMPRODUCT(('NHẬP ĐƠN'!A$2:A$1000=A240)*('NHẬP ĐƠN'!I$2:I$1000&lt;&gt;"Đã xoá")*('NHẬP ĐƠN'!F$2:F$1000)))</f>
        <v/>
      </c>
      <c r="D240" s="11" t="str">
        <f>IF(A240="","",SUMPRODUCT(('NHẬP ĐƠN'!A$2:A$1000=A240)*('NHẬP ĐƠN'!I$2:I$1000&lt;&gt;"Đã xoá")*('NHẬP ĐƠN'!G$2:G$1000)*('NHẬP ĐƠN'!F$2:F$1000)))</f>
        <v/>
      </c>
      <c r="E240" s="11" t="str">
        <f t="shared" si="1"/>
        <v>#DIV/0!</v>
      </c>
      <c r="F240" s="38" t="str">
        <f>IFERROR(VLOOKUP(A240,'NHẬP ĐƠN'!A:J,10,FALSE),"")</f>
        <v/>
      </c>
      <c r="G240" s="38" t="str">
        <f t="shared" si="2"/>
        <v/>
      </c>
      <c r="K240" s="83"/>
    </row>
    <row r="241">
      <c r="B241" s="38" t="str">
        <f>IF(A241="","",COUNTIFS('NHẬP ĐƠN'!A:A,A241,'NHẬP ĐƠN'!I:I,"&lt;&gt;Đã xoá"))</f>
        <v/>
      </c>
      <c r="C241" s="38" t="str">
        <f>IF(A241="","",SUMPRODUCT(('NHẬP ĐƠN'!A$2:A$1000=A241)*('NHẬP ĐƠN'!I$2:I$1000&lt;&gt;"Đã xoá")*('NHẬP ĐƠN'!F$2:F$1000)))</f>
        <v/>
      </c>
      <c r="D241" s="11" t="str">
        <f>IF(A241="","",SUMPRODUCT(('NHẬP ĐƠN'!A$2:A$1000=A241)*('NHẬP ĐƠN'!I$2:I$1000&lt;&gt;"Đã xoá")*('NHẬP ĐƠN'!G$2:G$1000)*('NHẬP ĐƠN'!F$2:F$1000)))</f>
        <v/>
      </c>
      <c r="E241" s="11" t="str">
        <f t="shared" si="1"/>
        <v>#DIV/0!</v>
      </c>
      <c r="F241" s="38" t="str">
        <f>IFERROR(VLOOKUP(A241,'NHẬP ĐƠN'!A:J,10,FALSE),"")</f>
        <v/>
      </c>
      <c r="G241" s="38" t="str">
        <f t="shared" si="2"/>
        <v/>
      </c>
      <c r="K241" s="83"/>
    </row>
    <row r="242">
      <c r="B242" s="38" t="str">
        <f>IF(A242="","",COUNTIFS('NHẬP ĐƠN'!A:A,A242,'NHẬP ĐƠN'!I:I,"&lt;&gt;Đã xoá"))</f>
        <v/>
      </c>
      <c r="C242" s="38" t="str">
        <f>IF(A242="","",SUMPRODUCT(('NHẬP ĐƠN'!A$2:A$1000=A242)*('NHẬP ĐƠN'!I$2:I$1000&lt;&gt;"Đã xoá")*('NHẬP ĐƠN'!F$2:F$1000)))</f>
        <v/>
      </c>
      <c r="D242" s="11" t="str">
        <f>IF(A242="","",SUMPRODUCT(('NHẬP ĐƠN'!A$2:A$1000=A242)*('NHẬP ĐƠN'!I$2:I$1000&lt;&gt;"Đã xoá")*('NHẬP ĐƠN'!G$2:G$1000)*('NHẬP ĐƠN'!F$2:F$1000)))</f>
        <v/>
      </c>
      <c r="E242" s="11" t="str">
        <f t="shared" si="1"/>
        <v>#DIV/0!</v>
      </c>
      <c r="F242" s="38" t="str">
        <f>IFERROR(VLOOKUP(A242,'NHẬP ĐƠN'!A:J,10,FALSE),"")</f>
        <v/>
      </c>
      <c r="G242" s="38" t="str">
        <f t="shared" si="2"/>
        <v/>
      </c>
      <c r="K242" s="83"/>
    </row>
    <row r="243">
      <c r="B243" s="38" t="str">
        <f>IF(A243="","",COUNTIFS('NHẬP ĐƠN'!A:A,A243,'NHẬP ĐƠN'!I:I,"&lt;&gt;Đã xoá"))</f>
        <v/>
      </c>
      <c r="C243" s="38" t="str">
        <f>IF(A243="","",SUMPRODUCT(('NHẬP ĐƠN'!A$2:A$1000=A243)*('NHẬP ĐƠN'!I$2:I$1000&lt;&gt;"Đã xoá")*('NHẬP ĐƠN'!F$2:F$1000)))</f>
        <v/>
      </c>
      <c r="D243" s="11" t="str">
        <f>IF(A243="","",SUMPRODUCT(('NHẬP ĐƠN'!A$2:A$1000=A243)*('NHẬP ĐƠN'!I$2:I$1000&lt;&gt;"Đã xoá")*('NHẬP ĐƠN'!G$2:G$1000)*('NHẬP ĐƠN'!F$2:F$1000)))</f>
        <v/>
      </c>
      <c r="E243" s="11" t="str">
        <f t="shared" si="1"/>
        <v>#DIV/0!</v>
      </c>
      <c r="F243" s="38" t="str">
        <f>IFERROR(VLOOKUP(A243,'NHẬP ĐƠN'!A:J,10,FALSE),"")</f>
        <v/>
      </c>
      <c r="G243" s="38" t="str">
        <f t="shared" si="2"/>
        <v/>
      </c>
      <c r="K243" s="83"/>
    </row>
    <row r="244">
      <c r="B244" s="38" t="str">
        <f>IF(A244="","",COUNTIFS('NHẬP ĐƠN'!A:A,A244,'NHẬP ĐƠN'!I:I,"&lt;&gt;Đã xoá"))</f>
        <v/>
      </c>
      <c r="C244" s="38" t="str">
        <f>IF(A244="","",SUMPRODUCT(('NHẬP ĐƠN'!A$2:A$1000=A244)*('NHẬP ĐƠN'!I$2:I$1000&lt;&gt;"Đã xoá")*('NHẬP ĐƠN'!F$2:F$1000)))</f>
        <v/>
      </c>
      <c r="D244" s="11" t="str">
        <f>IF(A244="","",SUMPRODUCT(('NHẬP ĐƠN'!A$2:A$1000=A244)*('NHẬP ĐƠN'!I$2:I$1000&lt;&gt;"Đã xoá")*('NHẬP ĐƠN'!G$2:G$1000)*('NHẬP ĐƠN'!F$2:F$1000)))</f>
        <v/>
      </c>
      <c r="E244" s="11" t="str">
        <f t="shared" si="1"/>
        <v>#DIV/0!</v>
      </c>
      <c r="F244" s="38" t="str">
        <f>IFERROR(VLOOKUP(A244,'NHẬP ĐƠN'!A:J,10,FALSE),"")</f>
        <v/>
      </c>
      <c r="G244" s="38" t="str">
        <f t="shared" si="2"/>
        <v/>
      </c>
      <c r="K244" s="83"/>
    </row>
    <row r="245">
      <c r="B245" s="38" t="str">
        <f>IF(A245="","",COUNTIFS('NHẬP ĐƠN'!A:A,A245,'NHẬP ĐƠN'!I:I,"&lt;&gt;Đã xoá"))</f>
        <v/>
      </c>
      <c r="C245" s="38" t="str">
        <f>IF(A245="","",SUMPRODUCT(('NHẬP ĐƠN'!A$2:A$1000=A245)*('NHẬP ĐƠN'!I$2:I$1000&lt;&gt;"Đã xoá")*('NHẬP ĐƠN'!F$2:F$1000)))</f>
        <v/>
      </c>
      <c r="D245" s="11" t="str">
        <f>IF(A245="","",SUMPRODUCT(('NHẬP ĐƠN'!A$2:A$1000=A245)*('NHẬP ĐƠN'!I$2:I$1000&lt;&gt;"Đã xoá")*('NHẬP ĐƠN'!G$2:G$1000)*('NHẬP ĐƠN'!F$2:F$1000)))</f>
        <v/>
      </c>
      <c r="E245" s="11" t="str">
        <f t="shared" si="1"/>
        <v>#DIV/0!</v>
      </c>
      <c r="F245" s="38" t="str">
        <f>IFERROR(VLOOKUP(A245,'NHẬP ĐƠN'!A:J,10,FALSE),"")</f>
        <v/>
      </c>
      <c r="G245" s="38" t="str">
        <f t="shared" si="2"/>
        <v/>
      </c>
      <c r="H245" s="2" t="s">
        <v>2634</v>
      </c>
      <c r="I245" s="2" t="s">
        <v>2463</v>
      </c>
      <c r="J245" s="2" t="s">
        <v>2635</v>
      </c>
      <c r="K245" s="82" t="s">
        <v>2636</v>
      </c>
      <c r="L245" s="2">
        <v>9.030991196E9</v>
      </c>
    </row>
    <row r="246">
      <c r="B246" s="38" t="str">
        <f>IF(A246="","",COUNTIFS('NHẬP ĐƠN'!A:A,A246,'NHẬP ĐƠN'!I:I,"&lt;&gt;Đã xoá"))</f>
        <v/>
      </c>
      <c r="C246" s="38" t="str">
        <f>IF(A246="","",SUMPRODUCT(('NHẬP ĐƠN'!A$2:A$1000=A246)*('NHẬP ĐƠN'!I$2:I$1000&lt;&gt;"Đã xoá")*('NHẬP ĐƠN'!F$2:F$1000)))</f>
        <v/>
      </c>
      <c r="D246" s="11" t="str">
        <f>IF(A246="","",SUMPRODUCT(('NHẬP ĐƠN'!A$2:A$1000=A246)*('NHẬP ĐƠN'!I$2:I$1000&lt;&gt;"Đã xoá")*('NHẬP ĐƠN'!G$2:G$1000)*('NHẬP ĐƠN'!F$2:F$1000)))</f>
        <v/>
      </c>
      <c r="E246" s="11" t="str">
        <f t="shared" si="1"/>
        <v>#DIV/0!</v>
      </c>
      <c r="F246" s="38" t="str">
        <f>IFERROR(VLOOKUP(A246,'NHẬP ĐƠN'!A:J,10,FALSE),"")</f>
        <v/>
      </c>
      <c r="G246" s="38" t="str">
        <f t="shared" si="2"/>
        <v/>
      </c>
      <c r="H246" s="2" t="s">
        <v>2634</v>
      </c>
      <c r="I246" s="2" t="s">
        <v>2463</v>
      </c>
      <c r="J246" s="2" t="s">
        <v>2635</v>
      </c>
      <c r="K246" s="82" t="s">
        <v>2636</v>
      </c>
      <c r="L246" s="2">
        <v>9.030991196E9</v>
      </c>
    </row>
    <row r="247">
      <c r="B247" s="38" t="str">
        <f>IF(A247="","",COUNTIFS('NHẬP ĐƠN'!A:A,A247,'NHẬP ĐƠN'!I:I,"&lt;&gt;Đã xoá"))</f>
        <v/>
      </c>
      <c r="C247" s="38" t="str">
        <f>IF(A247="","",SUMPRODUCT(('NHẬP ĐƠN'!A$2:A$1000=A247)*('NHẬP ĐƠN'!I$2:I$1000&lt;&gt;"Đã xoá")*('NHẬP ĐƠN'!F$2:F$1000)))</f>
        <v/>
      </c>
      <c r="D247" s="11" t="str">
        <f>IF(A247="","",SUMPRODUCT(('NHẬP ĐƠN'!A$2:A$1000=A247)*('NHẬP ĐƠN'!I$2:I$1000&lt;&gt;"Đã xoá")*('NHẬP ĐƠN'!G$2:G$1000)*('NHẬP ĐƠN'!F$2:F$1000)))</f>
        <v/>
      </c>
      <c r="E247" s="11" t="str">
        <f t="shared" si="1"/>
        <v>#DIV/0!</v>
      </c>
      <c r="F247" s="38" t="str">
        <f>IFERROR(VLOOKUP(A247,'NHẬP ĐƠN'!A:J,10,FALSE),"")</f>
        <v/>
      </c>
      <c r="G247" s="38" t="str">
        <f t="shared" si="2"/>
        <v/>
      </c>
      <c r="K247" s="83"/>
    </row>
    <row r="248">
      <c r="B248" s="38" t="str">
        <f>IF(A248="","",COUNTIFS('NHẬP ĐƠN'!A:A,A248,'NHẬP ĐƠN'!I:I,"&lt;&gt;Đã xoá"))</f>
        <v/>
      </c>
      <c r="C248" s="38" t="str">
        <f>IF(A248="","",SUMPRODUCT(('NHẬP ĐƠN'!A$2:A$1000=A248)*('NHẬP ĐƠN'!I$2:I$1000&lt;&gt;"Đã xoá")*('NHẬP ĐƠN'!F$2:F$1000)))</f>
        <v/>
      </c>
      <c r="D248" s="11" t="str">
        <f>IF(A248="","",SUMPRODUCT(('NHẬP ĐƠN'!A$2:A$1000=A248)*('NHẬP ĐƠN'!I$2:I$1000&lt;&gt;"Đã xoá")*('NHẬP ĐƠN'!G$2:G$1000)*('NHẬP ĐƠN'!F$2:F$1000)))</f>
        <v/>
      </c>
      <c r="E248" s="11" t="str">
        <f t="shared" si="1"/>
        <v>#DIV/0!</v>
      </c>
      <c r="F248" s="38" t="str">
        <f>IFERROR(VLOOKUP(A248,'NHẬP ĐƠN'!A:J,10,FALSE),"")</f>
        <v/>
      </c>
      <c r="G248" s="38" t="str">
        <f t="shared" si="2"/>
        <v/>
      </c>
      <c r="H248" s="2" t="s">
        <v>2634</v>
      </c>
      <c r="I248" s="2" t="s">
        <v>2463</v>
      </c>
      <c r="J248" s="2" t="s">
        <v>2635</v>
      </c>
      <c r="K248" s="82" t="s">
        <v>2637</v>
      </c>
    </row>
    <row r="249">
      <c r="B249" s="38" t="str">
        <f>IF(A249="","",COUNTIFS('NHẬP ĐƠN'!A:A,A249,'NHẬP ĐƠN'!I:I,"&lt;&gt;Đã xoá"))</f>
        <v/>
      </c>
      <c r="C249" s="38" t="str">
        <f>IF(A249="","",SUMPRODUCT(('NHẬP ĐƠN'!A$2:A$1000=A249)*('NHẬP ĐƠN'!I$2:I$1000&lt;&gt;"Đã xoá")*('NHẬP ĐƠN'!F$2:F$1000)))</f>
        <v/>
      </c>
      <c r="D249" s="11" t="str">
        <f>IF(A249="","",SUMPRODUCT(('NHẬP ĐƠN'!A$2:A$1000=A249)*('NHẬP ĐƠN'!I$2:I$1000&lt;&gt;"Đã xoá")*('NHẬP ĐƠN'!G$2:G$1000)*('NHẬP ĐƠN'!F$2:F$1000)))</f>
        <v/>
      </c>
      <c r="E249" s="11" t="str">
        <f t="shared" si="1"/>
        <v>#DIV/0!</v>
      </c>
      <c r="F249" s="38" t="str">
        <f>IFERROR(VLOOKUP(A249,'NHẬP ĐƠN'!A:J,10,FALSE),"")</f>
        <v/>
      </c>
      <c r="G249" s="38" t="str">
        <f t="shared" si="2"/>
        <v/>
      </c>
      <c r="K249" s="83"/>
    </row>
    <row r="250">
      <c r="B250" s="38" t="str">
        <f>IF(A250="","",COUNTIFS('NHẬP ĐƠN'!A:A,A250,'NHẬP ĐƠN'!I:I,"&lt;&gt;Đã xoá"))</f>
        <v/>
      </c>
      <c r="C250" s="38" t="str">
        <f>IF(A250="","",SUMPRODUCT(('NHẬP ĐƠN'!A$2:A$1000=A250)*('NHẬP ĐƠN'!I$2:I$1000&lt;&gt;"Đã xoá")*('NHẬP ĐƠN'!F$2:F$1000)))</f>
        <v/>
      </c>
      <c r="D250" s="11" t="str">
        <f>IF(A250="","",SUMPRODUCT(('NHẬP ĐƠN'!A$2:A$1000=A250)*('NHẬP ĐƠN'!I$2:I$1000&lt;&gt;"Đã xoá")*('NHẬP ĐƠN'!G$2:G$1000)*('NHẬP ĐƠN'!F$2:F$1000)))</f>
        <v/>
      </c>
      <c r="E250" s="11" t="str">
        <f t="shared" si="1"/>
        <v>#DIV/0!</v>
      </c>
      <c r="F250" s="38" t="str">
        <f>IFERROR(VLOOKUP(A250,'NHẬP ĐƠN'!A:J,10,FALSE),"")</f>
        <v/>
      </c>
      <c r="G250" s="38" t="str">
        <f t="shared" si="2"/>
        <v/>
      </c>
      <c r="K250" s="83"/>
    </row>
    <row r="251">
      <c r="B251" s="38" t="str">
        <f>IF(A251="","",COUNTIFS('NHẬP ĐƠN'!A:A,A251,'NHẬP ĐƠN'!I:I,"&lt;&gt;Đã xoá"))</f>
        <v/>
      </c>
      <c r="C251" s="38" t="str">
        <f>IF(A251="","",SUMPRODUCT(('NHẬP ĐƠN'!A$2:A$1000=A251)*('NHẬP ĐƠN'!I$2:I$1000&lt;&gt;"Đã xoá")*('NHẬP ĐƠN'!F$2:F$1000)))</f>
        <v/>
      </c>
      <c r="D251" s="11" t="str">
        <f>IF(A251="","",SUMPRODUCT(('NHẬP ĐƠN'!A$2:A$1000=A251)*('NHẬP ĐƠN'!I$2:I$1000&lt;&gt;"Đã xoá")*('NHẬP ĐƠN'!G$2:G$1000)*('NHẬP ĐƠN'!F$2:F$1000)))</f>
        <v/>
      </c>
      <c r="E251" s="11" t="str">
        <f t="shared" si="1"/>
        <v>#DIV/0!</v>
      </c>
      <c r="F251" s="38" t="str">
        <f>IFERROR(VLOOKUP(A251,'NHẬP ĐƠN'!A:J,10,FALSE),"")</f>
        <v/>
      </c>
      <c r="G251" s="38" t="str">
        <f t="shared" si="2"/>
        <v/>
      </c>
      <c r="K251" s="83"/>
    </row>
    <row r="252">
      <c r="B252" s="38" t="str">
        <f>IF(A252="","",COUNTIFS('NHẬP ĐƠN'!A:A,A252,'NHẬP ĐƠN'!I:I,"&lt;&gt;Đã xoá"))</f>
        <v/>
      </c>
      <c r="C252" s="38" t="str">
        <f>IF(A252="","",SUMPRODUCT(('NHẬP ĐƠN'!A$2:A$1000=A252)*('NHẬP ĐƠN'!I$2:I$1000&lt;&gt;"Đã xoá")*('NHẬP ĐƠN'!F$2:F$1000)))</f>
        <v/>
      </c>
      <c r="D252" s="11" t="str">
        <f>IF(A252="","",SUMPRODUCT(('NHẬP ĐƠN'!A$2:A$1000=A252)*('NHẬP ĐƠN'!I$2:I$1000&lt;&gt;"Đã xoá")*('NHẬP ĐƠN'!G$2:G$1000)*('NHẬP ĐƠN'!F$2:F$1000)))</f>
        <v/>
      </c>
      <c r="E252" s="11" t="str">
        <f t="shared" si="1"/>
        <v>#DIV/0!</v>
      </c>
      <c r="F252" s="38" t="str">
        <f>IFERROR(VLOOKUP(A252,'NHẬP ĐƠN'!A:J,10,FALSE),"")</f>
        <v/>
      </c>
      <c r="G252" s="38" t="str">
        <f t="shared" si="2"/>
        <v/>
      </c>
      <c r="K252" s="83"/>
    </row>
    <row r="253">
      <c r="B253" s="38" t="str">
        <f>IF(A253="","",COUNTIFS('NHẬP ĐƠN'!A:A,A253,'NHẬP ĐƠN'!I:I,"&lt;&gt;Đã xoá"))</f>
        <v/>
      </c>
      <c r="C253" s="38" t="str">
        <f>IF(A253="","",SUMPRODUCT(('NHẬP ĐƠN'!A$2:A$1000=A253)*('NHẬP ĐƠN'!I$2:I$1000&lt;&gt;"Đã xoá")*('NHẬP ĐƠN'!F$2:F$1000)))</f>
        <v/>
      </c>
      <c r="D253" s="11" t="str">
        <f>IF(A253="","",SUMPRODUCT(('NHẬP ĐƠN'!A$2:A$1000=A253)*('NHẬP ĐƠN'!I$2:I$1000&lt;&gt;"Đã xoá")*('NHẬP ĐƠN'!G$2:G$1000)*('NHẬP ĐƠN'!F$2:F$1000)))</f>
        <v/>
      </c>
      <c r="E253" s="11" t="str">
        <f t="shared" si="1"/>
        <v>#DIV/0!</v>
      </c>
      <c r="F253" s="38" t="str">
        <f>IFERROR(VLOOKUP(A253,'NHẬP ĐƠN'!A:J,10,FALSE),"")</f>
        <v/>
      </c>
      <c r="G253" s="38" t="str">
        <f t="shared" si="2"/>
        <v/>
      </c>
      <c r="K253" s="83"/>
    </row>
    <row r="254">
      <c r="B254" s="38" t="str">
        <f>IF(A254="","",COUNTIFS('NHẬP ĐƠN'!A:A,A254,'NHẬP ĐƠN'!I:I,"&lt;&gt;Đã xoá"))</f>
        <v/>
      </c>
      <c r="C254" s="38" t="str">
        <f>IF(A254="","",SUMPRODUCT(('NHẬP ĐƠN'!A$2:A$1000=A254)*('NHẬP ĐƠN'!I$2:I$1000&lt;&gt;"Đã xoá")*('NHẬP ĐƠN'!F$2:F$1000)))</f>
        <v/>
      </c>
      <c r="D254" s="11" t="str">
        <f>IF(A254="","",SUMPRODUCT(('NHẬP ĐƠN'!A$2:A$1000=A254)*('NHẬP ĐƠN'!I$2:I$1000&lt;&gt;"Đã xoá")*('NHẬP ĐƠN'!G$2:G$1000)*('NHẬP ĐƠN'!F$2:F$1000)))</f>
        <v/>
      </c>
      <c r="E254" s="11" t="str">
        <f t="shared" si="1"/>
        <v>#DIV/0!</v>
      </c>
      <c r="F254" s="38" t="str">
        <f>IFERROR(VLOOKUP(A254,'NHẬP ĐƠN'!A:J,10,FALSE),"")</f>
        <v/>
      </c>
      <c r="G254" s="38" t="str">
        <f t="shared" si="2"/>
        <v/>
      </c>
      <c r="K254" s="83"/>
    </row>
    <row r="255">
      <c r="B255" s="38" t="str">
        <f>IF(A255="","",COUNTIFS('NHẬP ĐƠN'!A:A,A255,'NHẬP ĐƠN'!I:I,"&lt;&gt;Đã xoá"))</f>
        <v/>
      </c>
      <c r="C255" s="38" t="str">
        <f>IF(A255="","",SUMPRODUCT(('NHẬP ĐƠN'!A$2:A$1000=A255)*('NHẬP ĐƠN'!I$2:I$1000&lt;&gt;"Đã xoá")*('NHẬP ĐƠN'!F$2:F$1000)))</f>
        <v/>
      </c>
      <c r="D255" s="11" t="str">
        <f>IF(A255="","",SUMPRODUCT(('NHẬP ĐƠN'!A$2:A$1000=A255)*('NHẬP ĐƠN'!I$2:I$1000&lt;&gt;"Đã xoá")*('NHẬP ĐƠN'!G$2:G$1000)*('NHẬP ĐƠN'!F$2:F$1000)))</f>
        <v/>
      </c>
      <c r="E255" s="11" t="str">
        <f t="shared" si="1"/>
        <v>#DIV/0!</v>
      </c>
      <c r="F255" s="38" t="str">
        <f>IFERROR(VLOOKUP(A255,'NHẬP ĐƠN'!A:J,10,FALSE),"")</f>
        <v/>
      </c>
      <c r="G255" s="38" t="str">
        <f t="shared" si="2"/>
        <v/>
      </c>
      <c r="K255" s="83"/>
    </row>
    <row r="256">
      <c r="B256" s="38" t="str">
        <f>IF(A256="","",COUNTIFS('NHẬP ĐƠN'!A:A,A256,'NHẬP ĐƠN'!I:I,"&lt;&gt;Đã xoá"))</f>
        <v/>
      </c>
      <c r="C256" s="38" t="str">
        <f>IF(A256="","",SUMPRODUCT(('NHẬP ĐƠN'!A$2:A$1000=A256)*('NHẬP ĐƠN'!I$2:I$1000&lt;&gt;"Đã xoá")*('NHẬP ĐƠN'!F$2:F$1000)))</f>
        <v/>
      </c>
      <c r="D256" s="11" t="str">
        <f>IF(A256="","",SUMPRODUCT(('NHẬP ĐƠN'!A$2:A$1000=A256)*('NHẬP ĐƠN'!I$2:I$1000&lt;&gt;"Đã xoá")*('NHẬP ĐƠN'!G$2:G$1000)*('NHẬP ĐƠN'!F$2:F$1000)))</f>
        <v/>
      </c>
      <c r="E256" s="11" t="str">
        <f t="shared" si="1"/>
        <v>#DIV/0!</v>
      </c>
      <c r="F256" s="38" t="str">
        <f>IFERROR(VLOOKUP(A256,'NHẬP ĐƠN'!A:J,10,FALSE),"")</f>
        <v/>
      </c>
      <c r="G256" s="38" t="str">
        <f t="shared" si="2"/>
        <v/>
      </c>
      <c r="H256" s="2" t="s">
        <v>2638</v>
      </c>
      <c r="I256" s="2" t="s">
        <v>2474</v>
      </c>
      <c r="J256" s="2" t="s">
        <v>2639</v>
      </c>
      <c r="K256" s="82" t="s">
        <v>2640</v>
      </c>
      <c r="L256" s="2">
        <v>9.030991196E9</v>
      </c>
    </row>
    <row r="257">
      <c r="B257" s="38" t="str">
        <f>IF(A257="","",COUNTIFS('NHẬP ĐƠN'!A:A,A257,'NHẬP ĐƠN'!I:I,"&lt;&gt;Đã xoá"))</f>
        <v/>
      </c>
      <c r="C257" s="38" t="str">
        <f>IF(A257="","",SUMPRODUCT(('NHẬP ĐƠN'!A$2:A$1000=A257)*('NHẬP ĐƠN'!I$2:I$1000&lt;&gt;"Đã xoá")*('NHẬP ĐƠN'!F$2:F$1000)))</f>
        <v/>
      </c>
      <c r="D257" s="11" t="str">
        <f>IF(A257="","",SUMPRODUCT(('NHẬP ĐƠN'!A$2:A$1000=A257)*('NHẬP ĐƠN'!I$2:I$1000&lt;&gt;"Đã xoá")*('NHẬP ĐƠN'!G$2:G$1000)*('NHẬP ĐƠN'!F$2:F$1000)))</f>
        <v/>
      </c>
      <c r="E257" s="11" t="str">
        <f t="shared" si="1"/>
        <v>#DIV/0!</v>
      </c>
      <c r="F257" s="38" t="str">
        <f>IFERROR(VLOOKUP(A257,'NHẬP ĐƠN'!A:J,10,FALSE),"")</f>
        <v/>
      </c>
      <c r="G257" s="38" t="str">
        <f t="shared" si="2"/>
        <v/>
      </c>
      <c r="K257" s="83"/>
    </row>
    <row r="258">
      <c r="B258" s="38" t="str">
        <f>IF(A258="","",COUNTIFS('NHẬP ĐƠN'!A:A,A258,'NHẬP ĐƠN'!I:I,"&lt;&gt;Đã xoá"))</f>
        <v/>
      </c>
      <c r="C258" s="38" t="str">
        <f>IF(A258="","",SUMPRODUCT(('NHẬP ĐƠN'!A$2:A$1000=A258)*('NHẬP ĐƠN'!I$2:I$1000&lt;&gt;"Đã xoá")*('NHẬP ĐƠN'!F$2:F$1000)))</f>
        <v/>
      </c>
      <c r="D258" s="11" t="str">
        <f>IF(A258="","",SUMPRODUCT(('NHẬP ĐƠN'!A$2:A$1000=A258)*('NHẬP ĐƠN'!I$2:I$1000&lt;&gt;"Đã xoá")*('NHẬP ĐƠN'!G$2:G$1000)*('NHẬP ĐƠN'!F$2:F$1000)))</f>
        <v/>
      </c>
      <c r="E258" s="11" t="str">
        <f t="shared" si="1"/>
        <v>#DIV/0!</v>
      </c>
      <c r="F258" s="38" t="str">
        <f>IFERROR(VLOOKUP(A258,'NHẬP ĐƠN'!A:J,10,FALSE),"")</f>
        <v/>
      </c>
      <c r="G258" s="38" t="str">
        <f t="shared" si="2"/>
        <v/>
      </c>
      <c r="K258" s="83"/>
    </row>
    <row r="259">
      <c r="B259" s="38" t="str">
        <f>IF(A259="","",COUNTIFS('NHẬP ĐƠN'!A:A,A259,'NHẬP ĐƠN'!I:I,"&lt;&gt;Đã xoá"))</f>
        <v/>
      </c>
      <c r="C259" s="38" t="str">
        <f>IF(A259="","",SUMPRODUCT(('NHẬP ĐƠN'!A$2:A$1000=A259)*('NHẬP ĐƠN'!I$2:I$1000&lt;&gt;"Đã xoá")*('NHẬP ĐƠN'!F$2:F$1000)))</f>
        <v/>
      </c>
      <c r="D259" s="11" t="str">
        <f>IF(A259="","",SUMPRODUCT(('NHẬP ĐƠN'!A$2:A$1000=A259)*('NHẬP ĐƠN'!I$2:I$1000&lt;&gt;"Đã xoá")*('NHẬP ĐƠN'!G$2:G$1000)*('NHẬP ĐƠN'!F$2:F$1000)))</f>
        <v/>
      </c>
      <c r="E259" s="11" t="str">
        <f t="shared" si="1"/>
        <v>#DIV/0!</v>
      </c>
      <c r="F259" s="38" t="str">
        <f>IFERROR(VLOOKUP(A259,'NHẬP ĐƠN'!A:J,10,FALSE),"")</f>
        <v/>
      </c>
      <c r="G259" s="38" t="str">
        <f t="shared" si="2"/>
        <v/>
      </c>
      <c r="K259" s="83"/>
    </row>
    <row r="260">
      <c r="B260" s="38" t="str">
        <f>IF(A260="","",COUNTIFS('NHẬP ĐƠN'!A:A,A260,'NHẬP ĐƠN'!I:I,"&lt;&gt;Đã xoá"))</f>
        <v/>
      </c>
      <c r="C260" s="38" t="str">
        <f>IF(A260="","",SUMPRODUCT(('NHẬP ĐƠN'!A$2:A$1000=A260)*('NHẬP ĐƠN'!I$2:I$1000&lt;&gt;"Đã xoá")*('NHẬP ĐƠN'!F$2:F$1000)))</f>
        <v/>
      </c>
      <c r="D260" s="11" t="str">
        <f>IF(A260="","",SUMPRODUCT(('NHẬP ĐƠN'!A$2:A$1000=A260)*('NHẬP ĐƠN'!I$2:I$1000&lt;&gt;"Đã xoá")*('NHẬP ĐƠN'!G$2:G$1000)*('NHẬP ĐƠN'!F$2:F$1000)))</f>
        <v/>
      </c>
      <c r="E260" s="11" t="str">
        <f t="shared" si="1"/>
        <v>#DIV/0!</v>
      </c>
      <c r="F260" s="38" t="str">
        <f>IFERROR(VLOOKUP(A260,'NHẬP ĐƠN'!A:J,10,FALSE),"")</f>
        <v/>
      </c>
      <c r="G260" s="38" t="str">
        <f t="shared" si="2"/>
        <v/>
      </c>
      <c r="K260" s="83"/>
    </row>
    <row r="261">
      <c r="B261" s="38" t="str">
        <f>IF(A261="","",COUNTIFS('NHẬP ĐƠN'!A:A,A261,'NHẬP ĐƠN'!I:I,"&lt;&gt;Đã xoá"))</f>
        <v/>
      </c>
      <c r="C261" s="38" t="str">
        <f>IF(A261="","",SUMPRODUCT(('NHẬP ĐƠN'!A$2:A$1000=A261)*('NHẬP ĐƠN'!I$2:I$1000&lt;&gt;"Đã xoá")*('NHẬP ĐƠN'!F$2:F$1000)))</f>
        <v/>
      </c>
      <c r="D261" s="11" t="str">
        <f>IF(A261="","",SUMPRODUCT(('NHẬP ĐƠN'!A$2:A$1000=A261)*('NHẬP ĐƠN'!I$2:I$1000&lt;&gt;"Đã xoá")*('NHẬP ĐƠN'!G$2:G$1000)*('NHẬP ĐƠN'!F$2:F$1000)))</f>
        <v/>
      </c>
      <c r="E261" s="11" t="str">
        <f t="shared" si="1"/>
        <v>#DIV/0!</v>
      </c>
      <c r="F261" s="38" t="str">
        <f>IFERROR(VLOOKUP(A261,'NHẬP ĐƠN'!A:J,10,FALSE),"")</f>
        <v/>
      </c>
      <c r="G261" s="38" t="str">
        <f t="shared" si="2"/>
        <v/>
      </c>
      <c r="K261" s="83"/>
    </row>
    <row r="262">
      <c r="B262" s="38" t="str">
        <f>IF(A262="","",COUNTIFS('NHẬP ĐƠN'!A:A,A262,'NHẬP ĐƠN'!I:I,"&lt;&gt;Đã xoá"))</f>
        <v/>
      </c>
      <c r="C262" s="38" t="str">
        <f>IF(A262="","",SUMPRODUCT(('NHẬP ĐƠN'!A$2:A$1000=A262)*('NHẬP ĐƠN'!I$2:I$1000&lt;&gt;"Đã xoá")*('NHẬP ĐƠN'!F$2:F$1000)))</f>
        <v/>
      </c>
      <c r="D262" s="11" t="str">
        <f>IF(A262="","",SUMPRODUCT(('NHẬP ĐƠN'!A$2:A$1000=A262)*('NHẬP ĐƠN'!I$2:I$1000&lt;&gt;"Đã xoá")*('NHẬP ĐƠN'!G$2:G$1000)*('NHẬP ĐƠN'!F$2:F$1000)))</f>
        <v/>
      </c>
      <c r="E262" s="11" t="str">
        <f t="shared" si="1"/>
        <v>#DIV/0!</v>
      </c>
      <c r="F262" s="38" t="str">
        <f>IFERROR(VLOOKUP(A262,'NHẬP ĐƠN'!A:J,10,FALSE),"")</f>
        <v/>
      </c>
      <c r="G262" s="38" t="str">
        <f t="shared" si="2"/>
        <v/>
      </c>
      <c r="K262" s="83"/>
    </row>
    <row r="263">
      <c r="B263" s="38" t="str">
        <f>IF(A263="","",COUNTIFS('NHẬP ĐƠN'!A:A,A263,'NHẬP ĐƠN'!I:I,"&lt;&gt;Đã xoá"))</f>
        <v/>
      </c>
      <c r="C263" s="38" t="str">
        <f>IF(A263="","",SUMPRODUCT(('NHẬP ĐƠN'!A$2:A$1000=A263)*('NHẬP ĐƠN'!I$2:I$1000&lt;&gt;"Đã xoá")*('NHẬP ĐƠN'!F$2:F$1000)))</f>
        <v/>
      </c>
      <c r="D263" s="11" t="str">
        <f>IF(A263="","",SUMPRODUCT(('NHẬP ĐƠN'!A$2:A$1000=A263)*('NHẬP ĐƠN'!I$2:I$1000&lt;&gt;"Đã xoá")*('NHẬP ĐƠN'!G$2:G$1000)*('NHẬP ĐƠN'!F$2:F$1000)))</f>
        <v/>
      </c>
      <c r="E263" s="11" t="str">
        <f t="shared" si="1"/>
        <v>#DIV/0!</v>
      </c>
      <c r="F263" s="38" t="str">
        <f>IFERROR(VLOOKUP(A263,'NHẬP ĐƠN'!A:J,10,FALSE),"")</f>
        <v/>
      </c>
      <c r="G263" s="38" t="str">
        <f t="shared" si="2"/>
        <v/>
      </c>
      <c r="K263" s="83"/>
    </row>
    <row r="264">
      <c r="B264" s="38" t="str">
        <f>IF(A264="","",COUNTIFS('NHẬP ĐƠN'!A:A,A264,'NHẬP ĐƠN'!I:I,"&lt;&gt;Đã xoá"))</f>
        <v/>
      </c>
      <c r="C264" s="38" t="str">
        <f>IF(A264="","",SUMPRODUCT(('NHẬP ĐƠN'!A$2:A$1000=A264)*('NHẬP ĐƠN'!I$2:I$1000&lt;&gt;"Đã xoá")*('NHẬP ĐƠN'!F$2:F$1000)))</f>
        <v/>
      </c>
      <c r="D264" s="11" t="str">
        <f>IF(A264="","",SUMPRODUCT(('NHẬP ĐƠN'!A$2:A$1000=A264)*('NHẬP ĐƠN'!I$2:I$1000&lt;&gt;"Đã xoá")*('NHẬP ĐƠN'!G$2:G$1000)*('NHẬP ĐƠN'!F$2:F$1000)))</f>
        <v/>
      </c>
      <c r="E264" s="11" t="str">
        <f t="shared" si="1"/>
        <v>#DIV/0!</v>
      </c>
      <c r="F264" s="38" t="str">
        <f>IFERROR(VLOOKUP(A264,'NHẬP ĐƠN'!A:J,10,FALSE),"")</f>
        <v/>
      </c>
      <c r="G264" s="38" t="str">
        <f t="shared" si="2"/>
        <v/>
      </c>
      <c r="H264" s="2" t="s">
        <v>2641</v>
      </c>
      <c r="I264" s="2" t="s">
        <v>2558</v>
      </c>
      <c r="J264" s="2" t="s">
        <v>2642</v>
      </c>
      <c r="K264" s="82" t="s">
        <v>2643</v>
      </c>
      <c r="L264" s="2">
        <v>8.040014945E9</v>
      </c>
    </row>
    <row r="265">
      <c r="B265" s="38" t="str">
        <f>IF(A265="","",COUNTIFS('NHẬP ĐƠN'!A:A,A265,'NHẬP ĐƠN'!I:I,"&lt;&gt;Đã xoá"))</f>
        <v/>
      </c>
      <c r="C265" s="38" t="str">
        <f>IF(A265="","",SUMPRODUCT(('NHẬP ĐƠN'!A$2:A$1000=A265)*('NHẬP ĐƠN'!I$2:I$1000&lt;&gt;"Đã xoá")*('NHẬP ĐƠN'!F$2:F$1000)))</f>
        <v/>
      </c>
      <c r="D265" s="11" t="str">
        <f>IF(A265="","",SUMPRODUCT(('NHẬP ĐƠN'!A$2:A$1000=A265)*('NHẬP ĐƠN'!I$2:I$1000&lt;&gt;"Đã xoá")*('NHẬP ĐƠN'!G$2:G$1000)*('NHẬP ĐƠN'!F$2:F$1000)))</f>
        <v/>
      </c>
      <c r="E265" s="11" t="str">
        <f t="shared" si="1"/>
        <v>#DIV/0!</v>
      </c>
      <c r="F265" s="38" t="str">
        <f>IFERROR(VLOOKUP(A265,'NHẬP ĐƠN'!A:J,10,FALSE),"")</f>
        <v/>
      </c>
      <c r="G265" s="38" t="str">
        <f t="shared" si="2"/>
        <v/>
      </c>
      <c r="K265" s="83"/>
    </row>
    <row r="266">
      <c r="B266" s="38" t="str">
        <f>IF(A266="","",COUNTIFS('NHẬP ĐƠN'!A:A,A266,'NHẬP ĐƠN'!I:I,"&lt;&gt;Đã xoá"))</f>
        <v/>
      </c>
      <c r="C266" s="38" t="str">
        <f>IF(A266="","",SUMPRODUCT(('NHẬP ĐƠN'!A$2:A$1000=A266)*('NHẬP ĐƠN'!I$2:I$1000&lt;&gt;"Đã xoá")*('NHẬP ĐƠN'!F$2:F$1000)))</f>
        <v/>
      </c>
      <c r="D266" s="11" t="str">
        <f>IF(A266="","",SUMPRODUCT(('NHẬP ĐƠN'!A$2:A$1000=A266)*('NHẬP ĐƠN'!I$2:I$1000&lt;&gt;"Đã xoá")*('NHẬP ĐƠN'!G$2:G$1000)*('NHẬP ĐƠN'!F$2:F$1000)))</f>
        <v/>
      </c>
      <c r="E266" s="11" t="str">
        <f t="shared" si="1"/>
        <v>#DIV/0!</v>
      </c>
      <c r="F266" s="38" t="str">
        <f>IFERROR(VLOOKUP(A266,'NHẬP ĐƠN'!A:J,10,FALSE),"")</f>
        <v/>
      </c>
      <c r="G266" s="38" t="str">
        <f t="shared" si="2"/>
        <v/>
      </c>
      <c r="H266" s="2" t="s">
        <v>2644</v>
      </c>
      <c r="I266" s="2" t="s">
        <v>2478</v>
      </c>
      <c r="J266" s="2" t="s">
        <v>2645</v>
      </c>
      <c r="K266" s="82" t="s">
        <v>2646</v>
      </c>
      <c r="L266" s="2">
        <v>8.080359847E9</v>
      </c>
    </row>
    <row r="267">
      <c r="B267" s="38" t="str">
        <f>IF(A267="","",COUNTIFS('NHẬP ĐƠN'!A:A,A267,'NHẬP ĐƠN'!I:I,"&lt;&gt;Đã xoá"))</f>
        <v/>
      </c>
      <c r="C267" s="38" t="str">
        <f>IF(A267="","",SUMPRODUCT(('NHẬP ĐƠN'!A$2:A$1000=A267)*('NHẬP ĐƠN'!I$2:I$1000&lt;&gt;"Đã xoá")*('NHẬP ĐƠN'!F$2:F$1000)))</f>
        <v/>
      </c>
      <c r="D267" s="11" t="str">
        <f>IF(A267="","",SUMPRODUCT(('NHẬP ĐƠN'!A$2:A$1000=A267)*('NHẬP ĐƠN'!I$2:I$1000&lt;&gt;"Đã xoá")*('NHẬP ĐƠN'!G$2:G$1000)*('NHẬP ĐƠN'!F$2:F$1000)))</f>
        <v/>
      </c>
      <c r="E267" s="11" t="str">
        <f t="shared" si="1"/>
        <v>#DIV/0!</v>
      </c>
      <c r="F267" s="38" t="str">
        <f>IFERROR(VLOOKUP(A267,'NHẬP ĐƠN'!A:J,10,FALSE),"")</f>
        <v/>
      </c>
      <c r="G267" s="38" t="str">
        <f t="shared" si="2"/>
        <v/>
      </c>
      <c r="K267" s="83"/>
    </row>
    <row r="268">
      <c r="B268" s="38" t="str">
        <f>IF(A268="","",COUNTIFS('NHẬP ĐƠN'!A:A,A268,'NHẬP ĐƠN'!I:I,"&lt;&gt;Đã xoá"))</f>
        <v/>
      </c>
      <c r="C268" s="38" t="str">
        <f>IF(A268="","",SUMPRODUCT(('NHẬP ĐƠN'!A$2:A$1000=A268)*('NHẬP ĐƠN'!I$2:I$1000&lt;&gt;"Đã xoá")*('NHẬP ĐƠN'!F$2:F$1000)))</f>
        <v/>
      </c>
      <c r="D268" s="11" t="str">
        <f>IF(A268="","",SUMPRODUCT(('NHẬP ĐƠN'!A$2:A$1000=A268)*('NHẬP ĐƠN'!I$2:I$1000&lt;&gt;"Đã xoá")*('NHẬP ĐƠN'!G$2:G$1000)*('NHẬP ĐƠN'!F$2:F$1000)))</f>
        <v/>
      </c>
      <c r="E268" s="11" t="str">
        <f t="shared" si="1"/>
        <v>#DIV/0!</v>
      </c>
      <c r="F268" s="38" t="str">
        <f>IFERROR(VLOOKUP(A268,'NHẬP ĐƠN'!A:J,10,FALSE),"")</f>
        <v/>
      </c>
      <c r="G268" s="38" t="str">
        <f t="shared" si="2"/>
        <v/>
      </c>
      <c r="K268" s="83"/>
    </row>
    <row r="269">
      <c r="B269" s="38" t="str">
        <f>IF(A269="","",COUNTIFS('NHẬP ĐƠN'!A:A,A269,'NHẬP ĐƠN'!I:I,"&lt;&gt;Đã xoá"))</f>
        <v/>
      </c>
      <c r="C269" s="38" t="str">
        <f>IF(A269="","",SUMPRODUCT(('NHẬP ĐƠN'!A$2:A$1000=A269)*('NHẬP ĐƠN'!I$2:I$1000&lt;&gt;"Đã xoá")*('NHẬP ĐƠN'!F$2:F$1000)))</f>
        <v/>
      </c>
      <c r="D269" s="11" t="str">
        <f>IF(A269="","",SUMPRODUCT(('NHẬP ĐƠN'!A$2:A$1000=A269)*('NHẬP ĐƠN'!I$2:I$1000&lt;&gt;"Đã xoá")*('NHẬP ĐƠN'!G$2:G$1000)*('NHẬP ĐƠN'!F$2:F$1000)))</f>
        <v/>
      </c>
      <c r="E269" s="11" t="str">
        <f t="shared" si="1"/>
        <v>#DIV/0!</v>
      </c>
      <c r="F269" s="38" t="str">
        <f>IFERROR(VLOOKUP(A269,'NHẬP ĐƠN'!A:J,10,FALSE),"")</f>
        <v/>
      </c>
      <c r="G269" s="38" t="str">
        <f t="shared" si="2"/>
        <v/>
      </c>
      <c r="K269" s="83"/>
    </row>
    <row r="270">
      <c r="B270" s="38" t="str">
        <f>IF(A270="","",COUNTIFS('NHẬP ĐƠN'!A:A,A270,'NHẬP ĐƠN'!I:I,"&lt;&gt;Đã xoá"))</f>
        <v/>
      </c>
      <c r="C270" s="38" t="str">
        <f>IF(A270="","",SUMPRODUCT(('NHẬP ĐƠN'!A$2:A$1000=A270)*('NHẬP ĐƠN'!I$2:I$1000&lt;&gt;"Đã xoá")*('NHẬP ĐƠN'!F$2:F$1000)))</f>
        <v/>
      </c>
      <c r="D270" s="11" t="str">
        <f>IF(A270="","",SUMPRODUCT(('NHẬP ĐƠN'!A$2:A$1000=A270)*('NHẬP ĐƠN'!I$2:I$1000&lt;&gt;"Đã xoá")*('NHẬP ĐƠN'!G$2:G$1000)*('NHẬP ĐƠN'!F$2:F$1000)))</f>
        <v/>
      </c>
      <c r="E270" s="11" t="str">
        <f t="shared" si="1"/>
        <v>#DIV/0!</v>
      </c>
      <c r="F270" s="38" t="str">
        <f>IFERROR(VLOOKUP(A270,'NHẬP ĐƠN'!A:J,10,FALSE),"")</f>
        <v/>
      </c>
      <c r="G270" s="38" t="str">
        <f t="shared" si="2"/>
        <v/>
      </c>
      <c r="K270" s="83"/>
    </row>
    <row r="271">
      <c r="B271" s="38" t="str">
        <f>IF(A271="","",COUNTIFS('NHẬP ĐƠN'!A:A,A271,'NHẬP ĐƠN'!I:I,"&lt;&gt;Đã xoá"))</f>
        <v/>
      </c>
      <c r="C271" s="38" t="str">
        <f>IF(A271="","",SUMPRODUCT(('NHẬP ĐƠN'!A$2:A$1000=A271)*('NHẬP ĐƠN'!I$2:I$1000&lt;&gt;"Đã xoá")*('NHẬP ĐƠN'!F$2:F$1000)))</f>
        <v/>
      </c>
      <c r="D271" s="11" t="str">
        <f>IF(A271="","",SUMPRODUCT(('NHẬP ĐƠN'!A$2:A$1000=A271)*('NHẬP ĐƠN'!I$2:I$1000&lt;&gt;"Đã xoá")*('NHẬP ĐƠN'!G$2:G$1000)*('NHẬP ĐƠN'!F$2:F$1000)))</f>
        <v/>
      </c>
      <c r="E271" s="11" t="str">
        <f t="shared" si="1"/>
        <v>#DIV/0!</v>
      </c>
      <c r="F271" s="38" t="str">
        <f>IFERROR(VLOOKUP(A271,'NHẬP ĐƠN'!A:J,10,FALSE),"")</f>
        <v/>
      </c>
      <c r="G271" s="38" t="str">
        <f t="shared" si="2"/>
        <v/>
      </c>
      <c r="H271" s="2" t="s">
        <v>2647</v>
      </c>
      <c r="I271" s="2" t="s">
        <v>2536</v>
      </c>
      <c r="J271" s="2" t="s">
        <v>2648</v>
      </c>
      <c r="K271" s="82" t="s">
        <v>2649</v>
      </c>
      <c r="L271" s="2">
        <v>9.030991196E9</v>
      </c>
    </row>
    <row r="272">
      <c r="B272" s="38" t="str">
        <f>IF(A272="","",COUNTIFS('NHẬP ĐƠN'!A:A,A272,'NHẬP ĐƠN'!I:I,"&lt;&gt;Đã xoá"))</f>
        <v/>
      </c>
      <c r="C272" s="38" t="str">
        <f>IF(A272="","",SUMPRODUCT(('NHẬP ĐƠN'!A$2:A$1000=A272)*('NHẬP ĐƠN'!I$2:I$1000&lt;&gt;"Đã xoá")*('NHẬP ĐƠN'!F$2:F$1000)))</f>
        <v/>
      </c>
      <c r="D272" s="11" t="str">
        <f>IF(A272="","",SUMPRODUCT(('NHẬP ĐƠN'!A$2:A$1000=A272)*('NHẬP ĐƠN'!I$2:I$1000&lt;&gt;"Đã xoá")*('NHẬP ĐƠN'!G$2:G$1000)*('NHẬP ĐƠN'!F$2:F$1000)))</f>
        <v/>
      </c>
      <c r="E272" s="11" t="str">
        <f t="shared" si="1"/>
        <v>#DIV/0!</v>
      </c>
      <c r="F272" s="38" t="str">
        <f>IFERROR(VLOOKUP(A272,'NHẬP ĐƠN'!A:J,10,FALSE),"")</f>
        <v/>
      </c>
      <c r="G272" s="38" t="str">
        <f t="shared" si="2"/>
        <v/>
      </c>
      <c r="H272" s="2" t="s">
        <v>2650</v>
      </c>
      <c r="I272" s="2" t="s">
        <v>2463</v>
      </c>
      <c r="J272" s="2" t="s">
        <v>2651</v>
      </c>
      <c r="K272" s="82" t="s">
        <v>2652</v>
      </c>
      <c r="L272" s="2">
        <v>9.030991196E9</v>
      </c>
    </row>
    <row r="273">
      <c r="B273" s="38" t="str">
        <f>IF(A273="","",COUNTIFS('NHẬP ĐƠN'!A:A,A273,'NHẬP ĐƠN'!I:I,"&lt;&gt;Đã xoá"))</f>
        <v/>
      </c>
      <c r="C273" s="38" t="str">
        <f>IF(A273="","",SUMPRODUCT(('NHẬP ĐƠN'!A$2:A$1000=A273)*('NHẬP ĐƠN'!I$2:I$1000&lt;&gt;"Đã xoá")*('NHẬP ĐƠN'!F$2:F$1000)))</f>
        <v/>
      </c>
      <c r="D273" s="11" t="str">
        <f>IF(A273="","",SUMPRODUCT(('NHẬP ĐƠN'!A$2:A$1000=A273)*('NHẬP ĐƠN'!I$2:I$1000&lt;&gt;"Đã xoá")*('NHẬP ĐƠN'!G$2:G$1000)*('NHẬP ĐƠN'!F$2:F$1000)))</f>
        <v/>
      </c>
      <c r="E273" s="11" t="str">
        <f t="shared" si="1"/>
        <v>#DIV/0!</v>
      </c>
      <c r="F273" s="38" t="str">
        <f>IFERROR(VLOOKUP(A273,'NHẬP ĐƠN'!A:J,10,FALSE),"")</f>
        <v/>
      </c>
      <c r="G273" s="38" t="str">
        <f t="shared" si="2"/>
        <v/>
      </c>
      <c r="K273" s="83"/>
    </row>
    <row r="274">
      <c r="B274" s="38" t="str">
        <f>IF(A274="","",COUNTIFS('NHẬP ĐƠN'!A:A,A274,'NHẬP ĐƠN'!I:I,"&lt;&gt;Đã xoá"))</f>
        <v/>
      </c>
      <c r="C274" s="38" t="str">
        <f>IF(A274="","",SUMPRODUCT(('NHẬP ĐƠN'!A$2:A$1000=A274)*('NHẬP ĐƠN'!I$2:I$1000&lt;&gt;"Đã xoá")*('NHẬP ĐƠN'!F$2:F$1000)))</f>
        <v/>
      </c>
      <c r="D274" s="11" t="str">
        <f>IF(A274="","",SUMPRODUCT(('NHẬP ĐƠN'!A$2:A$1000=A274)*('NHẬP ĐƠN'!I$2:I$1000&lt;&gt;"Đã xoá")*('NHẬP ĐƠN'!G$2:G$1000)*('NHẬP ĐƠN'!F$2:F$1000)))</f>
        <v/>
      </c>
      <c r="E274" s="11" t="str">
        <f t="shared" si="1"/>
        <v>#DIV/0!</v>
      </c>
      <c r="F274" s="38" t="str">
        <f>IFERROR(VLOOKUP(A274,'NHẬP ĐƠN'!A:J,10,FALSE),"")</f>
        <v/>
      </c>
      <c r="G274" s="38" t="str">
        <f t="shared" si="2"/>
        <v/>
      </c>
      <c r="K274" s="83"/>
    </row>
    <row r="275">
      <c r="B275" s="38" t="str">
        <f>IF(A275="","",COUNTIFS('NHẬP ĐƠN'!A:A,A275,'NHẬP ĐƠN'!I:I,"&lt;&gt;Đã xoá"))</f>
        <v/>
      </c>
      <c r="C275" s="38" t="str">
        <f>IF(A275="","",SUMPRODUCT(('NHẬP ĐƠN'!A$2:A$1000=A275)*('NHẬP ĐƠN'!I$2:I$1000&lt;&gt;"Đã xoá")*('NHẬP ĐƠN'!F$2:F$1000)))</f>
        <v/>
      </c>
      <c r="D275" s="11" t="str">
        <f>IF(A275="","",SUMPRODUCT(('NHẬP ĐƠN'!A$2:A$1000=A275)*('NHẬP ĐƠN'!I$2:I$1000&lt;&gt;"Đã xoá")*('NHẬP ĐƠN'!G$2:G$1000)*('NHẬP ĐƠN'!F$2:F$1000)))</f>
        <v/>
      </c>
      <c r="E275" s="11" t="str">
        <f t="shared" si="1"/>
        <v>#DIV/0!</v>
      </c>
      <c r="F275" s="38" t="str">
        <f>IFERROR(VLOOKUP(A275,'NHẬP ĐƠN'!A:J,10,FALSE),"")</f>
        <v/>
      </c>
      <c r="G275" s="38" t="str">
        <f t="shared" si="2"/>
        <v/>
      </c>
      <c r="K275" s="83"/>
    </row>
    <row r="276">
      <c r="B276" s="38" t="str">
        <f>IF(A276="","",COUNTIFS('NHẬP ĐƠN'!A:A,A276,'NHẬP ĐƠN'!I:I,"&lt;&gt;Đã xoá"))</f>
        <v/>
      </c>
      <c r="C276" s="38" t="str">
        <f>IF(A276="","",SUMPRODUCT(('NHẬP ĐƠN'!A$2:A$1000=A276)*('NHẬP ĐƠN'!I$2:I$1000&lt;&gt;"Đã xoá")*('NHẬP ĐƠN'!F$2:F$1000)))</f>
        <v/>
      </c>
      <c r="D276" s="11" t="str">
        <f>IF(A276="","",SUMPRODUCT(('NHẬP ĐƠN'!A$2:A$1000=A276)*('NHẬP ĐƠN'!I$2:I$1000&lt;&gt;"Đã xoá")*('NHẬP ĐƠN'!G$2:G$1000)*('NHẬP ĐƠN'!F$2:F$1000)))</f>
        <v/>
      </c>
      <c r="E276" s="11" t="str">
        <f t="shared" si="1"/>
        <v>#DIV/0!</v>
      </c>
      <c r="F276" s="38" t="str">
        <f>IFERROR(VLOOKUP(A276,'NHẬP ĐƠN'!A:J,10,FALSE),"")</f>
        <v/>
      </c>
      <c r="G276" s="38" t="str">
        <f t="shared" si="2"/>
        <v/>
      </c>
      <c r="K276" s="83"/>
    </row>
    <row r="277">
      <c r="B277" s="38" t="str">
        <f>IF(A277="","",COUNTIFS('NHẬP ĐƠN'!A:A,A277,'NHẬP ĐƠN'!I:I,"&lt;&gt;Đã xoá"))</f>
        <v/>
      </c>
      <c r="C277" s="38" t="str">
        <f>IF(A277="","",SUMPRODUCT(('NHẬP ĐƠN'!A$2:A$1000=A277)*('NHẬP ĐƠN'!I$2:I$1000&lt;&gt;"Đã xoá")*('NHẬP ĐƠN'!F$2:F$1000)))</f>
        <v/>
      </c>
      <c r="D277" s="11" t="str">
        <f>IF(A277="","",SUMPRODUCT(('NHẬP ĐƠN'!A$2:A$1000=A277)*('NHẬP ĐƠN'!I$2:I$1000&lt;&gt;"Đã xoá")*('NHẬP ĐƠN'!G$2:G$1000)*('NHẬP ĐƠN'!F$2:F$1000)))</f>
        <v/>
      </c>
      <c r="E277" s="11" t="str">
        <f t="shared" si="1"/>
        <v>#DIV/0!</v>
      </c>
      <c r="F277" s="38" t="str">
        <f>IFERROR(VLOOKUP(A277,'NHẬP ĐƠN'!A:J,10,FALSE),"")</f>
        <v/>
      </c>
      <c r="G277" s="38" t="str">
        <f t="shared" si="2"/>
        <v/>
      </c>
      <c r="H277" s="2" t="s">
        <v>2653</v>
      </c>
      <c r="I277" s="2" t="s">
        <v>2654</v>
      </c>
      <c r="J277" s="2" t="s">
        <v>2655</v>
      </c>
      <c r="K277" s="82" t="s">
        <v>2656</v>
      </c>
      <c r="L277" s="2">
        <v>9.030991196E9</v>
      </c>
    </row>
    <row r="278">
      <c r="B278" s="38" t="str">
        <f>IF(A278="","",COUNTIFS('NHẬP ĐƠN'!A:A,A278,'NHẬP ĐƠN'!I:I,"&lt;&gt;Đã xoá"))</f>
        <v/>
      </c>
      <c r="C278" s="38" t="str">
        <f>IF(A278="","",SUMPRODUCT(('NHẬP ĐƠN'!A$2:A$1000=A278)*('NHẬP ĐƠN'!I$2:I$1000&lt;&gt;"Đã xoá")*('NHẬP ĐƠN'!F$2:F$1000)))</f>
        <v/>
      </c>
      <c r="D278" s="11" t="str">
        <f>IF(A278="","",SUMPRODUCT(('NHẬP ĐƠN'!A$2:A$1000=A278)*('NHẬP ĐƠN'!I$2:I$1000&lt;&gt;"Đã xoá")*('NHẬP ĐƠN'!G$2:G$1000)*('NHẬP ĐƠN'!F$2:F$1000)))</f>
        <v/>
      </c>
      <c r="E278" s="11" t="str">
        <f t="shared" si="1"/>
        <v>#DIV/0!</v>
      </c>
      <c r="F278" s="38" t="str">
        <f>IFERROR(VLOOKUP(A278,'NHẬP ĐƠN'!A:J,10,FALSE),"")</f>
        <v/>
      </c>
      <c r="G278" s="38" t="str">
        <f t="shared" si="2"/>
        <v/>
      </c>
      <c r="H278" s="2" t="s">
        <v>2657</v>
      </c>
      <c r="I278" s="2" t="s">
        <v>2474</v>
      </c>
      <c r="J278" s="2" t="s">
        <v>2658</v>
      </c>
      <c r="K278" s="82" t="s">
        <v>2659</v>
      </c>
      <c r="L278" s="2">
        <v>9.030991196E9</v>
      </c>
    </row>
    <row r="279">
      <c r="B279" s="38" t="str">
        <f>IF(A279="","",COUNTIFS('NHẬP ĐƠN'!A:A,A279,'NHẬP ĐƠN'!I:I,"&lt;&gt;Đã xoá"))</f>
        <v/>
      </c>
      <c r="C279" s="38" t="str">
        <f>IF(A279="","",SUMPRODUCT(('NHẬP ĐƠN'!A$2:A$1000=A279)*('NHẬP ĐƠN'!I$2:I$1000&lt;&gt;"Đã xoá")*('NHẬP ĐƠN'!F$2:F$1000)))</f>
        <v/>
      </c>
      <c r="D279" s="11" t="str">
        <f>IF(A279="","",SUMPRODUCT(('NHẬP ĐƠN'!A$2:A$1000=A279)*('NHẬP ĐƠN'!I$2:I$1000&lt;&gt;"Đã xoá")*('NHẬP ĐƠN'!G$2:G$1000)*('NHẬP ĐƠN'!F$2:F$1000)))</f>
        <v/>
      </c>
      <c r="E279" s="11" t="str">
        <f t="shared" si="1"/>
        <v>#DIV/0!</v>
      </c>
      <c r="F279" s="38" t="str">
        <f>IFERROR(VLOOKUP(A279,'NHẬP ĐƠN'!A:J,10,FALSE),"")</f>
        <v/>
      </c>
      <c r="G279" s="38" t="str">
        <f t="shared" si="2"/>
        <v/>
      </c>
      <c r="H279" s="2" t="s">
        <v>2653</v>
      </c>
      <c r="I279" s="2" t="s">
        <v>2654</v>
      </c>
      <c r="J279" s="2" t="s">
        <v>2655</v>
      </c>
      <c r="K279" s="82" t="s">
        <v>2656</v>
      </c>
      <c r="L279" s="2">
        <v>9.030991196E9</v>
      </c>
    </row>
    <row r="280">
      <c r="B280" s="38" t="str">
        <f>IF(A280="","",COUNTIFS('NHẬP ĐƠN'!A:A,A280,'NHẬP ĐƠN'!I:I,"&lt;&gt;Đã xoá"))</f>
        <v/>
      </c>
      <c r="C280" s="38" t="str">
        <f>IF(A280="","",SUMPRODUCT(('NHẬP ĐƠN'!A$2:A$1000=A280)*('NHẬP ĐƠN'!I$2:I$1000&lt;&gt;"Đã xoá")*('NHẬP ĐƠN'!F$2:F$1000)))</f>
        <v/>
      </c>
      <c r="D280" s="11" t="str">
        <f>IF(A280="","",SUMPRODUCT(('NHẬP ĐƠN'!A$2:A$1000=A280)*('NHẬP ĐƠN'!I$2:I$1000&lt;&gt;"Đã xoá")*('NHẬP ĐƠN'!G$2:G$1000)*('NHẬP ĐƠN'!F$2:F$1000)))</f>
        <v/>
      </c>
      <c r="E280" s="11" t="str">
        <f t="shared" si="1"/>
        <v>#DIV/0!</v>
      </c>
      <c r="F280" s="38" t="str">
        <f>IFERROR(VLOOKUP(A280,'NHẬP ĐƠN'!A:J,10,FALSE),"")</f>
        <v/>
      </c>
      <c r="G280" s="38" t="str">
        <f t="shared" si="2"/>
        <v/>
      </c>
      <c r="K280" s="83"/>
    </row>
    <row r="281">
      <c r="B281" s="38" t="str">
        <f>IF(A281="","",COUNTIFS('NHẬP ĐƠN'!A:A,A281,'NHẬP ĐƠN'!I:I,"&lt;&gt;Đã xoá"))</f>
        <v/>
      </c>
      <c r="C281" s="38" t="str">
        <f>IF(A281="","",SUMPRODUCT(('NHẬP ĐƠN'!A$2:A$1000=A281)*('NHẬP ĐƠN'!I$2:I$1000&lt;&gt;"Đã xoá")*('NHẬP ĐƠN'!F$2:F$1000)))</f>
        <v/>
      </c>
      <c r="D281" s="11" t="str">
        <f>IF(A281="","",SUMPRODUCT(('NHẬP ĐƠN'!A$2:A$1000=A281)*('NHẬP ĐƠN'!I$2:I$1000&lt;&gt;"Đã xoá")*('NHẬP ĐƠN'!G$2:G$1000)*('NHẬP ĐƠN'!F$2:F$1000)))</f>
        <v/>
      </c>
      <c r="E281" s="11" t="str">
        <f t="shared" si="1"/>
        <v>#DIV/0!</v>
      </c>
      <c r="F281" s="38" t="str">
        <f>IFERROR(VLOOKUP(A281,'NHẬP ĐƠN'!A:J,10,FALSE),"")</f>
        <v/>
      </c>
      <c r="G281" s="38" t="str">
        <f t="shared" si="2"/>
        <v/>
      </c>
      <c r="K281" s="83"/>
    </row>
    <row r="282">
      <c r="B282" s="38" t="str">
        <f>IF(A282="","",COUNTIFS('NHẬP ĐƠN'!A:A,A282,'NHẬP ĐƠN'!I:I,"&lt;&gt;Đã xoá"))</f>
        <v/>
      </c>
      <c r="C282" s="38" t="str">
        <f>IF(A282="","",SUMPRODUCT(('NHẬP ĐƠN'!A$2:A$1000=A282)*('NHẬP ĐƠN'!I$2:I$1000&lt;&gt;"Đã xoá")*('NHẬP ĐƠN'!F$2:F$1000)))</f>
        <v/>
      </c>
      <c r="D282" s="11" t="str">
        <f>IF(A282="","",SUMPRODUCT(('NHẬP ĐƠN'!A$2:A$1000=A282)*('NHẬP ĐƠN'!I$2:I$1000&lt;&gt;"Đã xoá")*('NHẬP ĐƠN'!G$2:G$1000)*('NHẬP ĐƠN'!F$2:F$1000)))</f>
        <v/>
      </c>
      <c r="E282" s="11" t="str">
        <f t="shared" si="1"/>
        <v>#DIV/0!</v>
      </c>
      <c r="F282" s="38" t="str">
        <f>IFERROR(VLOOKUP(A282,'NHẬP ĐƠN'!A:J,10,FALSE),"")</f>
        <v/>
      </c>
      <c r="G282" s="38" t="str">
        <f t="shared" si="2"/>
        <v/>
      </c>
      <c r="K282" s="83"/>
    </row>
    <row r="283">
      <c r="B283" s="38" t="str">
        <f>IF(A283="","",COUNTIFS('NHẬP ĐƠN'!A:A,A283,'NHẬP ĐƠN'!I:I,"&lt;&gt;Đã xoá"))</f>
        <v/>
      </c>
      <c r="C283" s="38" t="str">
        <f>IF(A283="","",SUMPRODUCT(('NHẬP ĐƠN'!A$2:A$1000=A283)*('NHẬP ĐƠN'!I$2:I$1000&lt;&gt;"Đã xoá")*('NHẬP ĐƠN'!F$2:F$1000)))</f>
        <v/>
      </c>
      <c r="D283" s="11" t="str">
        <f>IF(A283="","",SUMPRODUCT(('NHẬP ĐƠN'!A$2:A$1000=A283)*('NHẬP ĐƠN'!I$2:I$1000&lt;&gt;"Đã xoá")*('NHẬP ĐƠN'!G$2:G$1000)*('NHẬP ĐƠN'!F$2:F$1000)))</f>
        <v/>
      </c>
      <c r="E283" s="11" t="str">
        <f t="shared" si="1"/>
        <v>#DIV/0!</v>
      </c>
      <c r="F283" s="38" t="str">
        <f>IFERROR(VLOOKUP(A283,'NHẬP ĐƠN'!A:J,10,FALSE),"")</f>
        <v/>
      </c>
      <c r="G283" s="38" t="str">
        <f t="shared" si="2"/>
        <v/>
      </c>
      <c r="K283" s="83"/>
    </row>
    <row r="284">
      <c r="B284" s="38" t="str">
        <f>IF(A284="","",COUNTIFS('NHẬP ĐƠN'!A:A,A284,'NHẬP ĐƠN'!I:I,"&lt;&gt;Đã xoá"))</f>
        <v/>
      </c>
      <c r="C284" s="38" t="str">
        <f>IF(A284="","",SUMPRODUCT(('NHẬP ĐƠN'!A$2:A$1000=A284)*('NHẬP ĐƠN'!I$2:I$1000&lt;&gt;"Đã xoá")*('NHẬP ĐƠN'!F$2:F$1000)))</f>
        <v/>
      </c>
      <c r="D284" s="11" t="str">
        <f>IF(A284="","",SUMPRODUCT(('NHẬP ĐƠN'!A$2:A$1000=A284)*('NHẬP ĐƠN'!I$2:I$1000&lt;&gt;"Đã xoá")*('NHẬP ĐƠN'!G$2:G$1000)*('NHẬP ĐƠN'!F$2:F$1000)))</f>
        <v/>
      </c>
      <c r="E284" s="11" t="str">
        <f t="shared" si="1"/>
        <v>#DIV/0!</v>
      </c>
      <c r="F284" s="38" t="str">
        <f>IFERROR(VLOOKUP(A284,'NHẬP ĐƠN'!A:J,10,FALSE),"")</f>
        <v/>
      </c>
      <c r="G284" s="38" t="str">
        <f t="shared" si="2"/>
        <v/>
      </c>
      <c r="H284" s="2" t="s">
        <v>2521</v>
      </c>
      <c r="I284" s="2" t="s">
        <v>2467</v>
      </c>
      <c r="J284" s="2" t="s">
        <v>2471</v>
      </c>
      <c r="K284" s="82" t="s">
        <v>2660</v>
      </c>
      <c r="L284" s="2">
        <v>8.080359847E9</v>
      </c>
    </row>
    <row r="285">
      <c r="B285" s="38" t="str">
        <f>IF(A285="","",COUNTIFS('NHẬP ĐƠN'!A:A,A285,'NHẬP ĐƠN'!I:I,"&lt;&gt;Đã xoá"))</f>
        <v/>
      </c>
      <c r="C285" s="38" t="str">
        <f>IF(A285="","",SUMPRODUCT(('NHẬP ĐƠN'!A$2:A$1000=A285)*('NHẬP ĐƠN'!I$2:I$1000&lt;&gt;"Đã xoá")*('NHẬP ĐƠN'!F$2:F$1000)))</f>
        <v/>
      </c>
      <c r="D285" s="11" t="str">
        <f>IF(A285="","",SUMPRODUCT(('NHẬP ĐƠN'!A$2:A$1000=A285)*('NHẬP ĐƠN'!I$2:I$1000&lt;&gt;"Đã xoá")*('NHẬP ĐƠN'!G$2:G$1000)*('NHẬP ĐƠN'!F$2:F$1000)))</f>
        <v/>
      </c>
      <c r="E285" s="11" t="str">
        <f t="shared" si="1"/>
        <v>#DIV/0!</v>
      </c>
      <c r="F285" s="38" t="str">
        <f>IFERROR(VLOOKUP(A285,'NHẬP ĐƠN'!A:J,10,FALSE),"")</f>
        <v/>
      </c>
      <c r="G285" s="38" t="str">
        <f t="shared" si="2"/>
        <v/>
      </c>
      <c r="K285" s="83"/>
    </row>
    <row r="286">
      <c r="B286" s="38" t="str">
        <f>IF(A286="","",COUNTIFS('NHẬP ĐƠN'!A:A,A286,'NHẬP ĐƠN'!I:I,"&lt;&gt;Đã xoá"))</f>
        <v/>
      </c>
      <c r="C286" s="38" t="str">
        <f>IF(A286="","",SUMPRODUCT(('NHẬP ĐƠN'!A$2:A$1000=A286)*('NHẬP ĐƠN'!I$2:I$1000&lt;&gt;"Đã xoá")*('NHẬP ĐƠN'!F$2:F$1000)))</f>
        <v/>
      </c>
      <c r="D286" s="11" t="str">
        <f>IF(A286="","",SUMPRODUCT(('NHẬP ĐƠN'!A$2:A$1000=A286)*('NHẬP ĐƠN'!I$2:I$1000&lt;&gt;"Đã xoá")*('NHẬP ĐƠN'!G$2:G$1000)*('NHẬP ĐƠN'!F$2:F$1000)))</f>
        <v/>
      </c>
      <c r="E286" s="11" t="str">
        <f t="shared" si="1"/>
        <v>#DIV/0!</v>
      </c>
      <c r="F286" s="38" t="str">
        <f>IFERROR(VLOOKUP(A286,'NHẬP ĐƠN'!A:J,10,FALSE),"")</f>
        <v/>
      </c>
      <c r="G286" s="38" t="str">
        <f t="shared" si="2"/>
        <v/>
      </c>
      <c r="K286" s="83"/>
    </row>
    <row r="287">
      <c r="B287" s="38" t="str">
        <f>IF(A287="","",COUNTIFS('NHẬP ĐƠN'!A:A,A287,'NHẬP ĐƠN'!I:I,"&lt;&gt;Đã xoá"))</f>
        <v/>
      </c>
      <c r="C287" s="38" t="str">
        <f>IF(A287="","",SUMPRODUCT(('NHẬP ĐƠN'!A$2:A$1000=A287)*('NHẬP ĐƠN'!I$2:I$1000&lt;&gt;"Đã xoá")*('NHẬP ĐƠN'!F$2:F$1000)))</f>
        <v/>
      </c>
      <c r="D287" s="11" t="str">
        <f>IF(A287="","",SUMPRODUCT(('NHẬP ĐƠN'!A$2:A$1000=A287)*('NHẬP ĐƠN'!I$2:I$1000&lt;&gt;"Đã xoá")*('NHẬP ĐƠN'!G$2:G$1000)*('NHẬP ĐƠN'!F$2:F$1000)))</f>
        <v/>
      </c>
      <c r="E287" s="11" t="str">
        <f t="shared" si="1"/>
        <v>#DIV/0!</v>
      </c>
      <c r="F287" s="38" t="str">
        <f>IFERROR(VLOOKUP(A287,'NHẬP ĐƠN'!A:J,10,FALSE),"")</f>
        <v/>
      </c>
      <c r="G287" s="38" t="str">
        <f t="shared" si="2"/>
        <v/>
      </c>
      <c r="K287" s="83"/>
    </row>
    <row r="288">
      <c r="B288" s="38" t="str">
        <f>IF(A288="","",COUNTIFS('NHẬP ĐƠN'!A:A,A288,'NHẬP ĐƠN'!I:I,"&lt;&gt;Đã xoá"))</f>
        <v/>
      </c>
      <c r="C288" s="38" t="str">
        <f>IF(A288="","",SUMPRODUCT(('NHẬP ĐƠN'!A$2:A$1000=A288)*('NHẬP ĐƠN'!I$2:I$1000&lt;&gt;"Đã xoá")*('NHẬP ĐƠN'!F$2:F$1000)))</f>
        <v/>
      </c>
      <c r="D288" s="11" t="str">
        <f>IF(A288="","",SUMPRODUCT(('NHẬP ĐƠN'!A$2:A$1000=A288)*('NHẬP ĐƠN'!I$2:I$1000&lt;&gt;"Đã xoá")*('NHẬP ĐƠN'!G$2:G$1000)*('NHẬP ĐƠN'!F$2:F$1000)))</f>
        <v/>
      </c>
      <c r="E288" s="11" t="str">
        <f t="shared" si="1"/>
        <v>#DIV/0!</v>
      </c>
      <c r="F288" s="38" t="str">
        <f>IFERROR(VLOOKUP(A288,'NHẬP ĐƠN'!A:J,10,FALSE),"")</f>
        <v/>
      </c>
      <c r="G288" s="38" t="str">
        <f t="shared" si="2"/>
        <v/>
      </c>
      <c r="K288" s="83"/>
    </row>
    <row r="289">
      <c r="B289" s="38" t="str">
        <f>IF(A289="","",COUNTIFS('NHẬP ĐƠN'!A:A,A289,'NHẬP ĐƠN'!I:I,"&lt;&gt;Đã xoá"))</f>
        <v/>
      </c>
      <c r="C289" s="38" t="str">
        <f>IF(A289="","",SUMPRODUCT(('NHẬP ĐƠN'!A$2:A$1000=A289)*('NHẬP ĐƠN'!I$2:I$1000&lt;&gt;"Đã xoá")*('NHẬP ĐƠN'!F$2:F$1000)))</f>
        <v/>
      </c>
      <c r="D289" s="11" t="str">
        <f>IF(A289="","",SUMPRODUCT(('NHẬP ĐƠN'!A$2:A$1000=A289)*('NHẬP ĐƠN'!I$2:I$1000&lt;&gt;"Đã xoá")*('NHẬP ĐƠN'!G$2:G$1000)*('NHẬP ĐƠN'!F$2:F$1000)))</f>
        <v/>
      </c>
      <c r="E289" s="11" t="str">
        <f t="shared" si="1"/>
        <v>#DIV/0!</v>
      </c>
      <c r="F289" s="38" t="str">
        <f>IFERROR(VLOOKUP(A289,'NHẬP ĐƠN'!A:J,10,FALSE),"")</f>
        <v/>
      </c>
      <c r="G289" s="38" t="str">
        <f t="shared" si="2"/>
        <v/>
      </c>
      <c r="H289" s="2" t="s">
        <v>2661</v>
      </c>
      <c r="I289" s="2" t="s">
        <v>2662</v>
      </c>
      <c r="J289" s="2" t="s">
        <v>2663</v>
      </c>
      <c r="K289" s="82" t="s">
        <v>2664</v>
      </c>
      <c r="L289" s="2">
        <v>9.030991196E9</v>
      </c>
    </row>
    <row r="290">
      <c r="B290" s="38" t="str">
        <f>IF(A290="","",COUNTIFS('NHẬP ĐƠN'!A:A,A290,'NHẬP ĐƠN'!I:I,"&lt;&gt;Đã xoá"))</f>
        <v/>
      </c>
      <c r="C290" s="38" t="str">
        <f>IF(A290="","",SUMPRODUCT(('NHẬP ĐƠN'!A$2:A$1000=A290)*('NHẬP ĐƠN'!I$2:I$1000&lt;&gt;"Đã xoá")*('NHẬP ĐƠN'!F$2:F$1000)))</f>
        <v/>
      </c>
      <c r="D290" s="11" t="str">
        <f>IF(A290="","",SUMPRODUCT(('NHẬP ĐƠN'!A$2:A$1000=A290)*('NHẬP ĐƠN'!I$2:I$1000&lt;&gt;"Đã xoá")*('NHẬP ĐƠN'!G$2:G$1000)*('NHẬP ĐƠN'!F$2:F$1000)))</f>
        <v/>
      </c>
      <c r="E290" s="11" t="str">
        <f t="shared" si="1"/>
        <v>#DIV/0!</v>
      </c>
      <c r="F290" s="38" t="str">
        <f>IFERROR(VLOOKUP(A290,'NHẬP ĐƠN'!A:J,10,FALSE),"")</f>
        <v/>
      </c>
      <c r="G290" s="38" t="str">
        <f t="shared" si="2"/>
        <v/>
      </c>
      <c r="K290" s="83"/>
    </row>
    <row r="291">
      <c r="B291" s="38" t="str">
        <f>IF(A291="","",COUNTIFS('NHẬP ĐƠN'!A:A,A291,'NHẬP ĐƠN'!I:I,"&lt;&gt;Đã xoá"))</f>
        <v/>
      </c>
      <c r="C291" s="38" t="str">
        <f>IF(A291="","",SUMPRODUCT(('NHẬP ĐƠN'!A$2:A$1000=A291)*('NHẬP ĐƠN'!I$2:I$1000&lt;&gt;"Đã xoá")*('NHẬP ĐƠN'!F$2:F$1000)))</f>
        <v/>
      </c>
      <c r="D291" s="11" t="str">
        <f>IF(A291="","",SUMPRODUCT(('NHẬP ĐƠN'!A$2:A$1000=A291)*('NHẬP ĐƠN'!I$2:I$1000&lt;&gt;"Đã xoá")*('NHẬP ĐƠN'!G$2:G$1000)*('NHẬP ĐƠN'!F$2:F$1000)))</f>
        <v/>
      </c>
      <c r="E291" s="11" t="str">
        <f t="shared" si="1"/>
        <v>#DIV/0!</v>
      </c>
      <c r="F291" s="38" t="str">
        <f>IFERROR(VLOOKUP(A291,'NHẬP ĐƠN'!A:J,10,FALSE),"")</f>
        <v/>
      </c>
      <c r="G291" s="38" t="str">
        <f t="shared" si="2"/>
        <v/>
      </c>
      <c r="K291" s="83"/>
    </row>
    <row r="292">
      <c r="B292" s="38" t="str">
        <f>IF(A292="","",COUNTIFS('NHẬP ĐƠN'!A:A,A292,'NHẬP ĐƠN'!I:I,"&lt;&gt;Đã xoá"))</f>
        <v/>
      </c>
      <c r="C292" s="38" t="str">
        <f>IF(A292="","",SUMPRODUCT(('NHẬP ĐƠN'!A$2:A$1000=A292)*('NHẬP ĐƠN'!I$2:I$1000&lt;&gt;"Đã xoá")*('NHẬP ĐƠN'!F$2:F$1000)))</f>
        <v/>
      </c>
      <c r="D292" s="11" t="str">
        <f>IF(A292="","",SUMPRODUCT(('NHẬP ĐƠN'!A$2:A$1000=A292)*('NHẬP ĐƠN'!I$2:I$1000&lt;&gt;"Đã xoá")*('NHẬP ĐƠN'!G$2:G$1000)*('NHẬP ĐƠN'!F$2:F$1000)))</f>
        <v/>
      </c>
      <c r="E292" s="11" t="str">
        <f t="shared" si="1"/>
        <v>#DIV/0!</v>
      </c>
      <c r="F292" s="38" t="str">
        <f>IFERROR(VLOOKUP(A292,'NHẬP ĐƠN'!A:J,10,FALSE),"")</f>
        <v/>
      </c>
      <c r="G292" s="38" t="str">
        <f t="shared" si="2"/>
        <v/>
      </c>
      <c r="K292" s="83"/>
    </row>
    <row r="293">
      <c r="B293" s="38" t="str">
        <f>IF(A293="","",COUNTIFS('NHẬP ĐƠN'!A:A,A293,'NHẬP ĐƠN'!I:I,"&lt;&gt;Đã xoá"))</f>
        <v/>
      </c>
      <c r="C293" s="38" t="str">
        <f>IF(A293="","",SUMPRODUCT(('NHẬP ĐƠN'!A$2:A$1000=A293)*('NHẬP ĐƠN'!I$2:I$1000&lt;&gt;"Đã xoá")*('NHẬP ĐƠN'!F$2:F$1000)))</f>
        <v/>
      </c>
      <c r="D293" s="11" t="str">
        <f>IF(A293="","",SUMPRODUCT(('NHẬP ĐƠN'!A$2:A$1000=A293)*('NHẬP ĐƠN'!I$2:I$1000&lt;&gt;"Đã xoá")*('NHẬP ĐƠN'!G$2:G$1000)*('NHẬP ĐƠN'!F$2:F$1000)))</f>
        <v/>
      </c>
      <c r="E293" s="11" t="str">
        <f t="shared" si="1"/>
        <v>#DIV/0!</v>
      </c>
      <c r="F293" s="38" t="str">
        <f>IFERROR(VLOOKUP(A293,'NHẬP ĐƠN'!A:J,10,FALSE),"")</f>
        <v/>
      </c>
      <c r="G293" s="38" t="str">
        <f t="shared" si="2"/>
        <v/>
      </c>
      <c r="K293" s="83"/>
    </row>
    <row r="294">
      <c r="B294" s="38" t="str">
        <f>IF(A294="","",COUNTIFS('NHẬP ĐƠN'!A:A,A294,'NHẬP ĐƠN'!I:I,"&lt;&gt;Đã xoá"))</f>
        <v/>
      </c>
      <c r="C294" s="38" t="str">
        <f>IF(A294="","",SUMPRODUCT(('NHẬP ĐƠN'!A$2:A$1000=A294)*('NHẬP ĐƠN'!I$2:I$1000&lt;&gt;"Đã xoá")*('NHẬP ĐƠN'!F$2:F$1000)))</f>
        <v/>
      </c>
      <c r="D294" s="11" t="str">
        <f>IF(A294="","",SUMPRODUCT(('NHẬP ĐƠN'!A$2:A$1000=A294)*('NHẬP ĐƠN'!I$2:I$1000&lt;&gt;"Đã xoá")*('NHẬP ĐƠN'!G$2:G$1000)*('NHẬP ĐƠN'!F$2:F$1000)))</f>
        <v/>
      </c>
      <c r="E294" s="11" t="str">
        <f t="shared" si="1"/>
        <v>#DIV/0!</v>
      </c>
      <c r="F294" s="38" t="str">
        <f>IFERROR(VLOOKUP(A294,'NHẬP ĐƠN'!A:J,10,FALSE),"")</f>
        <v/>
      </c>
      <c r="G294" s="38" t="str">
        <f t="shared" si="2"/>
        <v/>
      </c>
      <c r="K294" s="83"/>
    </row>
    <row r="295">
      <c r="B295" s="38" t="str">
        <f>IF(A295="","",COUNTIFS('NHẬP ĐƠN'!A:A,A295,'NHẬP ĐƠN'!I:I,"&lt;&gt;Đã xoá"))</f>
        <v/>
      </c>
      <c r="C295" s="38" t="str">
        <f>IF(A295="","",SUMPRODUCT(('NHẬP ĐƠN'!A$2:A$1000=A295)*('NHẬP ĐƠN'!I$2:I$1000&lt;&gt;"Đã xoá")*('NHẬP ĐƠN'!F$2:F$1000)))</f>
        <v/>
      </c>
      <c r="D295" s="11" t="str">
        <f>IF(A295="","",SUMPRODUCT(('NHẬP ĐƠN'!A$2:A$1000=A295)*('NHẬP ĐƠN'!I$2:I$1000&lt;&gt;"Đã xoá")*('NHẬP ĐƠN'!G$2:G$1000)*('NHẬP ĐƠN'!F$2:F$1000)))</f>
        <v/>
      </c>
      <c r="E295" s="11" t="str">
        <f t="shared" si="1"/>
        <v>#DIV/0!</v>
      </c>
      <c r="F295" s="38" t="str">
        <f>IFERROR(VLOOKUP(A295,'NHẬP ĐƠN'!A:J,10,FALSE),"")</f>
        <v/>
      </c>
      <c r="G295" s="38" t="str">
        <f t="shared" si="2"/>
        <v/>
      </c>
      <c r="H295" s="2" t="s">
        <v>2665</v>
      </c>
      <c r="I295" s="2" t="s">
        <v>2478</v>
      </c>
      <c r="J295" s="2" t="s">
        <v>2666</v>
      </c>
      <c r="K295" s="82" t="s">
        <v>2667</v>
      </c>
      <c r="L295" s="2">
        <v>8.080359847E9</v>
      </c>
    </row>
    <row r="296">
      <c r="B296" s="38" t="str">
        <f>IF(A296="","",COUNTIFS('NHẬP ĐƠN'!A:A,A296,'NHẬP ĐƠN'!I:I,"&lt;&gt;Đã xoá"))</f>
        <v/>
      </c>
      <c r="C296" s="38" t="str">
        <f>IF(A296="","",SUMPRODUCT(('NHẬP ĐƠN'!A$2:A$1000=A296)*('NHẬP ĐƠN'!I$2:I$1000&lt;&gt;"Đã xoá")*('NHẬP ĐƠN'!F$2:F$1000)))</f>
        <v/>
      </c>
      <c r="D296" s="11" t="str">
        <f>IF(A296="","",SUMPRODUCT(('NHẬP ĐƠN'!A$2:A$1000=A296)*('NHẬP ĐƠN'!I$2:I$1000&lt;&gt;"Đã xoá")*('NHẬP ĐƠN'!G$2:G$1000)*('NHẬP ĐƠN'!F$2:F$1000)))</f>
        <v/>
      </c>
      <c r="E296" s="11" t="str">
        <f t="shared" si="1"/>
        <v>#DIV/0!</v>
      </c>
      <c r="F296" s="38" t="str">
        <f>IFERROR(VLOOKUP(A296,'NHẬP ĐƠN'!A:J,10,FALSE),"")</f>
        <v/>
      </c>
      <c r="G296" s="38" t="str">
        <f t="shared" si="2"/>
        <v/>
      </c>
      <c r="K296" s="83"/>
    </row>
    <row r="297">
      <c r="B297" s="38" t="str">
        <f>IF(A297="","",COUNTIFS('NHẬP ĐƠN'!A:A,A297,'NHẬP ĐƠN'!I:I,"&lt;&gt;Đã xoá"))</f>
        <v/>
      </c>
      <c r="C297" s="38" t="str">
        <f>IF(A297="","",SUMPRODUCT(('NHẬP ĐƠN'!A$2:A$1000=A297)*('NHẬP ĐƠN'!I$2:I$1000&lt;&gt;"Đã xoá")*('NHẬP ĐƠN'!F$2:F$1000)))</f>
        <v/>
      </c>
      <c r="D297" s="11" t="str">
        <f>IF(A297="","",SUMPRODUCT(('NHẬP ĐƠN'!A$2:A$1000=A297)*('NHẬP ĐƠN'!I$2:I$1000&lt;&gt;"Đã xoá")*('NHẬP ĐƠN'!G$2:G$1000)*('NHẬP ĐƠN'!F$2:F$1000)))</f>
        <v/>
      </c>
      <c r="E297" s="11" t="str">
        <f t="shared" si="1"/>
        <v>#DIV/0!</v>
      </c>
      <c r="F297" s="38" t="str">
        <f>IFERROR(VLOOKUP(A297,'NHẬP ĐƠN'!A:J,10,FALSE),"")</f>
        <v/>
      </c>
      <c r="G297" s="38" t="str">
        <f t="shared" si="2"/>
        <v/>
      </c>
      <c r="H297" s="2" t="s">
        <v>2665</v>
      </c>
      <c r="I297" s="2" t="s">
        <v>2478</v>
      </c>
      <c r="J297" s="2" t="s">
        <v>2668</v>
      </c>
      <c r="K297" s="82" t="s">
        <v>2669</v>
      </c>
    </row>
    <row r="298">
      <c r="B298" s="38" t="str">
        <f>IF(A298="","",COUNTIFS('NHẬP ĐƠN'!A:A,A298,'NHẬP ĐƠN'!I:I,"&lt;&gt;Đã xoá"))</f>
        <v/>
      </c>
      <c r="C298" s="38" t="str">
        <f>IF(A298="","",SUMPRODUCT(('NHẬP ĐƠN'!A$2:A$1000=A298)*('NHẬP ĐƠN'!I$2:I$1000&lt;&gt;"Đã xoá")*('NHẬP ĐƠN'!F$2:F$1000)))</f>
        <v/>
      </c>
      <c r="D298" s="11" t="str">
        <f>IF(A298="","",SUMPRODUCT(('NHẬP ĐƠN'!A$2:A$1000=A298)*('NHẬP ĐƠN'!I$2:I$1000&lt;&gt;"Đã xoá")*('NHẬP ĐƠN'!G$2:G$1000)*('NHẬP ĐƠN'!F$2:F$1000)))</f>
        <v/>
      </c>
      <c r="E298" s="11" t="str">
        <f t="shared" si="1"/>
        <v>#DIV/0!</v>
      </c>
      <c r="F298" s="38" t="str">
        <f>IFERROR(VLOOKUP(A298,'NHẬP ĐƠN'!A:J,10,FALSE),"")</f>
        <v/>
      </c>
      <c r="G298" s="38" t="str">
        <f t="shared" si="2"/>
        <v/>
      </c>
      <c r="K298" s="83"/>
    </row>
    <row r="299">
      <c r="B299" s="38" t="str">
        <f>IF(A299="","",COUNTIFS('NHẬP ĐƠN'!A:A,A299,'NHẬP ĐƠN'!I:I,"&lt;&gt;Đã xoá"))</f>
        <v/>
      </c>
      <c r="C299" s="38" t="str">
        <f>IF(A299="","",SUMPRODUCT(('NHẬP ĐƠN'!A$2:A$1000=A299)*('NHẬP ĐƠN'!I$2:I$1000&lt;&gt;"Đã xoá")*('NHẬP ĐƠN'!F$2:F$1000)))</f>
        <v/>
      </c>
      <c r="D299" s="11" t="str">
        <f>IF(A299="","",SUMPRODUCT(('NHẬP ĐƠN'!A$2:A$1000=A299)*('NHẬP ĐƠN'!I$2:I$1000&lt;&gt;"Đã xoá")*('NHẬP ĐƠN'!G$2:G$1000)*('NHẬP ĐƠN'!F$2:F$1000)))</f>
        <v/>
      </c>
      <c r="E299" s="11" t="str">
        <f t="shared" si="1"/>
        <v>#DIV/0!</v>
      </c>
      <c r="F299" s="38" t="str">
        <f>IFERROR(VLOOKUP(A299,'NHẬP ĐƠN'!A:J,10,FALSE),"")</f>
        <v/>
      </c>
      <c r="G299" s="38" t="str">
        <f t="shared" si="2"/>
        <v/>
      </c>
      <c r="K299" s="83"/>
    </row>
    <row r="300">
      <c r="B300" s="38" t="str">
        <f>IF(A300="","",COUNTIFS('NHẬP ĐƠN'!A:A,A300,'NHẬP ĐƠN'!I:I,"&lt;&gt;Đã xoá"))</f>
        <v/>
      </c>
      <c r="C300" s="38" t="str">
        <f>IF(A300="","",SUMPRODUCT(('NHẬP ĐƠN'!A$2:A$1000=A300)*('NHẬP ĐƠN'!I$2:I$1000&lt;&gt;"Đã xoá")*('NHẬP ĐƠN'!F$2:F$1000)))</f>
        <v/>
      </c>
      <c r="D300" s="11" t="str">
        <f>IF(A300="","",SUMPRODUCT(('NHẬP ĐƠN'!A$2:A$1000=A300)*('NHẬP ĐƠN'!I$2:I$1000&lt;&gt;"Đã xoá")*('NHẬP ĐƠN'!G$2:G$1000)*('NHẬP ĐƠN'!F$2:F$1000)))</f>
        <v/>
      </c>
      <c r="E300" s="11" t="str">
        <f t="shared" si="1"/>
        <v>#DIV/0!</v>
      </c>
      <c r="F300" s="38" t="str">
        <f>IFERROR(VLOOKUP(A300,'NHẬP ĐƠN'!A:J,10,FALSE),"")</f>
        <v/>
      </c>
      <c r="G300" s="38" t="str">
        <f t="shared" si="2"/>
        <v/>
      </c>
      <c r="K300" s="83"/>
    </row>
    <row r="301">
      <c r="B301" s="38" t="str">
        <f>IF(A301="","",COUNTIFS('NHẬP ĐƠN'!A:A,A301,'NHẬP ĐƠN'!I:I,"&lt;&gt;Đã xoá"))</f>
        <v/>
      </c>
      <c r="C301" s="38" t="str">
        <f>IF(A301="","",SUMPRODUCT(('NHẬP ĐƠN'!A$2:A$1000=A301)*('NHẬP ĐƠN'!I$2:I$1000&lt;&gt;"Đã xoá")*('NHẬP ĐƠN'!F$2:F$1000)))</f>
        <v/>
      </c>
      <c r="D301" s="11" t="str">
        <f>IF(A301="","",SUMPRODUCT(('NHẬP ĐƠN'!A$2:A$1000=A301)*('NHẬP ĐƠN'!I$2:I$1000&lt;&gt;"Đã xoá")*('NHẬP ĐƠN'!G$2:G$1000)*('NHẬP ĐƠN'!F$2:F$1000)))</f>
        <v/>
      </c>
      <c r="E301" s="11" t="str">
        <f t="shared" si="1"/>
        <v>#DIV/0!</v>
      </c>
      <c r="F301" s="38" t="str">
        <f>IFERROR(VLOOKUP(A301,'NHẬP ĐƠN'!A:J,10,FALSE),"")</f>
        <v/>
      </c>
      <c r="G301" s="38" t="str">
        <f t="shared" si="2"/>
        <v/>
      </c>
      <c r="H301" s="2" t="s">
        <v>2670</v>
      </c>
      <c r="I301" s="2" t="s">
        <v>2463</v>
      </c>
      <c r="J301" s="2" t="s">
        <v>2671</v>
      </c>
      <c r="K301" s="82" t="s">
        <v>2672</v>
      </c>
      <c r="L301" s="2">
        <v>7.085090265E9</v>
      </c>
    </row>
    <row r="302">
      <c r="B302" s="38" t="str">
        <f>IF(A302="","",COUNTIFS('NHẬP ĐƠN'!A:A,A302,'NHẬP ĐƠN'!I:I,"&lt;&gt;Đã xoá"))</f>
        <v/>
      </c>
      <c r="C302" s="38" t="str">
        <f>IF(A302="","",SUMPRODUCT(('NHẬP ĐƠN'!A$2:A$1000=A302)*('NHẬP ĐƠN'!I$2:I$1000&lt;&gt;"Đã xoá")*('NHẬP ĐƠN'!F$2:F$1000)))</f>
        <v/>
      </c>
      <c r="D302" s="11" t="str">
        <f>IF(A302="","",SUMPRODUCT(('NHẬP ĐƠN'!A$2:A$1000=A302)*('NHẬP ĐƠN'!I$2:I$1000&lt;&gt;"Đã xoá")*('NHẬP ĐƠN'!G$2:G$1000)*('NHẬP ĐƠN'!F$2:F$1000)))</f>
        <v/>
      </c>
      <c r="E302" s="11" t="str">
        <f t="shared" si="1"/>
        <v>#DIV/0!</v>
      </c>
      <c r="F302" s="38" t="str">
        <f>IFERROR(VLOOKUP(A302,'NHẬP ĐƠN'!A:J,10,FALSE),"")</f>
        <v/>
      </c>
      <c r="G302" s="38" t="str">
        <f t="shared" si="2"/>
        <v/>
      </c>
      <c r="H302" s="2" t="s">
        <v>2670</v>
      </c>
      <c r="I302" s="2" t="s">
        <v>2463</v>
      </c>
      <c r="J302" s="2" t="s">
        <v>2671</v>
      </c>
      <c r="K302" s="82" t="s">
        <v>2672</v>
      </c>
      <c r="L302" s="2">
        <v>7.085090265E9</v>
      </c>
    </row>
    <row r="303">
      <c r="B303" s="38" t="str">
        <f>IF(A303="","",COUNTIFS('NHẬP ĐƠN'!A:A,A303,'NHẬP ĐƠN'!I:I,"&lt;&gt;Đã xoá"))</f>
        <v/>
      </c>
      <c r="C303" s="38" t="str">
        <f>IF(A303="","",SUMPRODUCT(('NHẬP ĐƠN'!A$2:A$1000=A303)*('NHẬP ĐƠN'!I$2:I$1000&lt;&gt;"Đã xoá")*('NHẬP ĐƠN'!F$2:F$1000)))</f>
        <v/>
      </c>
      <c r="D303" s="11" t="str">
        <f>IF(A303="","",SUMPRODUCT(('NHẬP ĐƠN'!A$2:A$1000=A303)*('NHẬP ĐƠN'!I$2:I$1000&lt;&gt;"Đã xoá")*('NHẬP ĐƠN'!G$2:G$1000)*('NHẬP ĐƠN'!F$2:F$1000)))</f>
        <v/>
      </c>
      <c r="E303" s="11" t="str">
        <f t="shared" si="1"/>
        <v>#DIV/0!</v>
      </c>
      <c r="F303" s="38" t="str">
        <f>IFERROR(VLOOKUP(A303,'NHẬP ĐƠN'!A:J,10,FALSE),"")</f>
        <v/>
      </c>
      <c r="G303" s="38" t="str">
        <f t="shared" si="2"/>
        <v/>
      </c>
      <c r="H303" s="2" t="s">
        <v>2673</v>
      </c>
      <c r="I303" s="2" t="s">
        <v>2674</v>
      </c>
      <c r="J303" s="2" t="s">
        <v>2675</v>
      </c>
      <c r="K303" s="82" t="s">
        <v>2676</v>
      </c>
      <c r="L303" s="2">
        <v>9.086151999E9</v>
      </c>
    </row>
    <row r="304">
      <c r="B304" s="38" t="str">
        <f>IF(A304="","",COUNTIFS('NHẬP ĐƠN'!A:A,A304,'NHẬP ĐƠN'!I:I,"&lt;&gt;Đã xoá"))</f>
        <v/>
      </c>
      <c r="C304" s="38" t="str">
        <f>IF(A304="","",SUMPRODUCT(('NHẬP ĐƠN'!A$2:A$1000=A304)*('NHẬP ĐƠN'!I$2:I$1000&lt;&gt;"Đã xoá")*('NHẬP ĐƠN'!F$2:F$1000)))</f>
        <v/>
      </c>
      <c r="D304" s="11" t="str">
        <f>IF(A304="","",SUMPRODUCT(('NHẬP ĐƠN'!A$2:A$1000=A304)*('NHẬP ĐƠN'!I$2:I$1000&lt;&gt;"Đã xoá")*('NHẬP ĐƠN'!G$2:G$1000)*('NHẬP ĐƠN'!F$2:F$1000)))</f>
        <v/>
      </c>
      <c r="E304" s="11" t="str">
        <f t="shared" si="1"/>
        <v>#DIV/0!</v>
      </c>
      <c r="F304" s="38" t="str">
        <f>IFERROR(VLOOKUP(A304,'NHẬP ĐƠN'!A:J,10,FALSE),"")</f>
        <v/>
      </c>
      <c r="G304" s="38" t="str">
        <f t="shared" si="2"/>
        <v/>
      </c>
      <c r="K304" s="83"/>
    </row>
    <row r="305">
      <c r="B305" s="38" t="str">
        <f>IF(A305="","",COUNTIFS('NHẬP ĐƠN'!A:A,A305,'NHẬP ĐƠN'!I:I,"&lt;&gt;Đã xoá"))</f>
        <v/>
      </c>
      <c r="C305" s="38" t="str">
        <f>IF(A305="","",SUMPRODUCT(('NHẬP ĐƠN'!A$2:A$1000=A305)*('NHẬP ĐƠN'!I$2:I$1000&lt;&gt;"Đã xoá")*('NHẬP ĐƠN'!F$2:F$1000)))</f>
        <v/>
      </c>
      <c r="D305" s="11" t="str">
        <f>IF(A305="","",SUMPRODUCT(('NHẬP ĐƠN'!A$2:A$1000=A305)*('NHẬP ĐƠN'!I$2:I$1000&lt;&gt;"Đã xoá")*('NHẬP ĐƠN'!G$2:G$1000)*('NHẬP ĐƠN'!F$2:F$1000)))</f>
        <v/>
      </c>
      <c r="E305" s="11" t="str">
        <f t="shared" si="1"/>
        <v>#DIV/0!</v>
      </c>
      <c r="F305" s="38" t="str">
        <f>IFERROR(VLOOKUP(A305,'NHẬP ĐƠN'!A:J,10,FALSE),"")</f>
        <v/>
      </c>
      <c r="G305" s="38" t="str">
        <f t="shared" si="2"/>
        <v/>
      </c>
      <c r="K305" s="83"/>
    </row>
    <row r="306">
      <c r="B306" s="38" t="str">
        <f>IF(A306="","",COUNTIFS('NHẬP ĐƠN'!A:A,A306,'NHẬP ĐƠN'!I:I,"&lt;&gt;Đã xoá"))</f>
        <v/>
      </c>
      <c r="C306" s="38" t="str">
        <f>IF(A306="","",SUMPRODUCT(('NHẬP ĐƠN'!A$2:A$1000=A306)*('NHẬP ĐƠN'!I$2:I$1000&lt;&gt;"Đã xoá")*('NHẬP ĐƠN'!F$2:F$1000)))</f>
        <v/>
      </c>
      <c r="D306" s="11" t="str">
        <f>IF(A306="","",SUMPRODUCT(('NHẬP ĐƠN'!A$2:A$1000=A306)*('NHẬP ĐƠN'!I$2:I$1000&lt;&gt;"Đã xoá")*('NHẬP ĐƠN'!G$2:G$1000)*('NHẬP ĐƠN'!F$2:F$1000)))</f>
        <v/>
      </c>
      <c r="E306" s="11" t="str">
        <f t="shared" si="1"/>
        <v>#DIV/0!</v>
      </c>
      <c r="F306" s="38" t="str">
        <f>IFERROR(VLOOKUP(A306,'NHẬP ĐƠN'!A:J,10,FALSE),"")</f>
        <v/>
      </c>
      <c r="G306" s="38" t="str">
        <f t="shared" si="2"/>
        <v/>
      </c>
      <c r="K306" s="83"/>
    </row>
    <row r="307">
      <c r="B307" s="38" t="str">
        <f>IF(A307="","",COUNTIFS('NHẬP ĐƠN'!A:A,A307,'NHẬP ĐƠN'!I:I,"&lt;&gt;Đã xoá"))</f>
        <v/>
      </c>
      <c r="C307" s="38" t="str">
        <f>IF(A307="","",SUMPRODUCT(('NHẬP ĐƠN'!A$2:A$1000=A307)*('NHẬP ĐƠN'!I$2:I$1000&lt;&gt;"Đã xoá")*('NHẬP ĐƠN'!F$2:F$1000)))</f>
        <v/>
      </c>
      <c r="D307" s="11" t="str">
        <f>IF(A307="","",SUMPRODUCT(('NHẬP ĐƠN'!A$2:A$1000=A307)*('NHẬP ĐƠN'!I$2:I$1000&lt;&gt;"Đã xoá")*('NHẬP ĐƠN'!G$2:G$1000)*('NHẬP ĐƠN'!F$2:F$1000)))</f>
        <v/>
      </c>
      <c r="E307" s="11" t="str">
        <f t="shared" si="1"/>
        <v>#DIV/0!</v>
      </c>
      <c r="F307" s="38" t="str">
        <f>IFERROR(VLOOKUP(A307,'NHẬP ĐƠN'!A:J,10,FALSE),"")</f>
        <v/>
      </c>
      <c r="G307" s="38" t="str">
        <f t="shared" si="2"/>
        <v/>
      </c>
      <c r="K307" s="83"/>
    </row>
    <row r="308">
      <c r="B308" s="38" t="str">
        <f>IF(A308="","",COUNTIFS('NHẬP ĐƠN'!A:A,A308,'NHẬP ĐƠN'!I:I,"&lt;&gt;Đã xoá"))</f>
        <v/>
      </c>
      <c r="C308" s="38" t="str">
        <f>IF(A308="","",SUMPRODUCT(('NHẬP ĐƠN'!A$2:A$1000=A308)*('NHẬP ĐƠN'!I$2:I$1000&lt;&gt;"Đã xoá")*('NHẬP ĐƠN'!F$2:F$1000)))</f>
        <v/>
      </c>
      <c r="D308" s="11" t="str">
        <f>IF(A308="","",SUMPRODUCT(('NHẬP ĐƠN'!A$2:A$1000=A308)*('NHẬP ĐƠN'!I$2:I$1000&lt;&gt;"Đã xoá")*('NHẬP ĐƠN'!G$2:G$1000)*('NHẬP ĐƠN'!F$2:F$1000)))</f>
        <v/>
      </c>
      <c r="E308" s="11" t="str">
        <f t="shared" si="1"/>
        <v>#DIV/0!</v>
      </c>
      <c r="F308" s="38" t="str">
        <f>IFERROR(VLOOKUP(A308,'NHẬP ĐƠN'!A:J,10,FALSE),"")</f>
        <v/>
      </c>
      <c r="G308" s="38" t="str">
        <f t="shared" si="2"/>
        <v/>
      </c>
      <c r="H308" s="2" t="s">
        <v>2677</v>
      </c>
      <c r="I308" s="2" t="s">
        <v>2463</v>
      </c>
      <c r="J308" s="2" t="s">
        <v>2678</v>
      </c>
      <c r="K308" s="82" t="s">
        <v>2679</v>
      </c>
      <c r="L308" s="2">
        <v>9.027701996E9</v>
      </c>
    </row>
    <row r="309">
      <c r="B309" s="38" t="str">
        <f>IF(A309="","",COUNTIFS('NHẬP ĐƠN'!A:A,A309,'NHẬP ĐƠN'!I:I,"&lt;&gt;Đã xoá"))</f>
        <v/>
      </c>
      <c r="C309" s="38" t="str">
        <f>IF(A309="","",SUMPRODUCT(('NHẬP ĐƠN'!A$2:A$1000=A309)*('NHẬP ĐƠN'!I$2:I$1000&lt;&gt;"Đã xoá")*('NHẬP ĐƠN'!F$2:F$1000)))</f>
        <v/>
      </c>
      <c r="D309" s="11" t="str">
        <f>IF(A309="","",SUMPRODUCT(('NHẬP ĐƠN'!A$2:A$1000=A309)*('NHẬP ĐƠN'!I$2:I$1000&lt;&gt;"Đã xoá")*('NHẬP ĐƠN'!G$2:G$1000)*('NHẬP ĐƠN'!F$2:F$1000)))</f>
        <v/>
      </c>
      <c r="E309" s="11" t="str">
        <f t="shared" si="1"/>
        <v>#DIV/0!</v>
      </c>
      <c r="F309" s="38" t="str">
        <f>IFERROR(VLOOKUP(A309,'NHẬP ĐƠN'!A:J,10,FALSE),"")</f>
        <v/>
      </c>
      <c r="G309" s="38" t="str">
        <f t="shared" si="2"/>
        <v/>
      </c>
      <c r="K309" s="83"/>
    </row>
    <row r="310">
      <c r="B310" s="38" t="str">
        <f>IF(A310="","",COUNTIFS('NHẬP ĐƠN'!A:A,A310,'NHẬP ĐƠN'!I:I,"&lt;&gt;Đã xoá"))</f>
        <v/>
      </c>
      <c r="C310" s="38" t="str">
        <f>IF(A310="","",SUMPRODUCT(('NHẬP ĐƠN'!A$2:A$1000=A310)*('NHẬP ĐƠN'!I$2:I$1000&lt;&gt;"Đã xoá")*('NHẬP ĐƠN'!F$2:F$1000)))</f>
        <v/>
      </c>
      <c r="D310" s="11" t="str">
        <f>IF(A310="","",SUMPRODUCT(('NHẬP ĐƠN'!A$2:A$1000=A310)*('NHẬP ĐƠN'!I$2:I$1000&lt;&gt;"Đã xoá")*('NHẬP ĐƠN'!G$2:G$1000)*('NHẬP ĐƠN'!F$2:F$1000)))</f>
        <v/>
      </c>
      <c r="E310" s="11" t="str">
        <f t="shared" si="1"/>
        <v>#DIV/0!</v>
      </c>
      <c r="F310" s="38" t="str">
        <f>IFERROR(VLOOKUP(A310,'NHẬP ĐƠN'!A:J,10,FALSE),"")</f>
        <v/>
      </c>
      <c r="G310" s="38" t="str">
        <f t="shared" si="2"/>
        <v/>
      </c>
      <c r="K310" s="83"/>
    </row>
    <row r="311">
      <c r="B311" s="38" t="str">
        <f>IF(A311="","",COUNTIFS('NHẬP ĐƠN'!A:A,A311,'NHẬP ĐƠN'!I:I,"&lt;&gt;Đã xoá"))</f>
        <v/>
      </c>
      <c r="C311" s="38" t="str">
        <f>IF(A311="","",SUMPRODUCT(('NHẬP ĐƠN'!A$2:A$1000=A311)*('NHẬP ĐƠN'!I$2:I$1000&lt;&gt;"Đã xoá")*('NHẬP ĐƠN'!F$2:F$1000)))</f>
        <v/>
      </c>
      <c r="D311" s="11" t="str">
        <f>IF(A311="","",SUMPRODUCT(('NHẬP ĐƠN'!A$2:A$1000=A311)*('NHẬP ĐƠN'!I$2:I$1000&lt;&gt;"Đã xoá")*('NHẬP ĐƠN'!G$2:G$1000)*('NHẬP ĐƠN'!F$2:F$1000)))</f>
        <v/>
      </c>
      <c r="E311" s="11" t="str">
        <f t="shared" si="1"/>
        <v>#DIV/0!</v>
      </c>
      <c r="F311" s="38" t="str">
        <f>IFERROR(VLOOKUP(A311,'NHẬP ĐƠN'!A:J,10,FALSE),"")</f>
        <v/>
      </c>
      <c r="G311" s="38" t="str">
        <f t="shared" si="2"/>
        <v/>
      </c>
      <c r="K311" s="83"/>
    </row>
    <row r="312">
      <c r="B312" s="38" t="str">
        <f>IF(A312="","",COUNTIFS('NHẬP ĐƠN'!A:A,A312,'NHẬP ĐƠN'!I:I,"&lt;&gt;Đã xoá"))</f>
        <v/>
      </c>
      <c r="C312" s="38" t="str">
        <f>IF(A312="","",SUMPRODUCT(('NHẬP ĐƠN'!A$2:A$1000=A312)*('NHẬP ĐƠN'!I$2:I$1000&lt;&gt;"Đã xoá")*('NHẬP ĐƠN'!F$2:F$1000)))</f>
        <v/>
      </c>
      <c r="D312" s="11" t="str">
        <f>IF(A312="","",SUMPRODUCT(('NHẬP ĐƠN'!A$2:A$1000=A312)*('NHẬP ĐƠN'!I$2:I$1000&lt;&gt;"Đã xoá")*('NHẬP ĐƠN'!G$2:G$1000)*('NHẬP ĐƠN'!F$2:F$1000)))</f>
        <v/>
      </c>
      <c r="E312" s="11" t="str">
        <f t="shared" si="1"/>
        <v>#DIV/0!</v>
      </c>
      <c r="F312" s="38" t="str">
        <f>IFERROR(VLOOKUP(A312,'NHẬP ĐƠN'!A:J,10,FALSE),"")</f>
        <v/>
      </c>
      <c r="G312" s="38" t="str">
        <f t="shared" si="2"/>
        <v/>
      </c>
      <c r="K312" s="83"/>
    </row>
    <row r="313">
      <c r="A313" s="2" t="s">
        <v>603</v>
      </c>
      <c r="B313" s="38">
        <f>IF(A313="","",COUNTIFS('NHẬP ĐƠN'!A:A,A313,'NHẬP ĐƠN'!I:I,"&lt;&gt;Đã xoá"))</f>
        <v>1</v>
      </c>
      <c r="C313" s="38">
        <f>IF(A313="","",SUMPRODUCT(('NHẬP ĐƠN'!A$2:A$1000=A313)*('NHẬP ĐƠN'!I$2:I$1000&lt;&gt;"Đã xoá")*('NHẬP ĐƠN'!F$2:F$1000)))</f>
        <v>1</v>
      </c>
      <c r="D313" s="11">
        <f>IF(A313="","",SUMPRODUCT(('NHẬP ĐƠN'!A$2:A$1000=A313)*('NHẬP ĐƠN'!I$2:I$1000&lt;&gt;"Đã xoá")*('NHẬP ĐƠN'!G$2:G$1000)*('NHẬP ĐƠN'!F$2:F$1000)))</f>
        <v>1990</v>
      </c>
      <c r="E313" s="11">
        <f t="shared" si="1"/>
        <v>1990</v>
      </c>
      <c r="F313" s="84" t="str">
        <f>IFERROR(VLOOKUP(A313,'NHẬP ĐƠN'!A:J,10,FALSE),"")</f>
        <v>https://www.facebook.com/share/1B1yYxL3UJ/</v>
      </c>
      <c r="G313" s="38" t="str">
        <f t="shared" si="2"/>
        <v>👤 Thường</v>
      </c>
      <c r="H313" s="2" t="s">
        <v>2680</v>
      </c>
      <c r="I313" s="2" t="s">
        <v>2463</v>
      </c>
      <c r="J313" s="2" t="s">
        <v>2681</v>
      </c>
      <c r="K313" s="82" t="s">
        <v>2682</v>
      </c>
    </row>
    <row r="314">
      <c r="A314" s="2" t="s">
        <v>621</v>
      </c>
      <c r="B314" s="38">
        <f>IF(A314="","",COUNTIFS('NHẬP ĐƠN'!A:A,A314,'NHẬP ĐƠN'!I:I,"&lt;&gt;Đã xoá"))</f>
        <v>0</v>
      </c>
      <c r="C314" s="38">
        <f>IF(A314="","",SUMPRODUCT(('NHẬP ĐƠN'!A$2:A$1000=A314)*('NHẬP ĐƠN'!I$2:I$1000&lt;&gt;"Đã xoá")*('NHẬP ĐƠN'!F$2:F$1000)))</f>
        <v>0</v>
      </c>
      <c r="D314" s="11">
        <f>IF(A314="","",SUMPRODUCT(('NHẬP ĐƠN'!A$2:A$1000=A314)*('NHẬP ĐƠN'!I$2:I$1000&lt;&gt;"Đã xoá")*('NHẬP ĐƠN'!G$2:G$1000)*('NHẬP ĐƠN'!F$2:F$1000)))</f>
        <v>0</v>
      </c>
      <c r="E314" s="11" t="str">
        <f t="shared" si="1"/>
        <v/>
      </c>
      <c r="F314" s="84" t="str">
        <f>IFERROR(VLOOKUP(A314,'NHẬP ĐƠN'!A:J,10,FALSE),"")</f>
        <v>https://www.facebook.com/share/18VPhC7aPt/</v>
      </c>
      <c r="G314" s="38" t="str">
        <f t="shared" si="2"/>
        <v>👤 Thường</v>
      </c>
      <c r="H314" s="2" t="s">
        <v>2683</v>
      </c>
      <c r="I314" s="2" t="s">
        <v>2684</v>
      </c>
      <c r="J314" s="2" t="s">
        <v>2685</v>
      </c>
      <c r="K314" s="82" t="s">
        <v>2686</v>
      </c>
    </row>
    <row r="315">
      <c r="A315" s="2" t="s">
        <v>644</v>
      </c>
      <c r="B315" s="38">
        <f>IF(A315="","",COUNTIFS('NHẬP ĐƠN'!A:A,A315,'NHẬP ĐƠN'!I:I,"&lt;&gt;Đã xoá"))</f>
        <v>1</v>
      </c>
      <c r="C315" s="38">
        <f>IF(A315="","",SUMPRODUCT(('NHẬP ĐƠN'!A$2:A$1000=A315)*('NHẬP ĐƠN'!I$2:I$1000&lt;&gt;"Đã xoá")*('NHẬP ĐƠN'!F$2:F$1000)))</f>
        <v>1</v>
      </c>
      <c r="D315" s="11">
        <f>IF(A315="","",SUMPRODUCT(('NHẬP ĐƠN'!A$2:A$1000=A315)*('NHẬP ĐƠN'!I$2:I$1000&lt;&gt;"Đã xoá")*('NHẬP ĐƠN'!G$2:G$1000)*('NHẬP ĐƠN'!F$2:F$1000)))</f>
        <v>1990</v>
      </c>
      <c r="E315" s="11">
        <f t="shared" si="1"/>
        <v>1990</v>
      </c>
      <c r="F315" s="84" t="str">
        <f>IFERROR(VLOOKUP(A315,'NHẬP ĐƠN'!A:J,10,FALSE),"")</f>
        <v>https://www.facebook.com/share/18VM4WJPV7/</v>
      </c>
      <c r="G315" s="38" t="str">
        <f t="shared" si="2"/>
        <v>👤 Thường</v>
      </c>
      <c r="H315" s="2" t="s">
        <v>2687</v>
      </c>
      <c r="I315" s="2" t="s">
        <v>2474</v>
      </c>
      <c r="J315" s="2" t="s">
        <v>2688</v>
      </c>
      <c r="K315" s="82" t="s">
        <v>2689</v>
      </c>
    </row>
    <row r="316">
      <c r="A316" s="2" t="s">
        <v>665</v>
      </c>
      <c r="B316" s="38">
        <f>IF(A316="","",COUNTIFS('NHẬP ĐƠN'!A:A,A316,'NHẬP ĐƠN'!I:I,"&lt;&gt;Đã xoá"))</f>
        <v>5</v>
      </c>
      <c r="C316" s="38">
        <f>IF(A316="","",SUMPRODUCT(('NHẬP ĐƠN'!A$2:A$1000=A316)*('NHẬP ĐƠN'!I$2:I$1000&lt;&gt;"Đã xoá")*('NHẬP ĐƠN'!F$2:F$1000)))</f>
        <v>1</v>
      </c>
      <c r="D316" s="11">
        <f>IF(A316="","",SUMPRODUCT(('NHẬP ĐƠN'!A$2:A$1000=A316)*('NHẬP ĐƠN'!I$2:I$1000&lt;&gt;"Đã xoá")*('NHẬP ĐƠN'!G$2:G$1000)*('NHẬP ĐƠN'!F$2:F$1000)))</f>
        <v>1990</v>
      </c>
      <c r="E316" s="11">
        <f t="shared" si="1"/>
        <v>398</v>
      </c>
      <c r="F316" s="84" t="str">
        <f>IFERROR(VLOOKUP(A316,'NHẬP ĐƠN'!A:J,10,FALSE),"")</f>
        <v>https://www.facebook.com/share/1AYsczqjVa/</v>
      </c>
      <c r="G316" s="38" t="str">
        <f t="shared" si="2"/>
        <v>⭐ VIP</v>
      </c>
      <c r="H316" s="2" t="s">
        <v>2690</v>
      </c>
      <c r="I316" s="2" t="s">
        <v>2691</v>
      </c>
      <c r="J316" s="2" t="s">
        <v>2692</v>
      </c>
      <c r="K316" s="82" t="s">
        <v>2693</v>
      </c>
      <c r="M316" s="12" t="s">
        <v>666</v>
      </c>
    </row>
    <row r="317">
      <c r="A317" s="2" t="s">
        <v>686</v>
      </c>
      <c r="B317" s="38">
        <f>IF(A317="","",COUNTIFS('NHẬP ĐƠN'!A:A,A317,'NHẬP ĐƠN'!I:I,"&lt;&gt;Đã xoá"))</f>
        <v>1</v>
      </c>
      <c r="C317" s="38">
        <f>IF(A317="","",SUMPRODUCT(('NHẬP ĐƠN'!A$2:A$1000=A317)*('NHẬP ĐƠN'!I$2:I$1000&lt;&gt;"Đã xoá")*('NHẬP ĐƠN'!F$2:F$1000)))</f>
        <v>1</v>
      </c>
      <c r="D317" s="11">
        <f>IF(A317="","",SUMPRODUCT(('NHẬP ĐƠN'!A$2:A$1000=A317)*('NHẬP ĐƠN'!I$2:I$1000&lt;&gt;"Đã xoá")*('NHẬP ĐƠN'!G$2:G$1000)*('NHẬP ĐƠN'!F$2:F$1000)))</f>
        <v>1990</v>
      </c>
      <c r="E317" s="11">
        <f t="shared" si="1"/>
        <v>1990</v>
      </c>
      <c r="F317" s="84" t="str">
        <f>IFERROR(VLOOKUP(A317,'NHẬP ĐƠN'!A:J,10,FALSE),"")</f>
        <v>https://www.facebook.com/kim.a.kimanh</v>
      </c>
      <c r="G317" s="38" t="str">
        <f t="shared" si="2"/>
        <v>👤 Thường</v>
      </c>
      <c r="H317" s="2" t="s">
        <v>2694</v>
      </c>
      <c r="I317" s="2" t="s">
        <v>2463</v>
      </c>
      <c r="J317" s="2" t="s">
        <v>2695</v>
      </c>
      <c r="K317" s="82" t="s">
        <v>2696</v>
      </c>
    </row>
    <row r="318">
      <c r="A318" s="2" t="s">
        <v>503</v>
      </c>
      <c r="B318" s="38">
        <f>IF(A318="","",COUNTIFS('NHẬP ĐƠN'!A:A,A318,'NHẬP ĐƠN'!I:I,"&lt;&gt;Đã xoá"))</f>
        <v>2</v>
      </c>
      <c r="C318" s="38">
        <f>IF(A318="","",SUMPRODUCT(('NHẬP ĐƠN'!A$2:A$1000=A318)*('NHẬP ĐƠN'!I$2:I$1000&lt;&gt;"Đã xoá")*('NHẬP ĐƠN'!F$2:F$1000)))</f>
        <v>1</v>
      </c>
      <c r="D318" s="11">
        <f>IF(A318="","",SUMPRODUCT(('NHẬP ĐƠN'!A$2:A$1000=A318)*('NHẬP ĐƠN'!I$2:I$1000&lt;&gt;"Đã xoá")*('NHẬP ĐƠN'!G$2:G$1000)*('NHẬP ĐƠN'!F$2:F$1000)))</f>
        <v>1200</v>
      </c>
      <c r="E318" s="11">
        <f t="shared" si="1"/>
        <v>600</v>
      </c>
      <c r="F318" s="84" t="str">
        <f>IFERROR(VLOOKUP(A318,'NHẬP ĐƠN'!A:J,10,FALSE),"")</f>
        <v>https://www.facebook.com/share/1HWfxHb49P/</v>
      </c>
      <c r="G318" s="38" t="str">
        <f t="shared" si="2"/>
        <v>👤 Thường</v>
      </c>
      <c r="H318" s="2" t="s">
        <v>2697</v>
      </c>
      <c r="I318" s="2" t="s">
        <v>2698</v>
      </c>
      <c r="J318" s="2" t="s">
        <v>2699</v>
      </c>
      <c r="K318" s="82" t="s">
        <v>2700</v>
      </c>
      <c r="L318" s="2">
        <v>9.030991196E9</v>
      </c>
    </row>
    <row r="319">
      <c r="A319" s="2" t="s">
        <v>884</v>
      </c>
      <c r="B319" s="38">
        <f>IF(A319="","",COUNTIFS('NHẬP ĐƠN'!A:A,A319,'NHẬP ĐƠN'!I:I,"&lt;&gt;Đã xoá"))</f>
        <v>1</v>
      </c>
      <c r="C319" s="38">
        <f>IF(A319="","",SUMPRODUCT(('NHẬP ĐƠN'!A$2:A$1000=A319)*('NHẬP ĐƠN'!I$2:I$1000&lt;&gt;"Đã xoá")*('NHẬP ĐƠN'!F$2:F$1000)))</f>
        <v>0</v>
      </c>
      <c r="D319" s="11">
        <f>IF(A319="","",SUMPRODUCT(('NHẬP ĐƠN'!A$2:A$1000=A319)*('NHẬP ĐƠN'!I$2:I$1000&lt;&gt;"Đã xoá")*('NHẬP ĐƠN'!G$2:G$1000)*('NHẬP ĐƠN'!F$2:F$1000)))</f>
        <v>0</v>
      </c>
      <c r="E319" s="11">
        <f t="shared" si="1"/>
        <v>0</v>
      </c>
      <c r="F319" s="84" t="str">
        <f>IFERROR(VLOOKUP(A319,'NHẬP ĐƠN'!A:J,10,FALSE),"")</f>
        <v>https://www.facebook.com/share/1GTDhFjN3n/</v>
      </c>
      <c r="G319" s="38" t="str">
        <f t="shared" si="2"/>
        <v>👤 Thường</v>
      </c>
      <c r="H319" s="2" t="s">
        <v>2701</v>
      </c>
      <c r="I319" s="2" t="s">
        <v>2474</v>
      </c>
      <c r="J319" s="2" t="s">
        <v>2702</v>
      </c>
      <c r="K319" s="82" t="s">
        <v>2703</v>
      </c>
    </row>
    <row r="320">
      <c r="A320" s="2" t="s">
        <v>886</v>
      </c>
      <c r="B320" s="38">
        <f>IF(A320="","",COUNTIFS('NHẬP ĐƠN'!A:A,A320,'NHẬP ĐƠN'!I:I,"&lt;&gt;Đã xoá"))</f>
        <v>4</v>
      </c>
      <c r="C320" s="38">
        <f>IF(A320="","",SUMPRODUCT(('NHẬP ĐƠN'!A$2:A$1000=A320)*('NHẬP ĐƠN'!I$2:I$1000&lt;&gt;"Đã xoá")*('NHẬP ĐƠN'!F$2:F$1000)))</f>
        <v>0</v>
      </c>
      <c r="D320" s="11">
        <f>IF(A320="","",SUMPRODUCT(('NHẬP ĐƠN'!A$2:A$1000=A320)*('NHẬP ĐƠN'!I$2:I$1000&lt;&gt;"Đã xoá")*('NHẬP ĐƠN'!G$2:G$1000)*('NHẬP ĐƠN'!F$2:F$1000)))</f>
        <v>0</v>
      </c>
      <c r="E320" s="11">
        <f t="shared" si="1"/>
        <v>0</v>
      </c>
      <c r="F320" s="84" t="str">
        <f>IFERROR(VLOOKUP(A320,'NHẬP ĐƠN'!A:J,10,FALSE),"")</f>
        <v>https://www.facebook.com/share/1P1idcptA6/</v>
      </c>
      <c r="G320" s="38" t="str">
        <f t="shared" si="2"/>
        <v>💎 Thân thiết</v>
      </c>
      <c r="H320" s="2" t="s">
        <v>2704</v>
      </c>
      <c r="I320" s="2" t="s">
        <v>2498</v>
      </c>
      <c r="J320" s="2" t="s">
        <v>2705</v>
      </c>
      <c r="K320" s="82" t="s">
        <v>2706</v>
      </c>
      <c r="L320" s="2">
        <v>8.080359847E9</v>
      </c>
      <c r="M320" s="12" t="s">
        <v>887</v>
      </c>
    </row>
    <row r="321">
      <c r="A321" s="2" t="s">
        <v>897</v>
      </c>
      <c r="B321" s="38">
        <f>IF(A321="","",COUNTIFS('NHẬP ĐƠN'!A:A,A321,'NHẬP ĐƠN'!I:I,"&lt;&gt;Đã xoá"))</f>
        <v>1</v>
      </c>
      <c r="C321" s="38">
        <f>IF(A321="","",SUMPRODUCT(('NHẬP ĐƠN'!A$2:A$1000=A321)*('NHẬP ĐƠN'!I$2:I$1000&lt;&gt;"Đã xoá")*('NHẬP ĐƠN'!F$2:F$1000)))</f>
        <v>0</v>
      </c>
      <c r="D321" s="11">
        <f>IF(A321="","",SUMPRODUCT(('NHẬP ĐƠN'!A$2:A$1000=A321)*('NHẬP ĐƠN'!I$2:I$1000&lt;&gt;"Đã xoá")*('NHẬP ĐƠN'!G$2:G$1000)*('NHẬP ĐƠN'!F$2:F$1000)))</f>
        <v>0</v>
      </c>
      <c r="E321" s="11">
        <f t="shared" si="1"/>
        <v>0</v>
      </c>
      <c r="F321" s="84" t="str">
        <f>IFERROR(VLOOKUP(A321,'NHẬP ĐƠN'!A:J,10,FALSE),"")</f>
        <v>https://www.facebook.com/share/14aWivcGAgj/</v>
      </c>
      <c r="G321" s="38" t="str">
        <f t="shared" si="2"/>
        <v>👤 Thường</v>
      </c>
      <c r="H321" s="2" t="s">
        <v>2707</v>
      </c>
      <c r="I321" s="2" t="s">
        <v>2474</v>
      </c>
      <c r="J321" s="2" t="s">
        <v>2708</v>
      </c>
      <c r="K321" s="82" t="s">
        <v>2709</v>
      </c>
      <c r="L321" s="2" t="s">
        <v>2710</v>
      </c>
    </row>
    <row r="322">
      <c r="A322" s="2" t="s">
        <v>462</v>
      </c>
      <c r="B322" s="38">
        <f>IF(A322="","",COUNTIFS('NHẬP ĐƠN'!A:A,A322,'NHẬP ĐƠN'!I:I,"&lt;&gt;Đã xoá"))</f>
        <v>6</v>
      </c>
      <c r="C322" s="38">
        <f>IF(A322="","",SUMPRODUCT(('NHẬP ĐƠN'!A$2:A$1000=A322)*('NHẬP ĐƠN'!I$2:I$1000&lt;&gt;"Đã xoá")*('NHẬP ĐƠN'!F$2:F$1000)))</f>
        <v>2</v>
      </c>
      <c r="D322" s="11">
        <f>IF(A322="","",SUMPRODUCT(('NHẬP ĐƠN'!A$2:A$1000=A322)*('NHẬP ĐƠN'!I$2:I$1000&lt;&gt;"Đã xoá")*('NHẬP ĐƠN'!G$2:G$1000)*('NHẬP ĐƠN'!F$2:F$1000)))</f>
        <v>2590</v>
      </c>
      <c r="E322" s="11">
        <f t="shared" si="1"/>
        <v>431.6666667</v>
      </c>
      <c r="F322" s="84" t="str">
        <f>IFERROR(VLOOKUP(A322,'NHẬP ĐƠN'!A:J,10,FALSE),"")</f>
        <v>https://www.facebook.com/nle.phuong.3</v>
      </c>
      <c r="G322" s="38" t="str">
        <f t="shared" si="2"/>
        <v>⭐ VIP</v>
      </c>
      <c r="H322" s="2" t="s">
        <v>2711</v>
      </c>
      <c r="I322" s="2" t="s">
        <v>2463</v>
      </c>
      <c r="J322" s="2" t="s">
        <v>2695</v>
      </c>
      <c r="K322" s="82" t="s">
        <v>2712</v>
      </c>
      <c r="L322" s="2">
        <v>9.030991196E9</v>
      </c>
    </row>
    <row r="323">
      <c r="A323" s="2" t="s">
        <v>464</v>
      </c>
      <c r="B323" s="38">
        <f>IF(A323="","",COUNTIFS('NHẬP ĐƠN'!A:A,A323,'NHẬP ĐƠN'!I:I,"&lt;&gt;Đã xoá"))</f>
        <v>3</v>
      </c>
      <c r="C323" s="38">
        <f>IF(A323="","",SUMPRODUCT(('NHẬP ĐƠN'!A$2:A$1000=A323)*('NHẬP ĐƠN'!I$2:I$1000&lt;&gt;"Đã xoá")*('NHẬP ĐƠN'!F$2:F$1000)))</f>
        <v>2</v>
      </c>
      <c r="D323" s="11">
        <f>IF(A323="","",SUMPRODUCT(('NHẬP ĐƠN'!A$2:A$1000=A323)*('NHẬP ĐƠN'!I$2:I$1000&lt;&gt;"Đã xoá")*('NHẬP ĐƠN'!G$2:G$1000)*('NHẬP ĐƠN'!F$2:F$1000)))</f>
        <v>2590</v>
      </c>
      <c r="E323" s="11">
        <f t="shared" si="1"/>
        <v>863.3333333</v>
      </c>
      <c r="F323" s="84" t="str">
        <f>IFERROR(VLOOKUP(A323,'NHẬP ĐƠN'!A:J,10,FALSE),"")</f>
        <v>https://www.facebook.com/ntth.aoisakura</v>
      </c>
      <c r="G323" s="38" t="str">
        <f t="shared" si="2"/>
        <v>💎 Thân thiết</v>
      </c>
      <c r="H323" s="2" t="s">
        <v>2713</v>
      </c>
      <c r="I323" s="2" t="s">
        <v>2509</v>
      </c>
      <c r="J323" s="2" t="s">
        <v>2714</v>
      </c>
      <c r="K323" s="82" t="s">
        <v>2715</v>
      </c>
      <c r="L323" s="2" t="s">
        <v>2716</v>
      </c>
    </row>
    <row r="324">
      <c r="A324" s="2" t="s">
        <v>470</v>
      </c>
      <c r="B324" s="38">
        <f>IF(A324="","",COUNTIFS('NHẬP ĐƠN'!A:A,A324,'NHẬP ĐƠN'!I:I,"&lt;&gt;Đã xoá"))</f>
        <v>2</v>
      </c>
      <c r="C324" s="38">
        <f>IF(A324="","",SUMPRODUCT(('NHẬP ĐƠN'!A$2:A$1000=A324)*('NHẬP ĐƠN'!I$2:I$1000&lt;&gt;"Đã xoá")*('NHẬP ĐƠN'!F$2:F$1000)))</f>
        <v>2</v>
      </c>
      <c r="D324" s="11">
        <f>IF(A324="","",SUMPRODUCT(('NHẬP ĐƠN'!A$2:A$1000=A324)*('NHẬP ĐƠN'!I$2:I$1000&lt;&gt;"Đã xoá")*('NHẬP ĐƠN'!G$2:G$1000)*('NHẬP ĐƠN'!F$2:F$1000)))</f>
        <v>2400</v>
      </c>
      <c r="E324" s="11">
        <f t="shared" si="1"/>
        <v>1200</v>
      </c>
      <c r="F324" s="84" t="str">
        <f>IFERROR(VLOOKUP(A324,'NHẬP ĐƠN'!A:J,10,FALSE),"")</f>
        <v>https://www.facebook.com/nga.quyh</v>
      </c>
      <c r="G324" s="38" t="str">
        <f t="shared" si="2"/>
        <v>👤 Thường</v>
      </c>
      <c r="H324" s="2" t="s">
        <v>2717</v>
      </c>
      <c r="I324" s="2" t="s">
        <v>2463</v>
      </c>
      <c r="J324" s="2" t="s">
        <v>2695</v>
      </c>
      <c r="K324" s="82" t="s">
        <v>2718</v>
      </c>
      <c r="L324" s="2">
        <v>9.030991196E9</v>
      </c>
    </row>
    <row r="325">
      <c r="A325" s="2" t="s">
        <v>488</v>
      </c>
      <c r="B325" s="38">
        <f>IF(A325="","",COUNTIFS('NHẬP ĐƠN'!A:A,A325,'NHẬP ĐƠN'!I:I,"&lt;&gt;Đã xoá"))</f>
        <v>5</v>
      </c>
      <c r="C325" s="38">
        <f>IF(A325="","",SUMPRODUCT(('NHẬP ĐƠN'!A$2:A$1000=A325)*('NHẬP ĐƠN'!I$2:I$1000&lt;&gt;"Đã xoá")*('NHẬP ĐƠN'!F$2:F$1000)))</f>
        <v>2</v>
      </c>
      <c r="D325" s="11">
        <f>IF(A325="","",SUMPRODUCT(('NHẬP ĐƠN'!A$2:A$1000=A325)*('NHẬP ĐƠN'!I$2:I$1000&lt;&gt;"Đã xoá")*('NHẬP ĐƠN'!G$2:G$1000)*('NHẬP ĐƠN'!F$2:F$1000)))</f>
        <v>2400</v>
      </c>
      <c r="E325" s="11">
        <f t="shared" si="1"/>
        <v>480</v>
      </c>
      <c r="F325" s="84" t="str">
        <f>IFERROR(VLOOKUP(A325,'NHẬP ĐƠN'!A:J,10,FALSE),"")</f>
        <v>https://www.facebook.com/huynh.quy.98096</v>
      </c>
      <c r="G325" s="38" t="str">
        <f t="shared" si="2"/>
        <v>⭐ VIP</v>
      </c>
      <c r="H325" s="2" t="s">
        <v>2719</v>
      </c>
      <c r="I325" s="2" t="s">
        <v>2720</v>
      </c>
      <c r="J325" s="2" t="s">
        <v>2721</v>
      </c>
      <c r="K325" s="82" t="s">
        <v>2722</v>
      </c>
      <c r="L325" s="2" t="s">
        <v>2723</v>
      </c>
    </row>
    <row r="326">
      <c r="A326" s="2" t="s">
        <v>501</v>
      </c>
      <c r="B326" s="38">
        <f>IF(A326="","",COUNTIFS('NHẬP ĐƠN'!A:A,A326,'NHẬP ĐƠN'!I:I,"&lt;&gt;Đã xoá"))</f>
        <v>2</v>
      </c>
      <c r="C326" s="38">
        <f>IF(A326="","",SUMPRODUCT(('NHẬP ĐƠN'!A$2:A$1000=A326)*('NHẬP ĐƠN'!I$2:I$1000&lt;&gt;"Đã xoá")*('NHẬP ĐƠN'!F$2:F$1000)))</f>
        <v>2</v>
      </c>
      <c r="D326" s="11">
        <f>IF(A326="","",SUMPRODUCT(('NHẬP ĐƠN'!A$2:A$1000=A326)*('NHẬP ĐƠN'!I$2:I$1000&lt;&gt;"Đã xoá")*('NHẬP ĐƠN'!G$2:G$1000)*('NHẬP ĐƠN'!F$2:F$1000)))</f>
        <v>2400</v>
      </c>
      <c r="E326" s="11">
        <f t="shared" si="1"/>
        <v>1200</v>
      </c>
      <c r="F326" s="84" t="str">
        <f>IFERROR(VLOOKUP(A326,'NHẬP ĐƠN'!A:J,10,FALSE),"")</f>
        <v>https://www.facebook.com/phung.huynh.3762</v>
      </c>
      <c r="G326" s="38" t="str">
        <f t="shared" si="2"/>
        <v>👤 Thường</v>
      </c>
      <c r="H326" s="2" t="s">
        <v>2724</v>
      </c>
      <c r="I326" s="2" t="s">
        <v>2463</v>
      </c>
      <c r="J326" s="2" t="s">
        <v>2725</v>
      </c>
      <c r="K326" s="82" t="s">
        <v>2726</v>
      </c>
      <c r="L326" s="2">
        <v>8.081088726E9</v>
      </c>
    </row>
    <row r="327">
      <c r="A327" s="2" t="s">
        <v>522</v>
      </c>
      <c r="B327" s="38">
        <f>IF(A327="","",COUNTIFS('NHẬP ĐƠN'!A:A,A327,'NHẬP ĐƠN'!I:I,"&lt;&gt;Đã xoá"))</f>
        <v>3</v>
      </c>
      <c r="C327" s="38">
        <f>IF(A327="","",SUMPRODUCT(('NHẬP ĐƠN'!A$2:A$1000=A327)*('NHẬP ĐƠN'!I$2:I$1000&lt;&gt;"Đã xoá")*('NHẬP ĐƠN'!F$2:F$1000)))</f>
        <v>2</v>
      </c>
      <c r="D327" s="11">
        <f>IF(A327="","",SUMPRODUCT(('NHẬP ĐƠN'!A$2:A$1000=A327)*('NHẬP ĐƠN'!I$2:I$1000&lt;&gt;"Đã xoá")*('NHẬP ĐƠN'!G$2:G$1000)*('NHẬP ĐƠN'!F$2:F$1000)))</f>
        <v>2780</v>
      </c>
      <c r="E327" s="11">
        <f t="shared" si="1"/>
        <v>926.6666667</v>
      </c>
      <c r="F327" s="84" t="str">
        <f>IFERROR(VLOOKUP(A327,'NHẬP ĐƠN'!A:J,10,FALSE),"")</f>
        <v>https://www.facebook.com/byun.baekhyun1810</v>
      </c>
      <c r="G327" s="38" t="str">
        <f t="shared" si="2"/>
        <v>💎 Thân thiết</v>
      </c>
      <c r="H327" s="2" t="s">
        <v>2727</v>
      </c>
      <c r="I327" s="2" t="s">
        <v>2467</v>
      </c>
      <c r="J327" s="2" t="s">
        <v>2728</v>
      </c>
      <c r="K327" s="82" t="s">
        <v>2729</v>
      </c>
      <c r="L327" s="2">
        <v>7.083056125E9</v>
      </c>
    </row>
    <row r="328">
      <c r="A328" s="2" t="s">
        <v>498</v>
      </c>
      <c r="B328" s="38">
        <f>IF(A328="","",COUNTIFS('NHẬP ĐƠN'!A:A,A328,'NHẬP ĐƠN'!I:I,"&lt;&gt;Đã xoá"))</f>
        <v>3</v>
      </c>
      <c r="C328" s="38">
        <f>IF(A328="","",SUMPRODUCT(('NHẬP ĐƠN'!A$2:A$1000=A328)*('NHẬP ĐƠN'!I$2:I$1000&lt;&gt;"Đã xoá")*('NHẬP ĐƠN'!F$2:F$1000)))</f>
        <v>2</v>
      </c>
      <c r="D328" s="11">
        <f>IF(A328="","",SUMPRODUCT(('NHẬP ĐƠN'!A$2:A$1000=A328)*('NHẬP ĐƠN'!I$2:I$1000&lt;&gt;"Đã xoá")*('NHẬP ĐƠN'!G$2:G$1000)*('NHẬP ĐƠN'!F$2:F$1000)))</f>
        <v>2400</v>
      </c>
      <c r="E328" s="11">
        <f t="shared" si="1"/>
        <v>800</v>
      </c>
      <c r="F328" s="84" t="str">
        <f>IFERROR(VLOOKUP(A328,'NHẬP ĐƠN'!A:J,10,FALSE),"")</f>
        <v>https://www.facebook.com/share/184BmUWtfL/</v>
      </c>
      <c r="G328" s="38" t="str">
        <f t="shared" si="2"/>
        <v>💎 Thân thiết</v>
      </c>
      <c r="H328" s="2" t="s">
        <v>2730</v>
      </c>
      <c r="I328" s="2" t="s">
        <v>2597</v>
      </c>
      <c r="J328" s="2" t="s">
        <v>2731</v>
      </c>
      <c r="K328" s="82" t="s">
        <v>2732</v>
      </c>
      <c r="L328" s="2">
        <v>9.030991196E9</v>
      </c>
    </row>
    <row r="329">
      <c r="A329" s="2" t="s">
        <v>905</v>
      </c>
      <c r="B329" s="38">
        <f>IF(A329="","",COUNTIFS('NHẬP ĐƠN'!A:A,A329,'NHẬP ĐƠN'!I:I,"&lt;&gt;Đã xoá"))</f>
        <v>1</v>
      </c>
      <c r="C329" s="38">
        <f>IF(A329="","",SUMPRODUCT(('NHẬP ĐƠN'!A$2:A$1000=A329)*('NHẬP ĐƠN'!I$2:I$1000&lt;&gt;"Đã xoá")*('NHẬP ĐƠN'!F$2:F$1000)))</f>
        <v>0</v>
      </c>
      <c r="D329" s="11">
        <f>IF(A329="","",SUMPRODUCT(('NHẬP ĐƠN'!A$2:A$1000=A329)*('NHẬP ĐƠN'!I$2:I$1000&lt;&gt;"Đã xoá")*('NHẬP ĐƠN'!G$2:G$1000)*('NHẬP ĐƠN'!F$2:F$1000)))</f>
        <v>0</v>
      </c>
      <c r="E329" s="11">
        <f t="shared" si="1"/>
        <v>0</v>
      </c>
      <c r="F329" s="84" t="str">
        <f>IFERROR(VLOOKUP(A329,'NHẬP ĐƠN'!A:J,10,FALSE),"")</f>
        <v>https://www.facebook.com/share/1G79BmYRS9/</v>
      </c>
      <c r="G329" s="38" t="str">
        <f t="shared" si="2"/>
        <v>👤 Thường</v>
      </c>
      <c r="H329" s="2" t="s">
        <v>2733</v>
      </c>
      <c r="I329" s="2" t="s">
        <v>2478</v>
      </c>
      <c r="J329" s="2" t="s">
        <v>2734</v>
      </c>
      <c r="K329" s="82" t="s">
        <v>2735</v>
      </c>
      <c r="L329" s="2">
        <v>9.088947979E9</v>
      </c>
    </row>
    <row r="330">
      <c r="A330" s="2" t="s">
        <v>939</v>
      </c>
      <c r="B330" s="38">
        <f>IF(A330="","",COUNTIFS('NHẬP ĐƠN'!A:A,A330,'NHẬP ĐƠN'!I:I,"&lt;&gt;Đã xoá"))</f>
        <v>1</v>
      </c>
      <c r="C330" s="38">
        <f>IF(A330="","",SUMPRODUCT(('NHẬP ĐƠN'!A$2:A$1000=A330)*('NHẬP ĐƠN'!I$2:I$1000&lt;&gt;"Đã xoá")*('NHẬP ĐƠN'!F$2:F$1000)))</f>
        <v>0</v>
      </c>
      <c r="D330" s="11">
        <f>IF(A330="","",SUMPRODUCT(('NHẬP ĐƠN'!A$2:A$1000=A330)*('NHẬP ĐƠN'!I$2:I$1000&lt;&gt;"Đã xoá")*('NHẬP ĐƠN'!G$2:G$1000)*('NHẬP ĐƠN'!F$2:F$1000)))</f>
        <v>0</v>
      </c>
      <c r="E330" s="11">
        <f t="shared" si="1"/>
        <v>0</v>
      </c>
      <c r="F330" s="84" t="str">
        <f>IFERROR(VLOOKUP(A330,'NHẬP ĐƠN'!A:J,10,FALSE),"")</f>
        <v>https://www.facebook.com/share/18Fc4dCD39/</v>
      </c>
      <c r="G330" s="38" t="str">
        <f t="shared" si="2"/>
        <v>👤 Thường</v>
      </c>
      <c r="H330" s="2" t="s">
        <v>2736</v>
      </c>
      <c r="I330" s="2" t="s">
        <v>2482</v>
      </c>
      <c r="J330" s="2" t="s">
        <v>2737</v>
      </c>
      <c r="K330" s="82" t="s">
        <v>2738</v>
      </c>
      <c r="L330" s="2">
        <v>9.030991196E9</v>
      </c>
    </row>
    <row r="331">
      <c r="A331" s="2" t="s">
        <v>943</v>
      </c>
      <c r="B331" s="38">
        <f>IF(A331="","",COUNTIFS('NHẬP ĐƠN'!A:A,A331,'NHẬP ĐƠN'!I:I,"&lt;&gt;Đã xoá"))</f>
        <v>1</v>
      </c>
      <c r="C331" s="38">
        <f>IF(A331="","",SUMPRODUCT(('NHẬP ĐƠN'!A$2:A$1000=A331)*('NHẬP ĐƠN'!I$2:I$1000&lt;&gt;"Đã xoá")*('NHẬP ĐƠN'!F$2:F$1000)))</f>
        <v>0</v>
      </c>
      <c r="D331" s="11">
        <f>IF(A331="","",SUMPRODUCT(('NHẬP ĐƠN'!A$2:A$1000=A331)*('NHẬP ĐƠN'!I$2:I$1000&lt;&gt;"Đã xoá")*('NHẬP ĐƠN'!G$2:G$1000)*('NHẬP ĐƠN'!F$2:F$1000)))</f>
        <v>0</v>
      </c>
      <c r="E331" s="11">
        <f t="shared" si="1"/>
        <v>0</v>
      </c>
      <c r="F331" s="84" t="str">
        <f>IFERROR(VLOOKUP(A331,'NHẬP ĐƠN'!A:J,10,FALSE),"")</f>
        <v>https://www.facebook.com/share/18g9mGMfFS/</v>
      </c>
      <c r="G331" s="38" t="str">
        <f t="shared" si="2"/>
        <v>👤 Thường</v>
      </c>
      <c r="H331" s="2" t="s">
        <v>2739</v>
      </c>
      <c r="I331" s="2" t="s">
        <v>2478</v>
      </c>
      <c r="J331" s="2" t="s">
        <v>2740</v>
      </c>
      <c r="K331" s="82" t="s">
        <v>2741</v>
      </c>
      <c r="L331" s="2">
        <v>9.030991196E9</v>
      </c>
    </row>
    <row r="332">
      <c r="A332" s="2" t="s">
        <v>946</v>
      </c>
      <c r="B332" s="38">
        <f>IF(A332="","",COUNTIFS('NHẬP ĐƠN'!A:A,A332,'NHẬP ĐƠN'!I:I,"&lt;&gt;Đã xoá"))</f>
        <v>6</v>
      </c>
      <c r="C332" s="38">
        <f>IF(A332="","",SUMPRODUCT(('NHẬP ĐƠN'!A$2:A$1000=A332)*('NHẬP ĐƠN'!I$2:I$1000&lt;&gt;"Đã xoá")*('NHẬP ĐƠN'!F$2:F$1000)))</f>
        <v>0</v>
      </c>
      <c r="D332" s="11">
        <f>IF(A332="","",SUMPRODUCT(('NHẬP ĐƠN'!A$2:A$1000=A332)*('NHẬP ĐƠN'!I$2:I$1000&lt;&gt;"Đã xoá")*('NHẬP ĐƠN'!G$2:G$1000)*('NHẬP ĐƠN'!F$2:F$1000)))</f>
        <v>0</v>
      </c>
      <c r="E332" s="11">
        <f t="shared" si="1"/>
        <v>0</v>
      </c>
      <c r="F332" s="38" t="str">
        <f>IFERROR(VLOOKUP(A332,'NHẬP ĐƠN'!A:J,10,FALSE),"")</f>
        <v/>
      </c>
      <c r="G332" s="38" t="str">
        <f t="shared" si="2"/>
        <v>⭐ VIP</v>
      </c>
      <c r="H332" s="2" t="s">
        <v>2742</v>
      </c>
      <c r="I332" s="2" t="s">
        <v>2684</v>
      </c>
      <c r="J332" s="2" t="s">
        <v>2743</v>
      </c>
      <c r="K332" s="82" t="s">
        <v>2744</v>
      </c>
      <c r="L332" s="2">
        <v>9.030991196E9</v>
      </c>
      <c r="M332" s="12" t="s">
        <v>1783</v>
      </c>
    </row>
    <row r="333">
      <c r="A333" s="2" t="s">
        <v>948</v>
      </c>
      <c r="B333" s="38">
        <f>IF(A333="","",COUNTIFS('NHẬP ĐƠN'!A:A,A333,'NHẬP ĐƠN'!I:I,"&lt;&gt;Đã xoá"))</f>
        <v>4</v>
      </c>
      <c r="C333" s="38">
        <f>IF(A333="","",SUMPRODUCT(('NHẬP ĐƠN'!A$2:A$1000=A333)*('NHẬP ĐƠN'!I$2:I$1000&lt;&gt;"Đã xoá")*('NHẬP ĐƠN'!F$2:F$1000)))</f>
        <v>0</v>
      </c>
      <c r="D333" s="11">
        <f>IF(A333="","",SUMPRODUCT(('NHẬP ĐƠN'!A$2:A$1000=A333)*('NHẬP ĐƠN'!I$2:I$1000&lt;&gt;"Đã xoá")*('NHẬP ĐƠN'!G$2:G$1000)*('NHẬP ĐƠN'!F$2:F$1000)))</f>
        <v>0</v>
      </c>
      <c r="E333" s="11">
        <f t="shared" si="1"/>
        <v>0</v>
      </c>
      <c r="F333" s="84" t="str">
        <f>IFERROR(VLOOKUP(A333,'NHẬP ĐƠN'!A:J,10,FALSE),"")</f>
        <v>https://www.facebook.com/share/17xYXxAfog/</v>
      </c>
      <c r="G333" s="38" t="str">
        <f t="shared" si="2"/>
        <v>💎 Thân thiết</v>
      </c>
      <c r="H333" s="2" t="s">
        <v>2745</v>
      </c>
      <c r="I333" s="2" t="s">
        <v>2482</v>
      </c>
      <c r="J333" s="2" t="s">
        <v>2746</v>
      </c>
      <c r="K333" s="82" t="s">
        <v>2747</v>
      </c>
      <c r="L333" s="2">
        <v>8.080359847E9</v>
      </c>
      <c r="M333" s="12" t="s">
        <v>949</v>
      </c>
    </row>
    <row r="334">
      <c r="A334" s="2" t="s">
        <v>563</v>
      </c>
      <c r="B334" s="38">
        <f>IF(A334="","",COUNTIFS('NHẬP ĐƠN'!A:A,A334,'NHẬP ĐƠN'!I:I,"&lt;&gt;Đã xoá"))</f>
        <v>2</v>
      </c>
      <c r="C334" s="38">
        <f>IF(A334="","",SUMPRODUCT(('NHẬP ĐƠN'!A$2:A$1000=A334)*('NHẬP ĐƠN'!I$2:I$1000&lt;&gt;"Đã xoá")*('NHẬP ĐƠN'!F$2:F$1000)))</f>
        <v>2</v>
      </c>
      <c r="D334" s="11">
        <f>IF(A334="","",SUMPRODUCT(('NHẬP ĐƠN'!A$2:A$1000=A334)*('NHẬP ĐƠN'!I$2:I$1000&lt;&gt;"Đã xoá")*('NHẬP ĐƠN'!G$2:G$1000)*('NHẬP ĐƠN'!F$2:F$1000)))</f>
        <v>2400</v>
      </c>
      <c r="E334" s="11">
        <f t="shared" si="1"/>
        <v>1200</v>
      </c>
      <c r="F334" s="84" t="str">
        <f>IFERROR(VLOOKUP(A334,'NHẬP ĐƠN'!A:J,10,FALSE),"")</f>
        <v>https://www.facebook.com/share/1D4dn1jhgX/</v>
      </c>
      <c r="G334" s="38" t="str">
        <f t="shared" si="2"/>
        <v>👤 Thường</v>
      </c>
      <c r="H334" s="2" t="s">
        <v>2748</v>
      </c>
      <c r="I334" s="2" t="s">
        <v>2558</v>
      </c>
      <c r="J334" s="2" t="s">
        <v>2749</v>
      </c>
      <c r="K334" s="82" t="s">
        <v>2750</v>
      </c>
      <c r="L334" s="2">
        <v>9.030991196E9</v>
      </c>
    </row>
    <row r="335">
      <c r="A335" s="2" t="s">
        <v>526</v>
      </c>
      <c r="B335" s="38">
        <f>IF(A335="","",COUNTIFS('NHẬP ĐƠN'!A:A,A335,'NHẬP ĐƠN'!I:I,"&lt;&gt;Đã xoá"))</f>
        <v>10</v>
      </c>
      <c r="C335" s="38">
        <f>IF(A335="","",SUMPRODUCT(('NHẬP ĐƠN'!A$2:A$1000=A335)*('NHẬP ĐƠN'!I$2:I$1000&lt;&gt;"Đã xoá")*('NHẬP ĐƠN'!F$2:F$1000)))</f>
        <v>4</v>
      </c>
      <c r="D335" s="11">
        <f>IF(A335="","",SUMPRODUCT(('NHẬP ĐƠN'!A$2:A$1000=A335)*('NHẬP ĐƠN'!I$2:I$1000&lt;&gt;"Đã xoá")*('NHẬP ĐƠN'!G$2:G$1000)*('NHẬP ĐƠN'!F$2:F$1000)))</f>
        <v>5560</v>
      </c>
      <c r="E335" s="11">
        <f t="shared" si="1"/>
        <v>556</v>
      </c>
      <c r="F335" s="84" t="str">
        <f>IFERROR(VLOOKUP(A335,'NHẬP ĐƠN'!A:J,10,FALSE),"")</f>
        <v>https://www.facebook.com/profile.php?id=100008702644577</v>
      </c>
      <c r="G335" s="38" t="str">
        <f t="shared" si="2"/>
        <v>⭐ VIP</v>
      </c>
      <c r="H335" s="2" t="s">
        <v>2751</v>
      </c>
      <c r="I335" s="2" t="s">
        <v>2518</v>
      </c>
      <c r="J335" s="2" t="s">
        <v>2752</v>
      </c>
      <c r="K335" s="82" t="s">
        <v>2753</v>
      </c>
      <c r="L335" s="2">
        <v>9.030991196E9</v>
      </c>
      <c r="M335" s="12" t="s">
        <v>527</v>
      </c>
    </row>
    <row r="336">
      <c r="A336" s="2" t="s">
        <v>911</v>
      </c>
      <c r="B336" s="38">
        <f>IF(A336="","",COUNTIFS('NHẬP ĐƠN'!A:A,A336,'NHẬP ĐƠN'!I:I,"&lt;&gt;Đã xoá"))</f>
        <v>1</v>
      </c>
      <c r="C336" s="38">
        <f>IF(A336="","",SUMPRODUCT(('NHẬP ĐƠN'!A$2:A$1000=A336)*('NHẬP ĐƠN'!I$2:I$1000&lt;&gt;"Đã xoá")*('NHẬP ĐƠN'!F$2:F$1000)))</f>
        <v>0</v>
      </c>
      <c r="D336" s="11">
        <f>IF(A336="","",SUMPRODUCT(('NHẬP ĐƠN'!A$2:A$1000=A336)*('NHẬP ĐƠN'!I$2:I$1000&lt;&gt;"Đã xoá")*('NHẬP ĐƠN'!G$2:G$1000)*('NHẬP ĐƠN'!F$2:F$1000)))</f>
        <v>0</v>
      </c>
      <c r="E336" s="11">
        <f t="shared" si="1"/>
        <v>0</v>
      </c>
      <c r="F336" s="38" t="str">
        <f>IFERROR(VLOOKUP(A336,'NHẬP ĐƠN'!A:J,10,FALSE),"")</f>
        <v/>
      </c>
      <c r="G336" s="38" t="str">
        <f t="shared" si="2"/>
        <v>👤 Thường</v>
      </c>
      <c r="H336" s="2" t="s">
        <v>2754</v>
      </c>
      <c r="I336" s="2" t="s">
        <v>2532</v>
      </c>
      <c r="J336" s="2" t="s">
        <v>2755</v>
      </c>
      <c r="K336" s="82" t="s">
        <v>2756</v>
      </c>
      <c r="L336" s="2">
        <v>9.030991196E9</v>
      </c>
    </row>
    <row r="337">
      <c r="A337" s="2" t="s">
        <v>559</v>
      </c>
      <c r="B337" s="38">
        <f>IF(A337="","",COUNTIFS('NHẬP ĐƠN'!A:A,A337,'NHẬP ĐƠN'!I:I,"&lt;&gt;Đã xoá"))</f>
        <v>4</v>
      </c>
      <c r="C337" s="38">
        <f>IF(A337="","",SUMPRODUCT(('NHẬP ĐƠN'!A$2:A$1000=A337)*('NHẬP ĐƠN'!I$2:I$1000&lt;&gt;"Đã xoá")*('NHẬP ĐƠN'!F$2:F$1000)))</f>
        <v>2</v>
      </c>
      <c r="D337" s="11">
        <f>IF(A337="","",SUMPRODUCT(('NHẬP ĐƠN'!A$2:A$1000=A337)*('NHẬP ĐƠN'!I$2:I$1000&lt;&gt;"Đã xoá")*('NHẬP ĐƠN'!G$2:G$1000)*('NHẬP ĐƠN'!F$2:F$1000)))</f>
        <v>2400</v>
      </c>
      <c r="E337" s="11">
        <f t="shared" si="1"/>
        <v>600</v>
      </c>
      <c r="F337" s="84" t="str">
        <f>IFERROR(VLOOKUP(A337,'NHẬP ĐƠN'!A:J,10,FALSE),"")</f>
        <v>https://www.facebook.com/share/1DszgjSVJ8/</v>
      </c>
      <c r="G337" s="38" t="str">
        <f t="shared" si="2"/>
        <v>💎 Thân thiết</v>
      </c>
      <c r="H337" s="2" t="s">
        <v>2757</v>
      </c>
      <c r="I337" s="2" t="s">
        <v>2758</v>
      </c>
      <c r="J337" s="2" t="s">
        <v>2759</v>
      </c>
      <c r="K337" s="82" t="s">
        <v>2760</v>
      </c>
      <c r="L337" s="2">
        <v>9.030991196E9</v>
      </c>
    </row>
    <row r="338">
      <c r="A338" s="2" t="s">
        <v>451</v>
      </c>
      <c r="B338" s="38">
        <f>IF(A338="","",COUNTIFS('NHẬP ĐƠN'!A:A,A338,'NHẬP ĐƠN'!I:I,"&lt;&gt;Đã xoá"))</f>
        <v>5</v>
      </c>
      <c r="C338" s="38">
        <f>IF(A338="","",SUMPRODUCT(('NHẬP ĐƠN'!A$2:A$1000=A338)*('NHẬP ĐƠN'!I$2:I$1000&lt;&gt;"Đã xoá")*('NHẬP ĐƠN'!F$2:F$1000)))</f>
        <v>1</v>
      </c>
      <c r="D338" s="11">
        <f>IF(A338="","",SUMPRODUCT(('NHẬP ĐƠN'!A$2:A$1000=A338)*('NHẬP ĐƠN'!I$2:I$1000&lt;&gt;"Đã xoá")*('NHẬP ĐƠN'!G$2:G$1000)*('NHẬP ĐƠN'!F$2:F$1000)))</f>
        <v>1200</v>
      </c>
      <c r="E338" s="11">
        <f t="shared" si="1"/>
        <v>240</v>
      </c>
      <c r="F338" s="84" t="str">
        <f>IFERROR(VLOOKUP(A338,'NHẬP ĐƠN'!A:J,10,FALSE),"")</f>
        <v>https://www.facebook.com/yenyen7109</v>
      </c>
      <c r="G338" s="38" t="str">
        <f t="shared" si="2"/>
        <v>⭐ VIP</v>
      </c>
      <c r="H338" s="2" t="s">
        <v>2761</v>
      </c>
      <c r="I338" s="2" t="s">
        <v>2478</v>
      </c>
      <c r="J338" s="2" t="s">
        <v>2668</v>
      </c>
      <c r="K338" s="82" t="s">
        <v>2762</v>
      </c>
      <c r="L338" s="2">
        <v>8.080359847E9</v>
      </c>
      <c r="M338" s="12" t="s">
        <v>973</v>
      </c>
    </row>
    <row r="339">
      <c r="A339" s="2" t="s">
        <v>455</v>
      </c>
      <c r="B339" s="38">
        <f>IF(A339="","",COUNTIFS('NHẬP ĐƠN'!A:A,A339,'NHẬP ĐƠN'!I:I,"&lt;&gt;Đã xoá"))</f>
        <v>1</v>
      </c>
      <c r="C339" s="38">
        <f>IF(A339="","",SUMPRODUCT(('NHẬP ĐƠN'!A$2:A$1000=A339)*('NHẬP ĐƠN'!I$2:I$1000&lt;&gt;"Đã xoá")*('NHẬP ĐƠN'!F$2:F$1000)))</f>
        <v>1</v>
      </c>
      <c r="D339" s="11">
        <f>IF(A339="","",SUMPRODUCT(('NHẬP ĐƠN'!A$2:A$1000=A339)*('NHẬP ĐƠN'!I$2:I$1000&lt;&gt;"Đã xoá")*('NHẬP ĐƠN'!G$2:G$1000)*('NHẬP ĐƠN'!F$2:F$1000)))</f>
        <v>1200</v>
      </c>
      <c r="E339" s="11">
        <f t="shared" si="1"/>
        <v>1200</v>
      </c>
      <c r="F339" s="84" t="str">
        <f>IFERROR(VLOOKUP(A339,'NHẬP ĐƠN'!A:J,10,FALSE),"")</f>
        <v>https://www.facebook.com/profile.php?id=100014031810826</v>
      </c>
      <c r="G339" s="38" t="str">
        <f t="shared" si="2"/>
        <v>👤 Thường</v>
      </c>
      <c r="H339" s="2" t="s">
        <v>2763</v>
      </c>
      <c r="I339" s="2" t="s">
        <v>2536</v>
      </c>
      <c r="J339" s="2" t="s">
        <v>2764</v>
      </c>
      <c r="K339" s="82" t="s">
        <v>2765</v>
      </c>
      <c r="L339" s="2">
        <v>8.030991196E9</v>
      </c>
    </row>
    <row r="340">
      <c r="A340" s="2" t="s">
        <v>486</v>
      </c>
      <c r="B340" s="38">
        <f>IF(A340="","",COUNTIFS('NHẬP ĐƠN'!A:A,A340,'NHẬP ĐƠN'!I:I,"&lt;&gt;Đã xoá"))</f>
        <v>1</v>
      </c>
      <c r="C340" s="38">
        <f>IF(A340="","",SUMPRODUCT(('NHẬP ĐƠN'!A$2:A$1000=A340)*('NHẬP ĐƠN'!I$2:I$1000&lt;&gt;"Đã xoá")*('NHẬP ĐƠN'!F$2:F$1000)))</f>
        <v>1</v>
      </c>
      <c r="D340" s="11">
        <f>IF(A340="","",SUMPRODUCT(('NHẬP ĐƠN'!A$2:A$1000=A340)*('NHẬP ĐƠN'!I$2:I$1000&lt;&gt;"Đã xoá")*('NHẬP ĐƠN'!G$2:G$1000)*('NHẬP ĐƠN'!F$2:F$1000)))</f>
        <v>1200</v>
      </c>
      <c r="E340" s="11">
        <f t="shared" si="1"/>
        <v>1200</v>
      </c>
      <c r="F340" s="84" t="str">
        <f>IFERROR(VLOOKUP(A340,'NHẬP ĐƠN'!A:J,10,FALSE),"")</f>
        <v>https://www.facebook.com/profile.php?id=61581534937440</v>
      </c>
      <c r="G340" s="38" t="str">
        <f t="shared" si="2"/>
        <v>👤 Thường</v>
      </c>
      <c r="H340" s="2" t="s">
        <v>2766</v>
      </c>
      <c r="I340" s="2" t="s">
        <v>2543</v>
      </c>
      <c r="J340" s="2" t="s">
        <v>2544</v>
      </c>
      <c r="K340" s="82" t="s">
        <v>2767</v>
      </c>
      <c r="L340" s="2">
        <v>9.030991196E9</v>
      </c>
    </row>
    <row r="341">
      <c r="A341" s="2" t="s">
        <v>519</v>
      </c>
      <c r="B341" s="38">
        <f>IF(A341="","",COUNTIFS('NHẬP ĐƠN'!A:A,A341,'NHẬP ĐƠN'!I:I,"&lt;&gt;Đã xoá"))</f>
        <v>1</v>
      </c>
      <c r="C341" s="38">
        <f>IF(A341="","",SUMPRODUCT(('NHẬP ĐƠN'!A$2:A$1000=A341)*('NHẬP ĐƠN'!I$2:I$1000&lt;&gt;"Đã xoá")*('NHẬP ĐƠN'!F$2:F$1000)))</f>
        <v>1</v>
      </c>
      <c r="D341" s="11">
        <f>IF(A341="","",SUMPRODUCT(('NHẬP ĐƠN'!A$2:A$1000=A341)*('NHẬP ĐƠN'!I$2:I$1000&lt;&gt;"Đã xoá")*('NHẬP ĐƠN'!G$2:G$1000)*('NHẬP ĐƠN'!F$2:F$1000)))</f>
        <v>1390</v>
      </c>
      <c r="E341" s="11">
        <f t="shared" si="1"/>
        <v>1390</v>
      </c>
      <c r="F341" s="84" t="str">
        <f>IFERROR(VLOOKUP(A341,'NHẬP ĐƠN'!A:J,10,FALSE),"")</f>
        <v>https://www.facebook.com/profile.php?id=61576355874013</v>
      </c>
      <c r="G341" s="38" t="str">
        <f t="shared" si="2"/>
        <v>👤 Thường</v>
      </c>
      <c r="H341" s="2" t="s">
        <v>2768</v>
      </c>
      <c r="I341" s="2" t="s">
        <v>2769</v>
      </c>
      <c r="J341" s="2" t="s">
        <v>2770</v>
      </c>
      <c r="K341" s="82" t="s">
        <v>2771</v>
      </c>
      <c r="L341" s="2">
        <v>9.069863072E9</v>
      </c>
    </row>
    <row r="342">
      <c r="A342" s="2" t="s">
        <v>484</v>
      </c>
      <c r="B342" s="38">
        <f>IF(A342="","",COUNTIFS('NHẬP ĐƠN'!A:A,A342,'NHẬP ĐƠN'!I:I,"&lt;&gt;Đã xoá"))</f>
        <v>1</v>
      </c>
      <c r="C342" s="38">
        <f>IF(A342="","",SUMPRODUCT(('NHẬP ĐƠN'!A$2:A$1000=A342)*('NHẬP ĐƠN'!I$2:I$1000&lt;&gt;"Đã xoá")*('NHẬP ĐƠN'!F$2:F$1000)))</f>
        <v>1</v>
      </c>
      <c r="D342" s="11">
        <f>IF(A342="","",SUMPRODUCT(('NHẬP ĐƠN'!A$2:A$1000=A342)*('NHẬP ĐƠN'!I$2:I$1000&lt;&gt;"Đã xoá")*('NHẬP ĐƠN'!G$2:G$1000)*('NHẬP ĐƠN'!F$2:F$1000)))</f>
        <v>1200</v>
      </c>
      <c r="E342" s="11">
        <f t="shared" si="1"/>
        <v>1200</v>
      </c>
      <c r="F342" s="84" t="str">
        <f>IFERROR(VLOOKUP(A342,'NHẬP ĐƠN'!A:J,10,FALSE),"")</f>
        <v>https://www.facebook.com/yen.do.921677</v>
      </c>
      <c r="G342" s="38" t="str">
        <f t="shared" si="2"/>
        <v>👤 Thường</v>
      </c>
      <c r="H342" s="2" t="s">
        <v>2772</v>
      </c>
      <c r="I342" s="2" t="s">
        <v>2467</v>
      </c>
      <c r="J342" s="2" t="s">
        <v>2773</v>
      </c>
      <c r="K342" s="82" t="s">
        <v>2774</v>
      </c>
      <c r="L342" s="2">
        <v>9.030991196E9</v>
      </c>
    </row>
    <row r="343">
      <c r="A343" s="2" t="s">
        <v>524</v>
      </c>
      <c r="B343" s="38">
        <f>IF(A343="","",COUNTIFS('NHẬP ĐƠN'!A:A,A343,'NHẬP ĐƠN'!I:I,"&lt;&gt;Đã xoá"))</f>
        <v>1</v>
      </c>
      <c r="C343" s="38">
        <f>IF(A343="","",SUMPRODUCT(('NHẬP ĐƠN'!A$2:A$1000=A343)*('NHẬP ĐƠN'!I$2:I$1000&lt;&gt;"Đã xoá")*('NHẬP ĐƠN'!F$2:F$1000)))</f>
        <v>2</v>
      </c>
      <c r="D343" s="11">
        <f>IF(A343="","",SUMPRODUCT(('NHẬP ĐƠN'!A$2:A$1000=A343)*('NHẬP ĐƠN'!I$2:I$1000&lt;&gt;"Đã xoá")*('NHẬP ĐƠN'!G$2:G$1000)*('NHẬP ĐƠN'!F$2:F$1000)))</f>
        <v>2780</v>
      </c>
      <c r="E343" s="11">
        <f t="shared" si="1"/>
        <v>2780</v>
      </c>
      <c r="F343" s="84" t="str">
        <f>IFERROR(VLOOKUP(A343,'NHẬP ĐƠN'!A:J,10,FALSE),"")</f>
        <v>https://www.facebook.com/mitxinh1903</v>
      </c>
      <c r="G343" s="38" t="str">
        <f t="shared" si="2"/>
        <v>👤 Thường</v>
      </c>
      <c r="H343" s="2" t="s">
        <v>2775</v>
      </c>
      <c r="I343" s="2" t="s">
        <v>2543</v>
      </c>
      <c r="J343" s="2" t="s">
        <v>2776</v>
      </c>
      <c r="K343" s="82" t="s">
        <v>2777</v>
      </c>
      <c r="L343" s="2" t="s">
        <v>2778</v>
      </c>
    </row>
    <row r="344">
      <c r="A344" s="2" t="s">
        <v>534</v>
      </c>
      <c r="B344" s="38">
        <f>IF(A344="","",COUNTIFS('NHẬP ĐƠN'!A:A,A344,'NHẬP ĐƠN'!I:I,"&lt;&gt;Đã xoá"))</f>
        <v>1</v>
      </c>
      <c r="C344" s="38">
        <f>IF(A344="","",SUMPRODUCT(('NHẬP ĐƠN'!A$2:A$1000=A344)*('NHẬP ĐƠN'!I$2:I$1000&lt;&gt;"Đã xoá")*('NHẬP ĐƠN'!F$2:F$1000)))</f>
        <v>2</v>
      </c>
      <c r="D344" s="11">
        <f>IF(A344="","",SUMPRODUCT(('NHẬP ĐƠN'!A$2:A$1000=A344)*('NHẬP ĐƠN'!I$2:I$1000&lt;&gt;"Đã xoá")*('NHẬP ĐƠN'!G$2:G$1000)*('NHẬP ĐƠN'!F$2:F$1000)))</f>
        <v>2780</v>
      </c>
      <c r="E344" s="11">
        <f t="shared" si="1"/>
        <v>2780</v>
      </c>
      <c r="F344" s="84" t="str">
        <f>IFERROR(VLOOKUP(A344,'NHẬP ĐƠN'!A:J,10,FALSE),"")</f>
        <v>https://www.facebook.com/tran.suly.3</v>
      </c>
      <c r="G344" s="38" t="str">
        <f t="shared" si="2"/>
        <v>👤 Thường</v>
      </c>
      <c r="H344" s="2" t="s">
        <v>2779</v>
      </c>
      <c r="I344" s="2" t="s">
        <v>2482</v>
      </c>
      <c r="J344" s="2" t="s">
        <v>2524</v>
      </c>
      <c r="K344" s="82" t="s">
        <v>2780</v>
      </c>
      <c r="L344" s="2">
        <v>9.030991196E9</v>
      </c>
    </row>
    <row r="345">
      <c r="A345" s="2" t="s">
        <v>609</v>
      </c>
      <c r="B345" s="38">
        <f>IF(A345="","",COUNTIFS('NHẬP ĐƠN'!A:A,A345,'NHẬP ĐƠN'!I:I,"&lt;&gt;Đã xoá"))</f>
        <v>6</v>
      </c>
      <c r="C345" s="38">
        <f>IF(A345="","",SUMPRODUCT(('NHẬP ĐƠN'!A$2:A$1000=A345)*('NHẬP ĐƠN'!I$2:I$1000&lt;&gt;"Đã xoá")*('NHẬP ĐƠN'!F$2:F$1000)))</f>
        <v>1</v>
      </c>
      <c r="D345" s="11">
        <f>IF(A345="","",SUMPRODUCT(('NHẬP ĐƠN'!A$2:A$1000=A345)*('NHẬP ĐƠN'!I$2:I$1000&lt;&gt;"Đã xoá")*('NHẬP ĐƠN'!G$2:G$1000)*('NHẬP ĐƠN'!F$2:F$1000)))</f>
        <v>2400</v>
      </c>
      <c r="E345" s="11">
        <f t="shared" si="1"/>
        <v>400</v>
      </c>
      <c r="F345" s="84" t="str">
        <f>IFERROR(VLOOKUP(A345,'NHẬP ĐƠN'!A:J,10,FALSE),"")</f>
        <v>https://www.facebook.com/share/1DPpmwMjkB/</v>
      </c>
      <c r="G345" s="38" t="str">
        <f t="shared" si="2"/>
        <v>⭐ VIP</v>
      </c>
      <c r="H345" s="2" t="s">
        <v>2781</v>
      </c>
      <c r="I345" s="2" t="s">
        <v>2467</v>
      </c>
      <c r="J345" s="2" t="s">
        <v>2728</v>
      </c>
      <c r="K345" s="82" t="s">
        <v>2782</v>
      </c>
      <c r="L345" s="2">
        <v>9.030991196E9</v>
      </c>
      <c r="M345" s="12" t="s">
        <v>1266</v>
      </c>
    </row>
    <row r="346">
      <c r="A346" s="2" t="s">
        <v>584</v>
      </c>
      <c r="B346" s="38">
        <f>IF(A346="","",COUNTIFS('NHẬP ĐƠN'!A:A,A346,'NHẬP ĐƠN'!I:I,"&lt;&gt;Đã xoá"))</f>
        <v>1</v>
      </c>
      <c r="C346" s="38">
        <f>IF(A346="","",SUMPRODUCT(('NHẬP ĐƠN'!A$2:A$1000=A346)*('NHẬP ĐƠN'!I$2:I$1000&lt;&gt;"Đã xoá")*('NHẬP ĐƠN'!F$2:F$1000)))</f>
        <v>1</v>
      </c>
      <c r="D346" s="11">
        <f>IF(A346="","",SUMPRODUCT(('NHẬP ĐƠN'!A$2:A$1000=A346)*('NHẬP ĐƠN'!I$2:I$1000&lt;&gt;"Đã xoá")*('NHẬP ĐƠN'!G$2:G$1000)*('NHẬP ĐƠN'!F$2:F$1000)))</f>
        <v>2350</v>
      </c>
      <c r="E346" s="11">
        <f t="shared" si="1"/>
        <v>2350</v>
      </c>
      <c r="F346" s="84" t="str">
        <f>IFERROR(VLOOKUP(A346,'NHẬP ĐƠN'!A:J,10,FALSE),"")</f>
        <v>https://www.facebook.com/share/1HB3rZHkm2/</v>
      </c>
      <c r="G346" s="38" t="str">
        <f t="shared" si="2"/>
        <v>👤 Thường</v>
      </c>
      <c r="H346" s="2" t="s">
        <v>2783</v>
      </c>
      <c r="I346" s="2" t="s">
        <v>2478</v>
      </c>
      <c r="J346" s="2" t="s">
        <v>2784</v>
      </c>
      <c r="K346" s="82" t="s">
        <v>2785</v>
      </c>
      <c r="L346" s="2">
        <v>9.030991196E9</v>
      </c>
    </row>
    <row r="347">
      <c r="A347" s="2" t="s">
        <v>457</v>
      </c>
      <c r="B347" s="38">
        <f>IF(A347="","",COUNTIFS('NHẬP ĐƠN'!A:A,A347,'NHẬP ĐƠN'!I:I,"&lt;&gt;Đã xoá"))</f>
        <v>1</v>
      </c>
      <c r="C347" s="38">
        <f>IF(A347="","",SUMPRODUCT(('NHẬP ĐƠN'!A$2:A$1000=A347)*('NHẬP ĐƠN'!I$2:I$1000&lt;&gt;"Đã xoá")*('NHẬP ĐƠN'!F$2:F$1000)))</f>
        <v>1</v>
      </c>
      <c r="D347" s="11">
        <f>IF(A347="","",SUMPRODUCT(('NHẬP ĐƠN'!A$2:A$1000=A347)*('NHẬP ĐƠN'!I$2:I$1000&lt;&gt;"Đã xoá")*('NHẬP ĐƠN'!G$2:G$1000)*('NHẬP ĐƠN'!F$2:F$1000)))</f>
        <v>1200</v>
      </c>
      <c r="E347" s="11">
        <f t="shared" si="1"/>
        <v>1200</v>
      </c>
      <c r="F347" s="84" t="str">
        <f>IFERROR(VLOOKUP(A347,'NHẬP ĐƠN'!A:J,10,FALSE),"")</f>
        <v>https://www.facebook.com/giobe.nghean.14</v>
      </c>
      <c r="G347" s="38" t="str">
        <f t="shared" si="2"/>
        <v>👤 Thường</v>
      </c>
      <c r="H347" s="2" t="s">
        <v>2786</v>
      </c>
      <c r="I347" s="2" t="s">
        <v>2463</v>
      </c>
      <c r="J347" s="2" t="s">
        <v>2787</v>
      </c>
      <c r="K347" s="82" t="s">
        <v>2788</v>
      </c>
      <c r="L347" s="2">
        <v>9.030991196E9</v>
      </c>
    </row>
    <row r="348">
      <c r="A348" s="2" t="s">
        <v>468</v>
      </c>
      <c r="B348" s="38">
        <f>IF(A348="","",COUNTIFS('NHẬP ĐƠN'!A:A,A348,'NHẬP ĐƠN'!I:I,"&lt;&gt;Đã xoá"))</f>
        <v>3</v>
      </c>
      <c r="C348" s="38">
        <f>IF(A348="","",SUMPRODUCT(('NHẬP ĐƠN'!A$2:A$1000=A348)*('NHẬP ĐƠN'!I$2:I$1000&lt;&gt;"Đã xoá")*('NHẬP ĐƠN'!F$2:F$1000)))</f>
        <v>1</v>
      </c>
      <c r="D348" s="11">
        <f>IF(A348="","",SUMPRODUCT(('NHẬP ĐƠN'!A$2:A$1000=A348)*('NHẬP ĐƠN'!I$2:I$1000&lt;&gt;"Đã xoá")*('NHẬP ĐƠN'!G$2:G$1000)*('NHẬP ĐƠN'!F$2:F$1000)))</f>
        <v>1200</v>
      </c>
      <c r="E348" s="11">
        <f t="shared" si="1"/>
        <v>400</v>
      </c>
      <c r="F348" s="84" t="str">
        <f>IFERROR(VLOOKUP(A348,'NHẬP ĐƠN'!A:J,10,FALSE),"")</f>
        <v>https://www.facebook.com/Hienbabier3101</v>
      </c>
      <c r="G348" s="38" t="str">
        <f t="shared" si="2"/>
        <v>💎 Thân thiết</v>
      </c>
      <c r="H348" s="2" t="s">
        <v>2789</v>
      </c>
      <c r="I348" s="2" t="s">
        <v>2482</v>
      </c>
      <c r="J348" s="2" t="s">
        <v>2790</v>
      </c>
      <c r="K348" s="82" t="s">
        <v>2791</v>
      </c>
      <c r="L348" s="2">
        <v>9.030991196E9</v>
      </c>
    </row>
    <row r="349">
      <c r="A349" s="2" t="s">
        <v>439</v>
      </c>
      <c r="B349" s="38">
        <f>IF(A349="","",COUNTIFS('NHẬP ĐƠN'!A:A,A349,'NHẬP ĐƠN'!I:I,"&lt;&gt;Đã xoá"))</f>
        <v>1</v>
      </c>
      <c r="C349" s="38">
        <f>IF(A349="","",SUMPRODUCT(('NHẬP ĐƠN'!A$2:A$1000=A349)*('NHẬP ĐƠN'!I$2:I$1000&lt;&gt;"Đã xoá")*('NHẬP ĐƠN'!F$2:F$1000)))</f>
        <v>1</v>
      </c>
      <c r="D349" s="11">
        <f>IF(A349="","",SUMPRODUCT(('NHẬP ĐƠN'!A$2:A$1000=A349)*('NHẬP ĐƠN'!I$2:I$1000&lt;&gt;"Đã xoá")*('NHẬP ĐƠN'!G$2:G$1000)*('NHẬP ĐƠN'!F$2:F$1000)))</f>
        <v>1200</v>
      </c>
      <c r="E349" s="11">
        <f t="shared" si="1"/>
        <v>1200</v>
      </c>
      <c r="F349" s="84" t="str">
        <f>IFERROR(VLOOKUP(A349,'NHẬP ĐƠN'!A:J,10,FALSE),"")</f>
        <v>https://www.facebook.com/quynh.harry.3</v>
      </c>
      <c r="G349" s="38" t="str">
        <f t="shared" si="2"/>
        <v>👤 Thường</v>
      </c>
      <c r="H349" s="2" t="s">
        <v>2792</v>
      </c>
      <c r="I349" s="2" t="s">
        <v>2467</v>
      </c>
      <c r="J349" s="2" t="s">
        <v>2793</v>
      </c>
      <c r="K349" s="82" t="s">
        <v>2794</v>
      </c>
      <c r="L349" s="2" t="s">
        <v>2795</v>
      </c>
    </row>
    <row r="350">
      <c r="A350" s="2" t="s">
        <v>537</v>
      </c>
      <c r="B350" s="38">
        <f>IF(A350="","",COUNTIFS('NHẬP ĐƠN'!A:A,A350,'NHẬP ĐƠN'!I:I,"&lt;&gt;Đã xoá"))</f>
        <v>1</v>
      </c>
      <c r="C350" s="38">
        <f>IF(A350="","",SUMPRODUCT(('NHẬP ĐƠN'!A$2:A$1000=A350)*('NHẬP ĐƠN'!I$2:I$1000&lt;&gt;"Đã xoá")*('NHẬP ĐƠN'!F$2:F$1000)))</f>
        <v>1</v>
      </c>
      <c r="D350" s="11">
        <f>IF(A350="","",SUMPRODUCT(('NHẬP ĐƠN'!A$2:A$1000=A350)*('NHẬP ĐƠN'!I$2:I$1000&lt;&gt;"Đã xoá")*('NHẬP ĐƠN'!G$2:G$1000)*('NHẬP ĐƠN'!F$2:F$1000)))</f>
        <v>1390</v>
      </c>
      <c r="E350" s="11">
        <f t="shared" si="1"/>
        <v>1390</v>
      </c>
      <c r="F350" s="84" t="str">
        <f>IFERROR(VLOOKUP(A350,'NHẬP ĐƠN'!A:J,10,FALSE),"")</f>
        <v>https://www.facebook.com/profile.php?id=100080646824364</v>
      </c>
      <c r="G350" s="38" t="str">
        <f t="shared" si="2"/>
        <v>👤 Thường</v>
      </c>
      <c r="H350" s="2" t="s">
        <v>2796</v>
      </c>
      <c r="I350" s="2" t="s">
        <v>2558</v>
      </c>
      <c r="J350" s="2" t="s">
        <v>2582</v>
      </c>
      <c r="K350" s="82" t="s">
        <v>2797</v>
      </c>
      <c r="L350" s="2">
        <v>9.030991196E9</v>
      </c>
    </row>
    <row r="351">
      <c r="A351" s="2" t="s">
        <v>701</v>
      </c>
      <c r="H351" s="2" t="s">
        <v>2798</v>
      </c>
      <c r="I351" s="2" t="s">
        <v>2558</v>
      </c>
      <c r="J351" s="2" t="s">
        <v>2799</v>
      </c>
      <c r="K351" s="82" t="s">
        <v>2800</v>
      </c>
      <c r="L351" s="2">
        <v>9.030991196E9</v>
      </c>
      <c r="M351" s="12" t="s">
        <v>1351</v>
      </c>
    </row>
    <row r="352">
      <c r="A352" s="2" t="s">
        <v>716</v>
      </c>
      <c r="H352" s="2" t="s">
        <v>2801</v>
      </c>
      <c r="I352" s="2" t="s">
        <v>2463</v>
      </c>
      <c r="J352" s="2" t="s">
        <v>2802</v>
      </c>
      <c r="K352" s="82" t="s">
        <v>2803</v>
      </c>
      <c r="L352" s="2">
        <v>9.030991196E9</v>
      </c>
    </row>
    <row r="353">
      <c r="A353" s="2" t="s">
        <v>581</v>
      </c>
      <c r="H353" s="2" t="s">
        <v>2804</v>
      </c>
      <c r="I353" s="2" t="s">
        <v>2467</v>
      </c>
      <c r="J353" s="2" t="s">
        <v>2805</v>
      </c>
      <c r="K353" s="82" t="s">
        <v>2806</v>
      </c>
      <c r="L353" s="2">
        <v>9.030991196E9</v>
      </c>
    </row>
    <row r="354">
      <c r="A354" s="2" t="s">
        <v>528</v>
      </c>
      <c r="H354" s="2" t="s">
        <v>2807</v>
      </c>
      <c r="I354" s="2" t="s">
        <v>2808</v>
      </c>
      <c r="J354" s="2" t="s">
        <v>2809</v>
      </c>
      <c r="K354" s="82" t="s">
        <v>2810</v>
      </c>
      <c r="L354" s="2">
        <v>9.030991196E9</v>
      </c>
    </row>
    <row r="355">
      <c r="A355" s="2" t="s">
        <v>539</v>
      </c>
      <c r="H355" s="2" t="s">
        <v>2811</v>
      </c>
      <c r="I355" s="2" t="s">
        <v>2459</v>
      </c>
      <c r="J355" s="2" t="s">
        <v>2812</v>
      </c>
      <c r="K355" s="82" t="s">
        <v>2813</v>
      </c>
      <c r="L355" s="2">
        <v>9.030991196E9</v>
      </c>
    </row>
    <row r="356">
      <c r="A356" s="2" t="s">
        <v>549</v>
      </c>
      <c r="H356" s="2" t="s">
        <v>2814</v>
      </c>
      <c r="I356" s="2" t="s">
        <v>2459</v>
      </c>
      <c r="J356" s="2" t="s">
        <v>2815</v>
      </c>
      <c r="K356" s="82" t="s">
        <v>2816</v>
      </c>
      <c r="L356" s="2">
        <v>9.030991196E9</v>
      </c>
    </row>
    <row r="357">
      <c r="A357" s="2" t="s">
        <v>707</v>
      </c>
      <c r="H357" s="2" t="s">
        <v>2817</v>
      </c>
      <c r="I357" s="2" t="s">
        <v>2536</v>
      </c>
      <c r="J357" s="2" t="s">
        <v>2818</v>
      </c>
      <c r="K357" s="82" t="s">
        <v>2819</v>
      </c>
      <c r="L357" s="2">
        <v>9.030991196E9</v>
      </c>
      <c r="M357" s="12" t="s">
        <v>1061</v>
      </c>
    </row>
    <row r="358">
      <c r="A358" s="2" t="s">
        <v>575</v>
      </c>
      <c r="H358" s="2" t="s">
        <v>2820</v>
      </c>
      <c r="I358" s="2" t="s">
        <v>2558</v>
      </c>
      <c r="J358" s="2" t="s">
        <v>2566</v>
      </c>
      <c r="K358" s="82" t="s">
        <v>2821</v>
      </c>
      <c r="L358" s="2">
        <v>9.030991196E9</v>
      </c>
      <c r="M358" s="12" t="s">
        <v>1060</v>
      </c>
    </row>
    <row r="359">
      <c r="A359" s="2" t="s">
        <v>600</v>
      </c>
      <c r="H359" s="2" t="s">
        <v>2822</v>
      </c>
      <c r="I359" s="2" t="s">
        <v>2674</v>
      </c>
      <c r="J359" s="2" t="s">
        <v>2823</v>
      </c>
      <c r="K359" s="82" t="s">
        <v>2824</v>
      </c>
      <c r="L359" s="2">
        <v>9.030991196E9</v>
      </c>
      <c r="M359" s="12" t="s">
        <v>2049</v>
      </c>
    </row>
    <row r="360">
      <c r="A360" s="2" t="s">
        <v>571</v>
      </c>
      <c r="H360" s="2" t="s">
        <v>2825</v>
      </c>
      <c r="I360" s="2" t="s">
        <v>2463</v>
      </c>
      <c r="J360" s="2" t="s">
        <v>2787</v>
      </c>
      <c r="K360" s="82" t="s">
        <v>2826</v>
      </c>
      <c r="L360" s="2">
        <v>9.030991196E9</v>
      </c>
      <c r="M360" s="12" t="s">
        <v>572</v>
      </c>
    </row>
    <row r="361">
      <c r="A361" s="2" t="s">
        <v>672</v>
      </c>
      <c r="H361" s="2" t="s">
        <v>2827</v>
      </c>
      <c r="I361" s="2" t="s">
        <v>2478</v>
      </c>
      <c r="J361" s="2" t="s">
        <v>2740</v>
      </c>
      <c r="K361" s="82" t="s">
        <v>2828</v>
      </c>
      <c r="L361" s="2">
        <v>9.030991196E9</v>
      </c>
    </row>
    <row r="362">
      <c r="A362" s="2" t="s">
        <v>693</v>
      </c>
      <c r="H362" s="2" t="s">
        <v>2829</v>
      </c>
      <c r="I362" s="2" t="s">
        <v>2509</v>
      </c>
      <c r="J362" s="2" t="s">
        <v>2510</v>
      </c>
      <c r="K362" s="82" t="s">
        <v>2830</v>
      </c>
      <c r="L362" s="2">
        <v>9.030991196E9</v>
      </c>
    </row>
    <row r="363">
      <c r="A363" s="2" t="s">
        <v>646</v>
      </c>
      <c r="H363" s="2" t="s">
        <v>2831</v>
      </c>
      <c r="I363" s="2" t="s">
        <v>2474</v>
      </c>
      <c r="J363" s="2" t="s">
        <v>2832</v>
      </c>
      <c r="K363" s="82" t="s">
        <v>2833</v>
      </c>
      <c r="L363" s="2">
        <v>9.030991196E9</v>
      </c>
    </row>
    <row r="364">
      <c r="A364" s="2" t="s">
        <v>611</v>
      </c>
      <c r="H364" s="2" t="s">
        <v>2834</v>
      </c>
      <c r="I364" s="2" t="s">
        <v>2474</v>
      </c>
      <c r="J364" s="2" t="s">
        <v>2835</v>
      </c>
      <c r="K364" s="82" t="s">
        <v>2836</v>
      </c>
      <c r="L364" s="2">
        <v>9.030991196E9</v>
      </c>
    </row>
    <row r="365">
      <c r="A365" s="2" t="s">
        <v>629</v>
      </c>
      <c r="H365" s="2" t="s">
        <v>2837</v>
      </c>
      <c r="I365" s="2" t="s">
        <v>2459</v>
      </c>
      <c r="J365" s="2" t="s">
        <v>2838</v>
      </c>
      <c r="K365" s="82" t="s">
        <v>2839</v>
      </c>
      <c r="L365" s="2">
        <v>9.030991196E9</v>
      </c>
    </row>
    <row r="366">
      <c r="A366" s="2" t="s">
        <v>625</v>
      </c>
      <c r="H366" s="2" t="s">
        <v>2840</v>
      </c>
      <c r="I366" s="2" t="s">
        <v>2558</v>
      </c>
      <c r="J366" s="2" t="s">
        <v>2841</v>
      </c>
      <c r="K366" s="82" t="s">
        <v>2842</v>
      </c>
      <c r="L366" s="2">
        <v>9.030991196E9</v>
      </c>
    </row>
    <row r="367">
      <c r="A367" s="2" t="s">
        <v>613</v>
      </c>
      <c r="H367" s="2" t="s">
        <v>2843</v>
      </c>
      <c r="I367" s="2" t="s">
        <v>2654</v>
      </c>
      <c r="J367" s="2" t="s">
        <v>2844</v>
      </c>
      <c r="K367" s="82" t="s">
        <v>2845</v>
      </c>
      <c r="L367" s="2">
        <v>9.030991196E9</v>
      </c>
    </row>
    <row r="368">
      <c r="A368" s="2" t="s">
        <v>466</v>
      </c>
      <c r="H368" s="2" t="s">
        <v>2846</v>
      </c>
      <c r="I368" s="2" t="s">
        <v>2631</v>
      </c>
      <c r="J368" s="2" t="s">
        <v>2847</v>
      </c>
      <c r="K368" s="82" t="s">
        <v>2848</v>
      </c>
      <c r="L368" s="2">
        <v>8.080359847E9</v>
      </c>
    </row>
    <row r="369">
      <c r="A369" s="2" t="s">
        <v>543</v>
      </c>
      <c r="H369" s="2" t="s">
        <v>2849</v>
      </c>
      <c r="I369" s="2" t="s">
        <v>2467</v>
      </c>
      <c r="J369" s="2" t="s">
        <v>2850</v>
      </c>
      <c r="K369" s="82" t="s">
        <v>2851</v>
      </c>
    </row>
    <row r="370">
      <c r="A370" s="2" t="s">
        <v>545</v>
      </c>
      <c r="H370" s="2" t="s">
        <v>2852</v>
      </c>
      <c r="I370" s="2" t="s">
        <v>2536</v>
      </c>
      <c r="J370" s="2" t="s">
        <v>2853</v>
      </c>
      <c r="K370" s="82" t="s">
        <v>2854</v>
      </c>
      <c r="L370" s="2">
        <v>7.016908668E9</v>
      </c>
    </row>
    <row r="371">
      <c r="A371" s="2" t="s">
        <v>565</v>
      </c>
      <c r="H371" s="2" t="s">
        <v>2855</v>
      </c>
      <c r="I371" s="2" t="s">
        <v>2720</v>
      </c>
      <c r="J371" s="2" t="s">
        <v>2856</v>
      </c>
      <c r="K371" s="82" t="s">
        <v>2857</v>
      </c>
      <c r="L371" s="2">
        <v>8.080359847E9</v>
      </c>
    </row>
    <row r="372">
      <c r="A372" s="2" t="s">
        <v>695</v>
      </c>
      <c r="H372" s="2" t="s">
        <v>2858</v>
      </c>
      <c r="I372" s="2" t="s">
        <v>2478</v>
      </c>
      <c r="J372" s="2" t="s">
        <v>2859</v>
      </c>
      <c r="K372" s="82" t="s">
        <v>2860</v>
      </c>
      <c r="L372" s="2">
        <v>7.09091696E9</v>
      </c>
    </row>
    <row r="373">
      <c r="A373" s="2" t="s">
        <v>449</v>
      </c>
      <c r="H373" s="2" t="s">
        <v>2861</v>
      </c>
      <c r="I373" s="2" t="s">
        <v>2558</v>
      </c>
      <c r="J373" s="2" t="s">
        <v>2642</v>
      </c>
      <c r="K373" s="82" t="s">
        <v>2862</v>
      </c>
      <c r="L373" s="2">
        <v>9.030991196E9</v>
      </c>
      <c r="M373" s="12" t="s">
        <v>1396</v>
      </c>
    </row>
    <row r="374">
      <c r="A374" s="2" t="s">
        <v>590</v>
      </c>
      <c r="H374" s="2" t="s">
        <v>2863</v>
      </c>
      <c r="I374" s="2" t="s">
        <v>2558</v>
      </c>
      <c r="J374" s="2" t="s">
        <v>2864</v>
      </c>
      <c r="K374" s="82" t="s">
        <v>2865</v>
      </c>
      <c r="L374" s="2">
        <v>9.030991196E9</v>
      </c>
    </row>
    <row r="375">
      <c r="A375" s="2" t="s">
        <v>637</v>
      </c>
      <c r="H375" s="2" t="s">
        <v>2866</v>
      </c>
      <c r="I375" s="2" t="s">
        <v>2463</v>
      </c>
      <c r="J375" s="2" t="s">
        <v>2867</v>
      </c>
      <c r="K375" s="82" t="s">
        <v>2868</v>
      </c>
      <c r="L375" s="2">
        <v>9.030991196E9</v>
      </c>
    </row>
    <row r="376">
      <c r="A376" s="2" t="s">
        <v>547</v>
      </c>
      <c r="H376" s="2" t="s">
        <v>2869</v>
      </c>
      <c r="I376" s="2" t="s">
        <v>2463</v>
      </c>
      <c r="J376" s="2" t="s">
        <v>2870</v>
      </c>
      <c r="K376" s="82" t="s">
        <v>2871</v>
      </c>
      <c r="L376" s="2">
        <v>9.030991196E9</v>
      </c>
    </row>
    <row r="377">
      <c r="A377" s="2" t="s">
        <v>530</v>
      </c>
      <c r="H377" s="2" t="s">
        <v>2822</v>
      </c>
      <c r="I377" s="2" t="s">
        <v>2674</v>
      </c>
      <c r="J377" s="2" t="s">
        <v>2823</v>
      </c>
      <c r="K377" s="82" t="s">
        <v>2872</v>
      </c>
      <c r="L377" s="2">
        <v>9.030991196E9</v>
      </c>
      <c r="M377" s="12" t="s">
        <v>1796</v>
      </c>
    </row>
    <row r="378">
      <c r="A378" s="2" t="s">
        <v>710</v>
      </c>
      <c r="H378" s="2" t="s">
        <v>2873</v>
      </c>
      <c r="I378" s="2" t="s">
        <v>2874</v>
      </c>
      <c r="J378" s="2" t="s">
        <v>2875</v>
      </c>
      <c r="K378" s="82" t="s">
        <v>2876</v>
      </c>
      <c r="L378" s="2">
        <v>9.030991196E9</v>
      </c>
    </row>
    <row r="379">
      <c r="A379" s="2" t="s">
        <v>798</v>
      </c>
      <c r="H379" s="2" t="s">
        <v>2877</v>
      </c>
      <c r="I379" s="2" t="s">
        <v>2597</v>
      </c>
      <c r="J379" s="2" t="s">
        <v>2731</v>
      </c>
      <c r="K379" s="82" t="s">
        <v>2878</v>
      </c>
      <c r="L379" s="2">
        <v>8.080359847E9</v>
      </c>
    </row>
    <row r="380">
      <c r="A380" s="2" t="s">
        <v>459</v>
      </c>
      <c r="H380" s="2" t="s">
        <v>2879</v>
      </c>
      <c r="I380" s="2" t="s">
        <v>2880</v>
      </c>
      <c r="J380" s="2" t="s">
        <v>2881</v>
      </c>
      <c r="K380" s="82" t="s">
        <v>2882</v>
      </c>
      <c r="L380" s="2">
        <v>9.030991196E9</v>
      </c>
    </row>
    <row r="381">
      <c r="A381" s="2" t="s">
        <v>532</v>
      </c>
      <c r="H381" s="2" t="s">
        <v>2883</v>
      </c>
      <c r="I381" s="2" t="s">
        <v>2884</v>
      </c>
      <c r="J381" s="2" t="s">
        <v>2885</v>
      </c>
      <c r="K381" s="82" t="s">
        <v>2886</v>
      </c>
      <c r="L381" s="2">
        <v>9.01273782E9</v>
      </c>
    </row>
    <row r="382">
      <c r="A382" s="2" t="s">
        <v>669</v>
      </c>
      <c r="H382" s="2" t="s">
        <v>2887</v>
      </c>
      <c r="I382" s="2" t="s">
        <v>2474</v>
      </c>
      <c r="J382" s="2" t="s">
        <v>2888</v>
      </c>
      <c r="K382" s="82" t="s">
        <v>2889</v>
      </c>
      <c r="L382" s="2">
        <v>9.030991196E9</v>
      </c>
    </row>
    <row r="383">
      <c r="A383" s="2" t="s">
        <v>675</v>
      </c>
      <c r="H383" s="2" t="s">
        <v>2521</v>
      </c>
      <c r="I383" s="2" t="s">
        <v>2467</v>
      </c>
      <c r="J383" s="2" t="s">
        <v>2471</v>
      </c>
      <c r="K383" s="82" t="s">
        <v>2660</v>
      </c>
      <c r="L383" s="2">
        <v>9.030991196E9</v>
      </c>
    </row>
    <row r="384">
      <c r="A384" s="2" t="s">
        <v>691</v>
      </c>
      <c r="H384" s="2" t="s">
        <v>2890</v>
      </c>
      <c r="I384" s="2" t="s">
        <v>2467</v>
      </c>
      <c r="J384" s="2" t="s">
        <v>2471</v>
      </c>
      <c r="K384" s="82" t="s">
        <v>2891</v>
      </c>
      <c r="L384" s="2">
        <v>8.080359847E9</v>
      </c>
    </row>
    <row r="385">
      <c r="A385" s="2" t="s">
        <v>623</v>
      </c>
      <c r="H385" s="2" t="s">
        <v>2892</v>
      </c>
      <c r="I385" s="2" t="s">
        <v>2478</v>
      </c>
      <c r="J385" s="2" t="s">
        <v>2572</v>
      </c>
      <c r="K385" s="82" t="s">
        <v>2893</v>
      </c>
      <c r="L385" s="2">
        <v>9.030991196E9</v>
      </c>
    </row>
    <row r="386">
      <c r="A386" s="2" t="s">
        <v>793</v>
      </c>
      <c r="H386" s="2" t="s">
        <v>2894</v>
      </c>
      <c r="I386" s="2" t="s">
        <v>2684</v>
      </c>
      <c r="J386" s="2" t="s">
        <v>2895</v>
      </c>
      <c r="K386" s="82" t="s">
        <v>2896</v>
      </c>
      <c r="L386" s="2">
        <v>8.080359847E9</v>
      </c>
      <c r="M386" s="12" t="s">
        <v>1198</v>
      </c>
    </row>
    <row r="387">
      <c r="A387" s="2" t="s">
        <v>853</v>
      </c>
      <c r="H387" s="2" t="s">
        <v>2897</v>
      </c>
      <c r="I387" s="2" t="s">
        <v>2518</v>
      </c>
      <c r="J387" s="2" t="s">
        <v>2898</v>
      </c>
      <c r="K387" s="82" t="s">
        <v>2899</v>
      </c>
      <c r="L387" s="2">
        <v>9.030991196E9</v>
      </c>
    </row>
    <row r="388">
      <c r="A388" s="2" t="s">
        <v>828</v>
      </c>
      <c r="H388" s="2" t="s">
        <v>2900</v>
      </c>
      <c r="I388" s="2" t="s">
        <v>2474</v>
      </c>
      <c r="J388" s="2" t="s">
        <v>2901</v>
      </c>
      <c r="K388" s="82" t="s">
        <v>2902</v>
      </c>
      <c r="L388" s="2">
        <v>8.080359847E9</v>
      </c>
      <c r="M388" s="12" t="s">
        <v>1809</v>
      </c>
    </row>
    <row r="389">
      <c r="A389" s="2" t="s">
        <v>859</v>
      </c>
      <c r="H389" s="2" t="s">
        <v>2903</v>
      </c>
      <c r="I389" s="2" t="s">
        <v>2463</v>
      </c>
      <c r="J389" s="2" t="s">
        <v>2904</v>
      </c>
      <c r="K389" s="82" t="s">
        <v>2905</v>
      </c>
      <c r="L389" s="2">
        <v>9.030991196E9</v>
      </c>
    </row>
    <row r="390">
      <c r="A390" s="2" t="s">
        <v>855</v>
      </c>
      <c r="H390" s="2" t="s">
        <v>2906</v>
      </c>
      <c r="I390" s="2" t="s">
        <v>2907</v>
      </c>
      <c r="J390" s="2" t="s">
        <v>2908</v>
      </c>
      <c r="K390" s="82" t="s">
        <v>2909</v>
      </c>
      <c r="L390" s="2">
        <v>8.080359847E9</v>
      </c>
    </row>
    <row r="391">
      <c r="A391" s="2" t="s">
        <v>781</v>
      </c>
      <c r="H391" s="2" t="s">
        <v>2910</v>
      </c>
      <c r="I391" s="2" t="s">
        <v>2459</v>
      </c>
      <c r="J391" s="2" t="s">
        <v>2911</v>
      </c>
      <c r="K391" s="82" t="s">
        <v>2912</v>
      </c>
      <c r="L391" s="2">
        <v>9.030991196E9</v>
      </c>
      <c r="M391" s="12" t="s">
        <v>1226</v>
      </c>
    </row>
    <row r="392">
      <c r="A392" s="2" t="s">
        <v>808</v>
      </c>
      <c r="H392" s="2" t="s">
        <v>2913</v>
      </c>
      <c r="I392" s="2" t="s">
        <v>2623</v>
      </c>
      <c r="J392" s="2" t="s">
        <v>2914</v>
      </c>
      <c r="K392" s="82" t="s">
        <v>2915</v>
      </c>
      <c r="L392" s="2">
        <v>8.080359847E9</v>
      </c>
    </row>
    <row r="393">
      <c r="A393" s="2" t="s">
        <v>872</v>
      </c>
      <c r="H393" s="2" t="s">
        <v>2916</v>
      </c>
      <c r="I393" s="2" t="s">
        <v>2536</v>
      </c>
      <c r="J393" s="2" t="s">
        <v>2853</v>
      </c>
      <c r="K393" s="82" t="s">
        <v>2917</v>
      </c>
      <c r="L393" s="2" t="s">
        <v>2918</v>
      </c>
    </row>
    <row r="394">
      <c r="A394" s="2" t="s">
        <v>490</v>
      </c>
      <c r="H394" s="2" t="s">
        <v>2919</v>
      </c>
      <c r="I394" s="2" t="s">
        <v>2482</v>
      </c>
      <c r="J394" s="2" t="s">
        <v>2920</v>
      </c>
      <c r="K394" s="82" t="s">
        <v>2921</v>
      </c>
      <c r="L394" s="2">
        <v>8.080359847E9</v>
      </c>
      <c r="M394" s="12" t="s">
        <v>491</v>
      </c>
    </row>
    <row r="395">
      <c r="A395" s="2" t="s">
        <v>84</v>
      </c>
      <c r="H395" s="2" t="s">
        <v>2922</v>
      </c>
      <c r="I395" s="2" t="s">
        <v>2478</v>
      </c>
      <c r="J395" s="2" t="s">
        <v>2572</v>
      </c>
      <c r="K395" s="82" t="s">
        <v>2923</v>
      </c>
      <c r="L395" s="2">
        <v>8.080359847E9</v>
      </c>
      <c r="M395" s="12" t="s">
        <v>493</v>
      </c>
    </row>
    <row r="396">
      <c r="A396" s="2" t="s">
        <v>385</v>
      </c>
      <c r="H396" s="2" t="s">
        <v>2900</v>
      </c>
      <c r="I396" s="2" t="s">
        <v>2474</v>
      </c>
      <c r="J396" s="2" t="s">
        <v>2901</v>
      </c>
      <c r="K396" s="82" t="s">
        <v>2924</v>
      </c>
      <c r="L396" s="2">
        <v>8.062340306E9</v>
      </c>
      <c r="M396" s="12" t="s">
        <v>497</v>
      </c>
    </row>
    <row r="397">
      <c r="A397" s="2" t="s">
        <v>821</v>
      </c>
      <c r="H397" s="2" t="s">
        <v>2925</v>
      </c>
      <c r="I397" s="2" t="s">
        <v>2474</v>
      </c>
      <c r="J397" s="2" t="s">
        <v>2926</v>
      </c>
      <c r="K397" s="82" t="s">
        <v>2927</v>
      </c>
      <c r="L397" s="2">
        <v>7.090361237E9</v>
      </c>
      <c r="M397" s="12" t="s">
        <v>822</v>
      </c>
    </row>
    <row r="398">
      <c r="A398" s="2" t="s">
        <v>744</v>
      </c>
      <c r="H398" s="2" t="s">
        <v>2928</v>
      </c>
      <c r="I398" s="2" t="s">
        <v>2474</v>
      </c>
      <c r="J398" s="2" t="s">
        <v>2832</v>
      </c>
      <c r="K398" s="82" t="s">
        <v>2929</v>
      </c>
      <c r="L398" s="2">
        <v>8.080359847E9</v>
      </c>
      <c r="M398" s="12" t="s">
        <v>745</v>
      </c>
    </row>
    <row r="399">
      <c r="A399" s="2" t="s">
        <v>845</v>
      </c>
      <c r="H399" s="2" t="s">
        <v>2665</v>
      </c>
      <c r="I399" s="2" t="s">
        <v>2478</v>
      </c>
      <c r="J399" s="2" t="s">
        <v>2668</v>
      </c>
      <c r="K399" s="82" t="s">
        <v>2930</v>
      </c>
      <c r="L399" s="2">
        <v>8.080359847E9</v>
      </c>
      <c r="M399" s="12" t="s">
        <v>846</v>
      </c>
    </row>
    <row r="400">
      <c r="A400" s="2" t="s">
        <v>508</v>
      </c>
      <c r="H400" s="2" t="s">
        <v>2931</v>
      </c>
      <c r="I400" s="2" t="s">
        <v>2616</v>
      </c>
      <c r="J400" s="2" t="s">
        <v>2932</v>
      </c>
      <c r="K400" s="82" t="s">
        <v>2933</v>
      </c>
      <c r="L400" s="2">
        <v>8.080359847E9</v>
      </c>
      <c r="M400" s="12" t="s">
        <v>509</v>
      </c>
    </row>
    <row r="401">
      <c r="A401" s="2" t="s">
        <v>775</v>
      </c>
      <c r="H401" s="2" t="s">
        <v>2934</v>
      </c>
      <c r="I401" s="2" t="s">
        <v>2558</v>
      </c>
      <c r="J401" s="2" t="s">
        <v>2582</v>
      </c>
      <c r="K401" s="82" t="s">
        <v>2935</v>
      </c>
      <c r="L401" s="2">
        <v>8.080359847E9</v>
      </c>
      <c r="M401" s="12" t="s">
        <v>776</v>
      </c>
    </row>
    <row r="402">
      <c r="A402" s="2" t="s">
        <v>727</v>
      </c>
      <c r="H402" s="2" t="s">
        <v>2936</v>
      </c>
      <c r="I402" s="2" t="s">
        <v>2482</v>
      </c>
      <c r="J402" s="2" t="s">
        <v>2937</v>
      </c>
      <c r="K402" s="82" t="s">
        <v>2938</v>
      </c>
      <c r="L402" s="2">
        <v>8.080359847E9</v>
      </c>
      <c r="M402" s="12" t="s">
        <v>725</v>
      </c>
    </row>
    <row r="403">
      <c r="A403" s="2" t="s">
        <v>841</v>
      </c>
      <c r="H403" s="2" t="s">
        <v>2939</v>
      </c>
      <c r="I403" s="2" t="s">
        <v>2463</v>
      </c>
      <c r="J403" s="2" t="s">
        <v>2940</v>
      </c>
      <c r="K403" s="82" t="s">
        <v>2941</v>
      </c>
      <c r="L403" s="2">
        <v>8.080359847E9</v>
      </c>
      <c r="M403" s="12" t="s">
        <v>842</v>
      </c>
    </row>
    <row r="404">
      <c r="A404" s="2" t="s">
        <v>592</v>
      </c>
      <c r="H404" s="2" t="s">
        <v>2942</v>
      </c>
      <c r="I404" s="2" t="s">
        <v>2532</v>
      </c>
      <c r="J404" s="2" t="s">
        <v>2943</v>
      </c>
      <c r="K404" s="82" t="s">
        <v>2944</v>
      </c>
      <c r="L404" s="2">
        <v>8.080359847E9</v>
      </c>
      <c r="M404" s="12" t="s">
        <v>593</v>
      </c>
    </row>
    <row r="405">
      <c r="A405" s="2" t="s">
        <v>86</v>
      </c>
      <c r="H405" s="2" t="s">
        <v>2945</v>
      </c>
      <c r="I405" s="2" t="s">
        <v>2474</v>
      </c>
      <c r="J405" s="2" t="s">
        <v>2515</v>
      </c>
      <c r="K405" s="82" t="s">
        <v>2946</v>
      </c>
      <c r="L405" s="2">
        <v>8.080359847E9</v>
      </c>
      <c r="M405" s="12" t="s">
        <v>652</v>
      </c>
    </row>
    <row r="406">
      <c r="A406" s="2" t="s">
        <v>705</v>
      </c>
      <c r="H406" s="2" t="s">
        <v>2947</v>
      </c>
      <c r="I406" s="2" t="s">
        <v>2474</v>
      </c>
      <c r="J406" s="2" t="s">
        <v>2901</v>
      </c>
      <c r="K406" s="82" t="s">
        <v>2948</v>
      </c>
      <c r="L406" s="2">
        <v>8.080359847E9</v>
      </c>
      <c r="M406" s="12" t="s">
        <v>706</v>
      </c>
    </row>
    <row r="407">
      <c r="A407" s="2" t="s">
        <v>753</v>
      </c>
      <c r="H407" s="2" t="s">
        <v>2949</v>
      </c>
      <c r="I407" s="2" t="s">
        <v>2498</v>
      </c>
      <c r="J407" s="2" t="s">
        <v>2950</v>
      </c>
      <c r="K407" s="82" t="s">
        <v>2951</v>
      </c>
      <c r="L407" s="2">
        <v>8.080359847E9</v>
      </c>
      <c r="M407" s="12" t="s">
        <v>754</v>
      </c>
    </row>
    <row r="408">
      <c r="A408" s="2" t="s">
        <v>738</v>
      </c>
      <c r="H408" s="2" t="s">
        <v>2952</v>
      </c>
      <c r="I408" s="2" t="s">
        <v>2467</v>
      </c>
      <c r="J408" s="2" t="s">
        <v>2953</v>
      </c>
      <c r="K408" s="82" t="s">
        <v>2954</v>
      </c>
      <c r="L408" s="2">
        <v>8.080359847E9</v>
      </c>
      <c r="M408" s="12" t="s">
        <v>739</v>
      </c>
    </row>
    <row r="409">
      <c r="A409" s="2" t="s">
        <v>742</v>
      </c>
      <c r="H409" s="2" t="s">
        <v>2955</v>
      </c>
      <c r="I409" s="2" t="s">
        <v>2558</v>
      </c>
      <c r="J409" s="2" t="s">
        <v>2956</v>
      </c>
      <c r="K409" s="82" t="s">
        <v>2957</v>
      </c>
      <c r="L409" s="2">
        <v>8.080359847E9</v>
      </c>
      <c r="M409" s="12" t="s">
        <v>743</v>
      </c>
    </row>
    <row r="410">
      <c r="A410" s="2" t="s">
        <v>837</v>
      </c>
      <c r="H410" s="2" t="s">
        <v>2958</v>
      </c>
      <c r="I410" s="2" t="s">
        <v>2463</v>
      </c>
      <c r="J410" s="2" t="s">
        <v>2959</v>
      </c>
      <c r="K410" s="82" t="s">
        <v>2960</v>
      </c>
      <c r="L410" s="2">
        <v>8.080359847E9</v>
      </c>
      <c r="M410" s="12" t="s">
        <v>838</v>
      </c>
    </row>
    <row r="411">
      <c r="A411" s="2" t="s">
        <v>354</v>
      </c>
      <c r="H411" s="2" t="s">
        <v>2488</v>
      </c>
      <c r="I411" s="2" t="s">
        <v>2478</v>
      </c>
      <c r="J411" s="2" t="s">
        <v>2489</v>
      </c>
      <c r="K411" s="82" t="s">
        <v>2490</v>
      </c>
      <c r="L411" s="2">
        <v>8.080359847E9</v>
      </c>
      <c r="M411" s="12" t="s">
        <v>483</v>
      </c>
    </row>
    <row r="412">
      <c r="A412" s="2" t="s">
        <v>412</v>
      </c>
      <c r="H412" s="2" t="s">
        <v>2961</v>
      </c>
      <c r="I412" s="2" t="s">
        <v>2691</v>
      </c>
      <c r="J412" s="2" t="s">
        <v>2962</v>
      </c>
      <c r="K412" s="82" t="s">
        <v>2963</v>
      </c>
      <c r="L412" s="2">
        <v>8.080359847E9</v>
      </c>
      <c r="M412" s="12" t="s">
        <v>413</v>
      </c>
    </row>
    <row r="413">
      <c r="A413" s="2" t="s">
        <v>747</v>
      </c>
      <c r="H413" s="2" t="s">
        <v>2964</v>
      </c>
      <c r="I413" s="2" t="s">
        <v>2463</v>
      </c>
      <c r="J413" s="2" t="s">
        <v>2681</v>
      </c>
      <c r="K413" s="82" t="s">
        <v>2965</v>
      </c>
      <c r="L413" s="2">
        <v>8.080359847E9</v>
      </c>
      <c r="M413" s="12" t="s">
        <v>748</v>
      </c>
    </row>
    <row r="414">
      <c r="A414" s="2" t="s">
        <v>390</v>
      </c>
      <c r="H414" s="2" t="s">
        <v>2966</v>
      </c>
      <c r="I414" s="2" t="s">
        <v>2474</v>
      </c>
      <c r="J414" s="2" t="s">
        <v>2569</v>
      </c>
      <c r="K414" s="82" t="s">
        <v>2967</v>
      </c>
      <c r="L414" s="2">
        <v>8.080359847E9</v>
      </c>
      <c r="M414" s="12" t="s">
        <v>863</v>
      </c>
    </row>
    <row r="415">
      <c r="A415" s="2" t="s">
        <v>667</v>
      </c>
      <c r="H415" s="2" t="s">
        <v>2968</v>
      </c>
      <c r="I415" s="2" t="s">
        <v>2467</v>
      </c>
      <c r="J415" s="2" t="s">
        <v>2969</v>
      </c>
      <c r="K415" s="82" t="s">
        <v>2970</v>
      </c>
      <c r="L415" s="2">
        <v>8.080359847E9</v>
      </c>
      <c r="M415" s="12" t="s">
        <v>668</v>
      </c>
    </row>
    <row r="416">
      <c r="A416" s="2" t="s">
        <v>843</v>
      </c>
      <c r="H416" s="2" t="s">
        <v>2971</v>
      </c>
      <c r="I416" s="2" t="s">
        <v>2972</v>
      </c>
      <c r="J416" s="2" t="s">
        <v>2973</v>
      </c>
      <c r="K416" s="82" t="s">
        <v>2974</v>
      </c>
      <c r="L416" s="2">
        <v>9.063261379E9</v>
      </c>
      <c r="M416" s="12" t="s">
        <v>844</v>
      </c>
    </row>
    <row r="417">
      <c r="A417" s="2" t="s">
        <v>87</v>
      </c>
      <c r="H417" s="2" t="s">
        <v>2975</v>
      </c>
      <c r="I417" s="2" t="s">
        <v>2474</v>
      </c>
      <c r="J417" s="2" t="s">
        <v>2658</v>
      </c>
      <c r="K417" s="82" t="s">
        <v>2976</v>
      </c>
      <c r="L417" s="2" t="s">
        <v>2977</v>
      </c>
      <c r="M417" s="12" t="s">
        <v>671</v>
      </c>
    </row>
    <row r="418">
      <c r="A418" s="2" t="s">
        <v>728</v>
      </c>
      <c r="H418" s="2" t="s">
        <v>2978</v>
      </c>
      <c r="I418" s="2" t="s">
        <v>2616</v>
      </c>
      <c r="J418" s="2" t="s">
        <v>2979</v>
      </c>
      <c r="K418" s="82" t="s">
        <v>2980</v>
      </c>
      <c r="L418" s="2">
        <v>9.030991196E9</v>
      </c>
      <c r="M418" s="12" t="s">
        <v>729</v>
      </c>
    </row>
    <row r="419">
      <c r="A419" s="2" t="s">
        <v>627</v>
      </c>
      <c r="H419" s="2" t="s">
        <v>2485</v>
      </c>
      <c r="I419" s="2" t="s">
        <v>2474</v>
      </c>
      <c r="J419" s="2" t="s">
        <v>2486</v>
      </c>
      <c r="K419" s="82" t="s">
        <v>2981</v>
      </c>
      <c r="L419" s="2">
        <v>8.080359847E9</v>
      </c>
      <c r="M419" s="12" t="s">
        <v>628</v>
      </c>
    </row>
    <row r="420">
      <c r="A420" s="2" t="s">
        <v>677</v>
      </c>
      <c r="H420" s="2" t="s">
        <v>2982</v>
      </c>
      <c r="I420" s="2" t="s">
        <v>2558</v>
      </c>
      <c r="J420" s="2" t="s">
        <v>2983</v>
      </c>
      <c r="K420" s="82" t="s">
        <v>2984</v>
      </c>
      <c r="L420" s="2" t="s">
        <v>2985</v>
      </c>
      <c r="M420" s="12" t="s">
        <v>678</v>
      </c>
    </row>
    <row r="421">
      <c r="A421" s="2" t="s">
        <v>779</v>
      </c>
      <c r="H421" s="2" t="s">
        <v>2986</v>
      </c>
      <c r="I421" s="2" t="s">
        <v>2509</v>
      </c>
      <c r="J421" s="2" t="s">
        <v>2987</v>
      </c>
      <c r="K421" s="82" t="s">
        <v>2988</v>
      </c>
      <c r="L421" s="2">
        <v>8.080359847E9</v>
      </c>
      <c r="M421" s="12" t="s">
        <v>780</v>
      </c>
    </row>
    <row r="422">
      <c r="A422" s="2" t="s">
        <v>605</v>
      </c>
      <c r="H422" s="2" t="s">
        <v>2989</v>
      </c>
      <c r="I422" s="2" t="s">
        <v>2474</v>
      </c>
      <c r="J422" s="2" t="s">
        <v>2639</v>
      </c>
      <c r="K422" s="82" t="s">
        <v>2990</v>
      </c>
      <c r="L422" s="2" t="s">
        <v>2991</v>
      </c>
      <c r="M422" s="12" t="s">
        <v>606</v>
      </c>
    </row>
    <row r="423">
      <c r="A423" s="2" t="s">
        <v>679</v>
      </c>
      <c r="H423" s="2" t="s">
        <v>2992</v>
      </c>
      <c r="I423" s="2" t="s">
        <v>2474</v>
      </c>
      <c r="J423" s="2" t="s">
        <v>2993</v>
      </c>
      <c r="K423" s="82" t="s">
        <v>2994</v>
      </c>
      <c r="L423" s="2">
        <v>8.080359847E9</v>
      </c>
      <c r="M423" s="12" t="s">
        <v>680</v>
      </c>
    </row>
    <row r="424">
      <c r="A424" s="2" t="s">
        <v>79</v>
      </c>
      <c r="H424" s="2" t="s">
        <v>2995</v>
      </c>
      <c r="I424" s="2" t="s">
        <v>2482</v>
      </c>
      <c r="J424" s="2" t="s">
        <v>2996</v>
      </c>
      <c r="K424" s="82" t="s">
        <v>2997</v>
      </c>
      <c r="L424" s="2">
        <v>8.080359847E9</v>
      </c>
      <c r="M424" s="12" t="s">
        <v>731</v>
      </c>
    </row>
    <row r="425">
      <c r="A425" s="2" t="s">
        <v>51</v>
      </c>
      <c r="H425" s="2" t="s">
        <v>2998</v>
      </c>
      <c r="I425" s="2" t="s">
        <v>2482</v>
      </c>
      <c r="J425" s="2" t="s">
        <v>2999</v>
      </c>
      <c r="K425" s="82" t="s">
        <v>3000</v>
      </c>
      <c r="L425" s="2" t="s">
        <v>3001</v>
      </c>
      <c r="M425" s="12" t="s">
        <v>877</v>
      </c>
    </row>
    <row r="426">
      <c r="A426" s="2" t="s">
        <v>921</v>
      </c>
      <c r="H426" s="2" t="s">
        <v>3002</v>
      </c>
      <c r="I426" s="2" t="s">
        <v>2482</v>
      </c>
      <c r="J426" s="2" t="s">
        <v>2737</v>
      </c>
      <c r="K426" s="82" t="s">
        <v>3003</v>
      </c>
      <c r="L426" s="2" t="s">
        <v>3004</v>
      </c>
      <c r="M426" s="12" t="s">
        <v>922</v>
      </c>
    </row>
    <row r="427">
      <c r="A427" s="2" t="s">
        <v>736</v>
      </c>
      <c r="H427" s="2" t="s">
        <v>3005</v>
      </c>
      <c r="I427" s="2" t="s">
        <v>2482</v>
      </c>
      <c r="J427" s="2" t="s">
        <v>3006</v>
      </c>
      <c r="K427" s="82" t="s">
        <v>3007</v>
      </c>
      <c r="L427" s="2">
        <v>8.080359847E9</v>
      </c>
      <c r="M427" s="12" t="s">
        <v>737</v>
      </c>
    </row>
    <row r="428">
      <c r="A428" s="2" t="s">
        <v>248</v>
      </c>
      <c r="H428" s="2" t="s">
        <v>3008</v>
      </c>
      <c r="I428" s="2" t="s">
        <v>2459</v>
      </c>
      <c r="J428" s="2" t="s">
        <v>3009</v>
      </c>
      <c r="K428" s="82" t="s">
        <v>3010</v>
      </c>
      <c r="L428" s="2">
        <v>8.080359847E9</v>
      </c>
      <c r="M428" s="12" t="s">
        <v>868</v>
      </c>
    </row>
    <row r="429">
      <c r="A429" s="2" t="s">
        <v>354</v>
      </c>
      <c r="H429" s="2" t="s">
        <v>2488</v>
      </c>
      <c r="I429" s="2" t="s">
        <v>2478</v>
      </c>
      <c r="J429" s="2" t="s">
        <v>2489</v>
      </c>
      <c r="K429" s="82" t="s">
        <v>2490</v>
      </c>
      <c r="L429" s="2">
        <v>8.080359847E9</v>
      </c>
      <c r="M429" s="12" t="s">
        <v>1057</v>
      </c>
    </row>
    <row r="430">
      <c r="A430" s="2" t="s">
        <v>821</v>
      </c>
      <c r="H430" s="2" t="s">
        <v>3011</v>
      </c>
      <c r="I430" s="2" t="s">
        <v>2463</v>
      </c>
      <c r="J430" s="2" t="s">
        <v>3012</v>
      </c>
      <c r="K430" s="82" t="s">
        <v>3013</v>
      </c>
      <c r="L430" s="2">
        <v>8.080359947E9</v>
      </c>
      <c r="M430" s="12" t="s">
        <v>1221</v>
      </c>
    </row>
    <row r="431">
      <c r="A431" s="2" t="s">
        <v>787</v>
      </c>
      <c r="H431" s="2" t="s">
        <v>3014</v>
      </c>
      <c r="I431" s="2" t="s">
        <v>2616</v>
      </c>
      <c r="J431" s="2" t="s">
        <v>3015</v>
      </c>
      <c r="K431" s="82" t="s">
        <v>3016</v>
      </c>
      <c r="L431" s="2">
        <v>8.080359847E9</v>
      </c>
      <c r="M431" s="12" t="s">
        <v>788</v>
      </c>
    </row>
    <row r="432">
      <c r="A432" s="2" t="s">
        <v>815</v>
      </c>
      <c r="H432" s="2" t="s">
        <v>3017</v>
      </c>
      <c r="I432" s="2" t="s">
        <v>2467</v>
      </c>
      <c r="J432" s="2" t="s">
        <v>3018</v>
      </c>
      <c r="K432" s="82" t="s">
        <v>3019</v>
      </c>
      <c r="L432" s="2">
        <v>8.080359847E9</v>
      </c>
      <c r="M432" s="12" t="s">
        <v>816</v>
      </c>
    </row>
    <row r="433">
      <c r="A433" s="2" t="s">
        <v>150</v>
      </c>
      <c r="H433" s="2" t="s">
        <v>3020</v>
      </c>
      <c r="I433" s="2" t="s">
        <v>2558</v>
      </c>
      <c r="J433" s="2" t="s">
        <v>3021</v>
      </c>
      <c r="K433" s="82" t="s">
        <v>3022</v>
      </c>
      <c r="L433" s="2">
        <v>8.080359847E9</v>
      </c>
      <c r="M433" s="12" t="s">
        <v>790</v>
      </c>
    </row>
    <row r="434">
      <c r="A434" s="2" t="s">
        <v>639</v>
      </c>
      <c r="H434" s="2" t="s">
        <v>2665</v>
      </c>
      <c r="I434" s="2" t="s">
        <v>2478</v>
      </c>
      <c r="J434" s="2" t="s">
        <v>2668</v>
      </c>
      <c r="K434" s="82" t="s">
        <v>3023</v>
      </c>
      <c r="L434" s="2">
        <v>8.080359847E9</v>
      </c>
      <c r="M434" s="12" t="s">
        <v>640</v>
      </c>
    </row>
    <row r="435">
      <c r="A435" s="2" t="s">
        <v>655</v>
      </c>
      <c r="H435" s="2" t="s">
        <v>3024</v>
      </c>
      <c r="I435" s="2" t="s">
        <v>2631</v>
      </c>
      <c r="J435" s="2" t="s">
        <v>3025</v>
      </c>
      <c r="K435" s="82" t="s">
        <v>3026</v>
      </c>
      <c r="L435" s="2"/>
      <c r="M435" s="12" t="s">
        <v>656</v>
      </c>
    </row>
    <row r="436">
      <c r="A436" s="2" t="s">
        <v>1208</v>
      </c>
      <c r="H436" s="2" t="s">
        <v>3027</v>
      </c>
      <c r="I436" s="2" t="s">
        <v>3028</v>
      </c>
      <c r="J436" s="2" t="s">
        <v>3029</v>
      </c>
      <c r="K436" s="82" t="s">
        <v>3030</v>
      </c>
      <c r="L436" s="2">
        <v>8.080359847E9</v>
      </c>
    </row>
    <row r="437">
      <c r="A437" s="2" t="s">
        <v>1209</v>
      </c>
      <c r="H437" s="2" t="s">
        <v>3031</v>
      </c>
      <c r="I437" s="2" t="s">
        <v>2467</v>
      </c>
      <c r="J437" s="2" t="s">
        <v>2805</v>
      </c>
      <c r="K437" s="82" t="s">
        <v>3032</v>
      </c>
      <c r="L437" s="2">
        <v>8.080359847E9</v>
      </c>
      <c r="M437" s="12" t="s">
        <v>1927</v>
      </c>
    </row>
    <row r="438">
      <c r="A438" s="2" t="s">
        <v>126</v>
      </c>
      <c r="H438" s="2" t="s">
        <v>3033</v>
      </c>
      <c r="I438" s="2" t="s">
        <v>2467</v>
      </c>
      <c r="J438" s="2" t="s">
        <v>3034</v>
      </c>
      <c r="K438" s="82" t="s">
        <v>3035</v>
      </c>
      <c r="L438" s="2" t="s">
        <v>3036</v>
      </c>
    </row>
    <row r="439">
      <c r="A439" s="2" t="s">
        <v>297</v>
      </c>
      <c r="H439" s="2" t="s">
        <v>3037</v>
      </c>
      <c r="I439" s="2" t="s">
        <v>2459</v>
      </c>
      <c r="J439" s="2" t="s">
        <v>3038</v>
      </c>
      <c r="K439" s="82" t="s">
        <v>3039</v>
      </c>
      <c r="L439" s="2">
        <v>8.080359847E9</v>
      </c>
      <c r="M439" s="12" t="s">
        <v>792</v>
      </c>
    </row>
    <row r="440">
      <c r="A440" s="2" t="s">
        <v>851</v>
      </c>
      <c r="H440" s="2" t="s">
        <v>2641</v>
      </c>
      <c r="I440" s="2" t="s">
        <v>2558</v>
      </c>
      <c r="J440" s="2" t="s">
        <v>2642</v>
      </c>
      <c r="K440" s="82" t="s">
        <v>3040</v>
      </c>
      <c r="L440" s="2">
        <v>8.080359847E9</v>
      </c>
      <c r="M440" s="12" t="s">
        <v>852</v>
      </c>
    </row>
    <row r="441">
      <c r="A441" s="2" t="s">
        <v>265</v>
      </c>
      <c r="H441" s="2" t="s">
        <v>2890</v>
      </c>
      <c r="I441" s="2" t="s">
        <v>2467</v>
      </c>
      <c r="J441" s="2" t="s">
        <v>2471</v>
      </c>
      <c r="K441" s="82" t="s">
        <v>3041</v>
      </c>
      <c r="L441" s="2">
        <v>8.080359847E9</v>
      </c>
      <c r="M441" s="12" t="s">
        <v>453</v>
      </c>
    </row>
    <row r="442">
      <c r="A442" s="2" t="s">
        <v>783</v>
      </c>
      <c r="H442" s="2" t="s">
        <v>3042</v>
      </c>
      <c r="I442" s="2" t="s">
        <v>2509</v>
      </c>
      <c r="J442" s="2" t="s">
        <v>2588</v>
      </c>
      <c r="K442" s="82" t="s">
        <v>3043</v>
      </c>
      <c r="L442" s="2">
        <v>8.080359847E9</v>
      </c>
      <c r="M442" s="12" t="s">
        <v>784</v>
      </c>
    </row>
    <row r="443">
      <c r="A443" s="2" t="s">
        <v>714</v>
      </c>
      <c r="H443" s="2" t="s">
        <v>3044</v>
      </c>
      <c r="I443" s="2" t="s">
        <v>2558</v>
      </c>
      <c r="J443" s="2" t="s">
        <v>2602</v>
      </c>
      <c r="K443" s="82" t="s">
        <v>3045</v>
      </c>
      <c r="L443" s="2">
        <v>8.080359847E9</v>
      </c>
      <c r="M443" s="12" t="s">
        <v>715</v>
      </c>
    </row>
    <row r="444">
      <c r="A444" s="2" t="s">
        <v>712</v>
      </c>
      <c r="H444" s="2" t="s">
        <v>3046</v>
      </c>
      <c r="I444" s="2" t="s">
        <v>2478</v>
      </c>
      <c r="J444" s="2" t="s">
        <v>3047</v>
      </c>
      <c r="K444" s="82" t="s">
        <v>3048</v>
      </c>
      <c r="L444" s="2">
        <v>8.080359847E9</v>
      </c>
      <c r="M444" s="12" t="s">
        <v>713</v>
      </c>
    </row>
    <row r="445">
      <c r="A445" s="2" t="s">
        <v>343</v>
      </c>
      <c r="H445" s="2" t="s">
        <v>2587</v>
      </c>
      <c r="I445" s="2" t="s">
        <v>2509</v>
      </c>
      <c r="J445" s="2" t="s">
        <v>2588</v>
      </c>
      <c r="K445" s="82" t="s">
        <v>2589</v>
      </c>
      <c r="L445" s="2">
        <v>8.080359847E9</v>
      </c>
    </row>
    <row r="446">
      <c r="A446" s="2" t="s">
        <v>684</v>
      </c>
      <c r="H446" s="2" t="s">
        <v>3049</v>
      </c>
      <c r="I446" s="2" t="s">
        <v>2467</v>
      </c>
      <c r="J446" s="2" t="s">
        <v>2805</v>
      </c>
      <c r="K446" s="82" t="s">
        <v>3050</v>
      </c>
      <c r="L446" s="2">
        <v>7.09314237E9</v>
      </c>
      <c r="M446" s="12" t="s">
        <v>685</v>
      </c>
    </row>
    <row r="447">
      <c r="A447" s="2" t="s">
        <v>903</v>
      </c>
      <c r="H447" s="2" t="s">
        <v>3051</v>
      </c>
      <c r="I447" s="2" t="s">
        <v>3052</v>
      </c>
      <c r="J447" s="2" t="s">
        <v>3053</v>
      </c>
      <c r="K447" s="82" t="s">
        <v>3054</v>
      </c>
      <c r="L447" s="2">
        <v>8.080359847E9</v>
      </c>
      <c r="M447" s="12" t="s">
        <v>904</v>
      </c>
    </row>
    <row r="448">
      <c r="A448" s="2" t="s">
        <v>800</v>
      </c>
      <c r="H448" s="2" t="s">
        <v>3055</v>
      </c>
      <c r="I448" s="2" t="s">
        <v>2474</v>
      </c>
      <c r="J448" s="2" t="s">
        <v>3056</v>
      </c>
      <c r="K448" s="82" t="s">
        <v>3057</v>
      </c>
      <c r="L448" s="2">
        <v>8.080359847E9</v>
      </c>
      <c r="M448" s="12" t="s">
        <v>801</v>
      </c>
    </row>
    <row r="449">
      <c r="A449" s="2" t="s">
        <v>249</v>
      </c>
      <c r="H449" s="2" t="s">
        <v>3058</v>
      </c>
      <c r="I449" s="2" t="s">
        <v>2478</v>
      </c>
      <c r="J449" s="2" t="s">
        <v>3059</v>
      </c>
      <c r="K449" s="82" t="s">
        <v>3060</v>
      </c>
      <c r="L449" s="2">
        <v>8.080359847E9</v>
      </c>
      <c r="M449" s="12" t="s">
        <v>881</v>
      </c>
    </row>
    <row r="450">
      <c r="A450" s="2" t="s">
        <v>222</v>
      </c>
      <c r="H450" s="2" t="s">
        <v>3061</v>
      </c>
      <c r="I450" s="2" t="s">
        <v>2478</v>
      </c>
      <c r="J450" s="2" t="s">
        <v>2668</v>
      </c>
      <c r="K450" s="82" t="s">
        <v>3062</v>
      </c>
      <c r="L450" s="2">
        <v>8.080359847E9</v>
      </c>
      <c r="M450" s="12" t="s">
        <v>1089</v>
      </c>
    </row>
    <row r="451">
      <c r="A451" s="2" t="s">
        <v>1487</v>
      </c>
      <c r="H451" s="2" t="s">
        <v>3063</v>
      </c>
      <c r="I451" s="2" t="s">
        <v>2482</v>
      </c>
      <c r="J451" s="2" t="s">
        <v>3064</v>
      </c>
      <c r="K451" s="82" t="s">
        <v>3065</v>
      </c>
      <c r="L451" s="2">
        <v>9.061148681E9</v>
      </c>
      <c r="M451" s="12" t="s">
        <v>513</v>
      </c>
    </row>
    <row r="452">
      <c r="A452" s="2" t="s">
        <v>619</v>
      </c>
      <c r="H452" s="2" t="s">
        <v>3066</v>
      </c>
      <c r="I452" s="2" t="s">
        <v>2558</v>
      </c>
      <c r="J452" s="2" t="s">
        <v>3067</v>
      </c>
      <c r="K452" s="82" t="s">
        <v>3068</v>
      </c>
      <c r="L452" s="2">
        <v>8.080359847E9</v>
      </c>
      <c r="M452" s="12" t="s">
        <v>620</v>
      </c>
    </row>
    <row r="453">
      <c r="A453" s="2" t="s">
        <v>718</v>
      </c>
      <c r="H453" s="2" t="s">
        <v>3069</v>
      </c>
      <c r="I453" s="2" t="s">
        <v>2467</v>
      </c>
      <c r="J453" s="2" t="s">
        <v>3070</v>
      </c>
      <c r="K453" s="82" t="s">
        <v>3071</v>
      </c>
      <c r="L453" s="2">
        <v>8.080359847E9</v>
      </c>
      <c r="M453" s="12" t="s">
        <v>719</v>
      </c>
    </row>
    <row r="454">
      <c r="A454" s="2" t="s">
        <v>795</v>
      </c>
      <c r="H454" s="2" t="s">
        <v>3072</v>
      </c>
      <c r="I454" s="2" t="s">
        <v>2482</v>
      </c>
      <c r="J454" s="2" t="s">
        <v>2790</v>
      </c>
      <c r="K454" s="82" t="s">
        <v>3073</v>
      </c>
      <c r="L454" s="2">
        <v>8.080359847E9</v>
      </c>
      <c r="M454" s="12" t="s">
        <v>796</v>
      </c>
    </row>
    <row r="455">
      <c r="A455" s="2" t="s">
        <v>688</v>
      </c>
      <c r="H455" s="2" t="s">
        <v>3074</v>
      </c>
      <c r="I455" s="2" t="s">
        <v>2536</v>
      </c>
      <c r="J455" s="2" t="s">
        <v>3075</v>
      </c>
      <c r="K455" s="82" t="s">
        <v>3076</v>
      </c>
      <c r="L455" s="2">
        <v>8.080359847E9</v>
      </c>
      <c r="M455" s="12" t="s">
        <v>689</v>
      </c>
    </row>
    <row r="456">
      <c r="A456" s="2" t="s">
        <v>428</v>
      </c>
      <c r="H456" s="2" t="s">
        <v>3077</v>
      </c>
      <c r="I456" s="2" t="s">
        <v>2558</v>
      </c>
      <c r="J456" s="2" t="s">
        <v>2799</v>
      </c>
      <c r="K456" s="82" t="s">
        <v>3078</v>
      </c>
      <c r="L456" s="2">
        <v>8.080359847E9</v>
      </c>
      <c r="M456" s="12" t="s">
        <v>429</v>
      </c>
    </row>
    <row r="457">
      <c r="A457" s="2" t="s">
        <v>598</v>
      </c>
      <c r="H457" s="2" t="s">
        <v>3079</v>
      </c>
      <c r="I457" s="2" t="s">
        <v>2543</v>
      </c>
      <c r="J457" s="2" t="s">
        <v>2544</v>
      </c>
      <c r="K457" s="82" t="s">
        <v>3080</v>
      </c>
      <c r="L457" s="2">
        <v>8.080359847E9</v>
      </c>
      <c r="M457" s="12" t="s">
        <v>599</v>
      </c>
    </row>
    <row r="458">
      <c r="A458" s="2" t="s">
        <v>635</v>
      </c>
      <c r="H458" s="2" t="s">
        <v>3081</v>
      </c>
      <c r="I458" s="2" t="s">
        <v>2474</v>
      </c>
      <c r="J458" s="2" t="s">
        <v>3082</v>
      </c>
      <c r="K458" s="82" t="s">
        <v>3083</v>
      </c>
      <c r="L458" s="2">
        <v>8.080359847E9</v>
      </c>
      <c r="M458" s="12" t="s">
        <v>636</v>
      </c>
    </row>
    <row r="459">
      <c r="A459" s="2" t="s">
        <v>1379</v>
      </c>
      <c r="H459" s="2" t="s">
        <v>3084</v>
      </c>
      <c r="I459" s="2" t="s">
        <v>2482</v>
      </c>
      <c r="J459" s="2" t="s">
        <v>3085</v>
      </c>
      <c r="K459" s="82" t="s">
        <v>3086</v>
      </c>
      <c r="L459" s="2">
        <v>8.080359847E9</v>
      </c>
    </row>
    <row r="460">
      <c r="A460" s="2" t="s">
        <v>396</v>
      </c>
      <c r="H460" s="2" t="s">
        <v>2514</v>
      </c>
      <c r="I460" s="2" t="s">
        <v>2474</v>
      </c>
      <c r="J460" s="2" t="s">
        <v>2515</v>
      </c>
      <c r="K460" s="82" t="s">
        <v>3087</v>
      </c>
      <c r="L460" s="2">
        <v>8.080359847E9</v>
      </c>
    </row>
    <row r="461">
      <c r="A461" s="2" t="s">
        <v>895</v>
      </c>
      <c r="H461" s="2" t="s">
        <v>3088</v>
      </c>
      <c r="I461" s="2" t="s">
        <v>2463</v>
      </c>
      <c r="J461" s="2" t="s">
        <v>3089</v>
      </c>
      <c r="K461" s="82" t="s">
        <v>3090</v>
      </c>
      <c r="L461" s="2">
        <v>8.080359847E9</v>
      </c>
      <c r="M461" s="12" t="s">
        <v>896</v>
      </c>
    </row>
    <row r="462">
      <c r="A462" s="2" t="s">
        <v>1368</v>
      </c>
      <c r="H462" s="2" t="s">
        <v>3091</v>
      </c>
      <c r="I462" s="2" t="s">
        <v>2467</v>
      </c>
      <c r="J462" s="2" t="s">
        <v>2805</v>
      </c>
      <c r="K462" s="82" t="s">
        <v>3092</v>
      </c>
      <c r="L462" s="2">
        <v>8.080359847E9</v>
      </c>
    </row>
    <row r="463">
      <c r="A463" s="2" t="s">
        <v>1373</v>
      </c>
      <c r="H463" s="2" t="s">
        <v>3093</v>
      </c>
      <c r="I463" s="2" t="s">
        <v>2474</v>
      </c>
      <c r="J463" s="2" t="s">
        <v>3094</v>
      </c>
      <c r="K463" s="82" t="s">
        <v>3095</v>
      </c>
      <c r="L463" s="2">
        <v>8.080359847E9</v>
      </c>
    </row>
    <row r="464">
      <c r="A464" s="2" t="s">
        <v>891</v>
      </c>
      <c r="H464" s="2" t="s">
        <v>3096</v>
      </c>
      <c r="I464" s="2" t="s">
        <v>2558</v>
      </c>
      <c r="J464" s="2" t="s">
        <v>2582</v>
      </c>
      <c r="K464" s="82" t="s">
        <v>3097</v>
      </c>
      <c r="L464" s="2">
        <v>8.013909281E9</v>
      </c>
      <c r="M464" s="12" t="s">
        <v>894</v>
      </c>
    </row>
    <row r="465">
      <c r="A465" s="2" t="s">
        <v>930</v>
      </c>
      <c r="H465" s="2" t="s">
        <v>3098</v>
      </c>
      <c r="I465" s="2" t="s">
        <v>2478</v>
      </c>
      <c r="J465" s="2" t="s">
        <v>3099</v>
      </c>
      <c r="K465" s="82" t="s">
        <v>3100</v>
      </c>
      <c r="L465" s="2">
        <v>8.080359847E9</v>
      </c>
      <c r="M465" s="12" t="s">
        <v>931</v>
      </c>
    </row>
    <row r="466">
      <c r="A466" s="2" t="s">
        <v>1068</v>
      </c>
      <c r="H466" s="2" t="s">
        <v>3101</v>
      </c>
      <c r="I466" s="2" t="s">
        <v>2459</v>
      </c>
      <c r="J466" s="2" t="s">
        <v>2460</v>
      </c>
      <c r="K466" s="82" t="s">
        <v>3102</v>
      </c>
      <c r="L466" s="2">
        <v>8.080359847E9</v>
      </c>
      <c r="M466" s="12" t="s">
        <v>1069</v>
      </c>
    </row>
    <row r="467">
      <c r="A467" s="2" t="s">
        <v>214</v>
      </c>
      <c r="H467" s="2" t="s">
        <v>3103</v>
      </c>
      <c r="I467" s="2" t="s">
        <v>2558</v>
      </c>
      <c r="J467" s="2" t="s">
        <v>3104</v>
      </c>
      <c r="K467" s="82" t="s">
        <v>3105</v>
      </c>
      <c r="L467" s="2">
        <v>8.080359847E9</v>
      </c>
      <c r="M467" s="12" t="s">
        <v>867</v>
      </c>
    </row>
    <row r="468">
      <c r="A468" s="2" t="s">
        <v>1131</v>
      </c>
      <c r="H468" s="2" t="s">
        <v>3106</v>
      </c>
      <c r="I468" s="2" t="s">
        <v>2478</v>
      </c>
      <c r="J468" s="2" t="s">
        <v>2859</v>
      </c>
      <c r="K468" s="82" t="s">
        <v>3107</v>
      </c>
      <c r="L468" s="2">
        <v>8.080359847E9</v>
      </c>
      <c r="M468" s="12" t="s">
        <v>1132</v>
      </c>
    </row>
    <row r="469">
      <c r="A469" s="2" t="s">
        <v>390</v>
      </c>
      <c r="H469" s="2" t="s">
        <v>2568</v>
      </c>
      <c r="I469" s="2" t="s">
        <v>2474</v>
      </c>
      <c r="J469" s="2" t="s">
        <v>2569</v>
      </c>
      <c r="K469" s="82" t="s">
        <v>3108</v>
      </c>
      <c r="L469" s="2">
        <v>8.080359847E9</v>
      </c>
    </row>
    <row r="470">
      <c r="A470" s="2" t="s">
        <v>901</v>
      </c>
      <c r="H470" s="2" t="s">
        <v>3109</v>
      </c>
      <c r="I470" s="2" t="s">
        <v>2547</v>
      </c>
      <c r="J470" s="2" t="s">
        <v>3110</v>
      </c>
      <c r="K470" s="82" t="s">
        <v>3111</v>
      </c>
      <c r="L470" s="2">
        <v>8.080359847E9</v>
      </c>
      <c r="M470" s="12" t="s">
        <v>902</v>
      </c>
    </row>
    <row r="471">
      <c r="A471" s="2" t="s">
        <v>1106</v>
      </c>
      <c r="H471" s="2" t="s">
        <v>3112</v>
      </c>
      <c r="I471" s="2" t="s">
        <v>2474</v>
      </c>
      <c r="J471" s="2" t="s">
        <v>3113</v>
      </c>
      <c r="K471" s="82" t="s">
        <v>3114</v>
      </c>
      <c r="L471" s="2">
        <v>8.080359847E9</v>
      </c>
      <c r="M471" s="12" t="s">
        <v>1107</v>
      </c>
    </row>
    <row r="472">
      <c r="A472" s="2" t="s">
        <v>1370</v>
      </c>
      <c r="H472" s="2" t="s">
        <v>3115</v>
      </c>
      <c r="I472" s="2" t="s">
        <v>2558</v>
      </c>
      <c r="J472" s="2" t="s">
        <v>2602</v>
      </c>
      <c r="K472" s="82" t="s">
        <v>3116</v>
      </c>
      <c r="L472" s="2" t="s">
        <v>3117</v>
      </c>
      <c r="M472" s="12" t="s">
        <v>1372</v>
      </c>
    </row>
    <row r="473">
      <c r="A473" s="2" t="s">
        <v>315</v>
      </c>
      <c r="H473" s="2" t="s">
        <v>3118</v>
      </c>
      <c r="I473" s="2" t="s">
        <v>2463</v>
      </c>
      <c r="J473" s="2" t="s">
        <v>3119</v>
      </c>
      <c r="K473" s="82" t="s">
        <v>3120</v>
      </c>
      <c r="L473" s="2">
        <v>8.080359847E9</v>
      </c>
    </row>
    <row r="474">
      <c r="A474" s="2" t="s">
        <v>697</v>
      </c>
      <c r="H474" s="2" t="s">
        <v>3118</v>
      </c>
      <c r="I474" s="2" t="s">
        <v>2463</v>
      </c>
      <c r="J474" s="2" t="s">
        <v>3119</v>
      </c>
      <c r="K474" s="82" t="s">
        <v>3120</v>
      </c>
      <c r="L474" s="2">
        <v>8.080359847E9</v>
      </c>
      <c r="M474" s="12" t="s">
        <v>698</v>
      </c>
    </row>
    <row r="475">
      <c r="A475" s="2" t="s">
        <v>1364</v>
      </c>
      <c r="H475" s="2" t="s">
        <v>3121</v>
      </c>
      <c r="I475" s="2" t="s">
        <v>2478</v>
      </c>
      <c r="J475" s="2" t="s">
        <v>3122</v>
      </c>
      <c r="K475" s="82" t="s">
        <v>3123</v>
      </c>
      <c r="L475" s="2">
        <v>8.080359847E9</v>
      </c>
      <c r="M475" s="12" t="s">
        <v>1365</v>
      </c>
    </row>
    <row r="476">
      <c r="A476" s="2" t="s">
        <v>699</v>
      </c>
      <c r="H476" s="2" t="s">
        <v>3124</v>
      </c>
      <c r="I476" s="2" t="s">
        <v>2631</v>
      </c>
      <c r="J476" s="2" t="s">
        <v>3125</v>
      </c>
      <c r="K476" s="82" t="s">
        <v>3126</v>
      </c>
      <c r="L476" s="2">
        <v>8.080359847E9</v>
      </c>
      <c r="M476" s="12" t="s">
        <v>700</v>
      </c>
    </row>
    <row r="477">
      <c r="A477" s="2" t="s">
        <v>817</v>
      </c>
      <c r="H477" s="2" t="s">
        <v>3127</v>
      </c>
      <c r="I477" s="2" t="s">
        <v>2467</v>
      </c>
      <c r="J477" s="2" t="s">
        <v>2805</v>
      </c>
      <c r="K477" s="82" t="s">
        <v>3128</v>
      </c>
      <c r="L477" s="2">
        <v>8.080359847E9</v>
      </c>
      <c r="M477" s="12" t="s">
        <v>818</v>
      </c>
    </row>
    <row r="478">
      <c r="A478" s="2" t="s">
        <v>761</v>
      </c>
      <c r="I478" s="2" t="s">
        <v>2536</v>
      </c>
      <c r="J478" s="2" t="s">
        <v>2853</v>
      </c>
      <c r="K478" s="82" t="s">
        <v>3129</v>
      </c>
      <c r="L478" s="2">
        <v>9.080359847E9</v>
      </c>
      <c r="M478" s="12" t="s">
        <v>765</v>
      </c>
    </row>
    <row r="479">
      <c r="A479" s="2" t="s">
        <v>561</v>
      </c>
      <c r="H479" s="2" t="s">
        <v>3130</v>
      </c>
      <c r="I479" s="2" t="s">
        <v>2467</v>
      </c>
      <c r="J479" s="2" t="s">
        <v>3131</v>
      </c>
      <c r="K479" s="82" t="s">
        <v>3132</v>
      </c>
      <c r="L479" s="2">
        <v>8.080359847E9</v>
      </c>
      <c r="M479" s="12" t="s">
        <v>562</v>
      </c>
    </row>
    <row r="480">
      <c r="A480" s="2" t="s">
        <v>928</v>
      </c>
      <c r="H480" s="2" t="s">
        <v>3133</v>
      </c>
      <c r="I480" s="2" t="s">
        <v>2874</v>
      </c>
      <c r="J480" s="2" t="s">
        <v>3134</v>
      </c>
      <c r="K480" s="82" t="s">
        <v>3135</v>
      </c>
      <c r="L480" s="2">
        <v>8.080359847E9</v>
      </c>
      <c r="M480" s="12" t="s">
        <v>929</v>
      </c>
    </row>
    <row r="481">
      <c r="A481" s="2" t="s">
        <v>108</v>
      </c>
      <c r="H481" s="2" t="s">
        <v>3136</v>
      </c>
      <c r="I481" s="2" t="s">
        <v>3137</v>
      </c>
      <c r="J481" s="2" t="s">
        <v>3138</v>
      </c>
      <c r="K481" s="82" t="s">
        <v>3139</v>
      </c>
      <c r="L481" s="2" t="s">
        <v>3140</v>
      </c>
      <c r="M481" s="12" t="s">
        <v>1070</v>
      </c>
    </row>
    <row r="482">
      <c r="A482" s="2" t="s">
        <v>297</v>
      </c>
      <c r="H482" s="2" t="s">
        <v>2521</v>
      </c>
      <c r="I482" s="2" t="s">
        <v>2467</v>
      </c>
      <c r="J482" s="2" t="s">
        <v>2471</v>
      </c>
      <c r="K482" s="82" t="s">
        <v>3141</v>
      </c>
      <c r="L482" s="2">
        <v>8.080359847E9</v>
      </c>
      <c r="M482" s="12" t="s">
        <v>1078</v>
      </c>
    </row>
    <row r="483">
      <c r="A483" s="2" t="s">
        <v>557</v>
      </c>
      <c r="H483" s="2" t="s">
        <v>3142</v>
      </c>
      <c r="I483" s="2" t="s">
        <v>2467</v>
      </c>
      <c r="J483" s="2" t="s">
        <v>3143</v>
      </c>
      <c r="K483" s="82" t="s">
        <v>3144</v>
      </c>
      <c r="L483" s="2" t="s">
        <v>3145</v>
      </c>
      <c r="M483" s="12" t="s">
        <v>558</v>
      </c>
    </row>
    <row r="484">
      <c r="A484" s="2" t="s">
        <v>1079</v>
      </c>
      <c r="H484" s="2" t="s">
        <v>3146</v>
      </c>
      <c r="I484" s="2" t="s">
        <v>2478</v>
      </c>
      <c r="J484" s="2" t="s">
        <v>3147</v>
      </c>
      <c r="K484" s="82" t="s">
        <v>3148</v>
      </c>
      <c r="L484" s="2">
        <v>8.080359847E9</v>
      </c>
      <c r="M484" s="12" t="s">
        <v>1080</v>
      </c>
    </row>
    <row r="485">
      <c r="A485" s="2" t="s">
        <v>663</v>
      </c>
      <c r="H485" s="2" t="s">
        <v>3149</v>
      </c>
      <c r="I485" s="2" t="s">
        <v>2558</v>
      </c>
      <c r="J485" s="2" t="s">
        <v>3150</v>
      </c>
      <c r="K485" s="82" t="s">
        <v>3151</v>
      </c>
      <c r="L485" s="2">
        <v>8.080359847E9</v>
      </c>
      <c r="M485" s="12" t="s">
        <v>664</v>
      </c>
    </row>
    <row r="486">
      <c r="A486" s="2" t="s">
        <v>247</v>
      </c>
      <c r="H486" s="2" t="s">
        <v>3152</v>
      </c>
      <c r="I486" s="2" t="s">
        <v>2474</v>
      </c>
      <c r="J486" s="2" t="s">
        <v>2515</v>
      </c>
      <c r="K486" s="82" t="s">
        <v>3153</v>
      </c>
      <c r="L486" s="2">
        <v>8.080359847E9</v>
      </c>
      <c r="M486" s="12" t="s">
        <v>416</v>
      </c>
    </row>
    <row r="487">
      <c r="A487" s="2" t="s">
        <v>1090</v>
      </c>
      <c r="H487" s="2" t="s">
        <v>3154</v>
      </c>
      <c r="I487" s="2" t="s">
        <v>2478</v>
      </c>
      <c r="J487" s="2" t="s">
        <v>2668</v>
      </c>
      <c r="K487" s="82" t="s">
        <v>3155</v>
      </c>
      <c r="L487" s="2">
        <v>8.080359847E9</v>
      </c>
      <c r="M487" s="12" t="s">
        <v>1091</v>
      </c>
    </row>
    <row r="488">
      <c r="A488" s="2" t="s">
        <v>1111</v>
      </c>
      <c r="H488" s="2" t="s">
        <v>2641</v>
      </c>
      <c r="I488" s="2" t="s">
        <v>2558</v>
      </c>
      <c r="J488" s="2" t="s">
        <v>2642</v>
      </c>
      <c r="K488" s="82" t="s">
        <v>3156</v>
      </c>
      <c r="L488" s="2">
        <v>8.080359847E9</v>
      </c>
    </row>
    <row r="489">
      <c r="A489" s="2" t="s">
        <v>1170</v>
      </c>
      <c r="H489" s="2" t="s">
        <v>3157</v>
      </c>
      <c r="I489" s="2" t="s">
        <v>2467</v>
      </c>
      <c r="J489" s="2" t="s">
        <v>3158</v>
      </c>
      <c r="K489" s="82" t="s">
        <v>3159</v>
      </c>
      <c r="L489" s="2">
        <v>8.080359847E9</v>
      </c>
      <c r="M489" s="12" t="s">
        <v>1172</v>
      </c>
    </row>
    <row r="490">
      <c r="A490" s="2" t="s">
        <v>740</v>
      </c>
      <c r="H490" s="2" t="s">
        <v>3160</v>
      </c>
      <c r="I490" s="2" t="s">
        <v>2474</v>
      </c>
      <c r="J490" s="2" t="s">
        <v>2888</v>
      </c>
      <c r="K490" s="82" t="s">
        <v>3161</v>
      </c>
      <c r="L490" s="2">
        <v>8.080359847E9</v>
      </c>
      <c r="M490" s="12" t="s">
        <v>741</v>
      </c>
    </row>
    <row r="491">
      <c r="A491" s="2" t="s">
        <v>1159</v>
      </c>
      <c r="H491" s="2" t="s">
        <v>3162</v>
      </c>
      <c r="I491" s="2" t="s">
        <v>2808</v>
      </c>
      <c r="J491" s="2" t="s">
        <v>3163</v>
      </c>
      <c r="K491" s="82" t="s">
        <v>3164</v>
      </c>
      <c r="L491" s="2">
        <v>8.080359847E9</v>
      </c>
      <c r="M491" s="12" t="s">
        <v>1161</v>
      </c>
    </row>
    <row r="492">
      <c r="A492" s="2" t="s">
        <v>329</v>
      </c>
      <c r="H492" s="2" t="s">
        <v>3165</v>
      </c>
      <c r="I492" s="2" t="s">
        <v>2498</v>
      </c>
      <c r="J492" s="2" t="s">
        <v>2705</v>
      </c>
      <c r="K492" s="82" t="s">
        <v>3166</v>
      </c>
      <c r="L492" s="2" t="s">
        <v>3167</v>
      </c>
      <c r="M492" s="12" t="s">
        <v>1148</v>
      </c>
    </row>
    <row r="493">
      <c r="A493" s="2" t="s">
        <v>1434</v>
      </c>
      <c r="H493" s="2" t="s">
        <v>3168</v>
      </c>
      <c r="I493" s="2" t="s">
        <v>2543</v>
      </c>
      <c r="J493" s="2" t="s">
        <v>3169</v>
      </c>
      <c r="K493" s="82" t="s">
        <v>3170</v>
      </c>
      <c r="L493" s="2">
        <v>8.080359847E9</v>
      </c>
    </row>
    <row r="494">
      <c r="A494" s="2" t="s">
        <v>732</v>
      </c>
      <c r="H494" s="2" t="s">
        <v>3171</v>
      </c>
      <c r="I494" s="2" t="s">
        <v>2558</v>
      </c>
      <c r="J494" s="2" t="s">
        <v>3150</v>
      </c>
      <c r="K494" s="82" t="s">
        <v>3172</v>
      </c>
      <c r="L494" s="2">
        <v>8.080359847E9</v>
      </c>
      <c r="M494" s="12" t="s">
        <v>733</v>
      </c>
    </row>
    <row r="495">
      <c r="A495" s="2" t="s">
        <v>325</v>
      </c>
      <c r="H495" s="2" t="s">
        <v>3173</v>
      </c>
      <c r="I495" s="2" t="s">
        <v>2463</v>
      </c>
      <c r="J495" s="2" t="s">
        <v>3174</v>
      </c>
      <c r="K495" s="82" t="s">
        <v>3175</v>
      </c>
      <c r="L495" s="2">
        <v>8.080359847E9</v>
      </c>
      <c r="M495" s="12" t="s">
        <v>920</v>
      </c>
    </row>
    <row r="496">
      <c r="A496" s="2" t="s">
        <v>926</v>
      </c>
      <c r="H496" s="2" t="s">
        <v>3176</v>
      </c>
      <c r="I496" s="2" t="s">
        <v>2758</v>
      </c>
      <c r="J496" s="2" t="s">
        <v>3177</v>
      </c>
      <c r="K496" s="82" t="s">
        <v>3178</v>
      </c>
      <c r="L496" s="2">
        <v>8.080359847E9</v>
      </c>
      <c r="M496" s="12" t="s">
        <v>927</v>
      </c>
    </row>
    <row r="497">
      <c r="A497" s="2" t="s">
        <v>1001</v>
      </c>
      <c r="H497" s="2" t="s">
        <v>3179</v>
      </c>
      <c r="I497" s="2" t="s">
        <v>2502</v>
      </c>
      <c r="J497" s="2" t="s">
        <v>3180</v>
      </c>
      <c r="K497" s="82" t="s">
        <v>3181</v>
      </c>
      <c r="L497" s="2">
        <v>8.080359847E9</v>
      </c>
      <c r="M497" s="12" t="s">
        <v>1002</v>
      </c>
    </row>
    <row r="498">
      <c r="A498" s="2" t="s">
        <v>1003</v>
      </c>
      <c r="H498" s="2" t="s">
        <v>3182</v>
      </c>
      <c r="I498" s="2" t="s">
        <v>2482</v>
      </c>
      <c r="J498" s="2" t="s">
        <v>3183</v>
      </c>
      <c r="K498" s="82" t="s">
        <v>3184</v>
      </c>
      <c r="L498" s="2">
        <v>8.080359847E9</v>
      </c>
      <c r="M498" s="12" t="s">
        <v>1004</v>
      </c>
    </row>
    <row r="499">
      <c r="A499" s="2" t="s">
        <v>161</v>
      </c>
      <c r="H499" s="2" t="s">
        <v>3185</v>
      </c>
      <c r="I499" s="2" t="s">
        <v>2558</v>
      </c>
      <c r="J499" s="2" t="s">
        <v>3186</v>
      </c>
      <c r="K499" s="82" t="s">
        <v>3187</v>
      </c>
      <c r="L499" s="2">
        <v>8.080359847E9</v>
      </c>
      <c r="M499" s="12" t="s">
        <v>1034</v>
      </c>
    </row>
    <row r="500">
      <c r="A500" s="2" t="s">
        <v>1035</v>
      </c>
      <c r="H500" s="2" t="s">
        <v>3188</v>
      </c>
      <c r="I500" s="2" t="s">
        <v>2467</v>
      </c>
      <c r="J500" s="2" t="s">
        <v>2805</v>
      </c>
      <c r="K500" s="82" t="s">
        <v>3189</v>
      </c>
      <c r="L500" s="2">
        <v>8.080359847E9</v>
      </c>
      <c r="M500" s="12" t="s">
        <v>1036</v>
      </c>
    </row>
    <row r="501">
      <c r="A501" s="2" t="s">
        <v>1042</v>
      </c>
      <c r="H501" s="2" t="s">
        <v>3190</v>
      </c>
      <c r="I501" s="2" t="s">
        <v>2551</v>
      </c>
      <c r="J501" s="2" t="s">
        <v>3191</v>
      </c>
      <c r="K501" s="82" t="s">
        <v>3192</v>
      </c>
      <c r="L501" s="2">
        <v>8.080359847E9</v>
      </c>
      <c r="M501" s="12" t="s">
        <v>1043</v>
      </c>
    </row>
    <row r="502">
      <c r="A502" s="2" t="s">
        <v>112</v>
      </c>
      <c r="H502" s="2" t="s">
        <v>3193</v>
      </c>
      <c r="I502" s="2" t="s">
        <v>2463</v>
      </c>
      <c r="J502" s="2" t="s">
        <v>3194</v>
      </c>
      <c r="K502" s="82" t="s">
        <v>3195</v>
      </c>
      <c r="L502" s="2">
        <v>8.080359847E9</v>
      </c>
      <c r="M502" s="12" t="s">
        <v>1047</v>
      </c>
    </row>
    <row r="503">
      <c r="A503" s="2" t="s">
        <v>188</v>
      </c>
      <c r="H503" s="2" t="s">
        <v>3196</v>
      </c>
      <c r="I503" s="2" t="s">
        <v>2536</v>
      </c>
      <c r="J503" s="2" t="s">
        <v>3197</v>
      </c>
      <c r="K503" s="82" t="s">
        <v>3198</v>
      </c>
      <c r="L503" s="2">
        <v>7.089743322E9</v>
      </c>
      <c r="M503" s="12" t="s">
        <v>1049</v>
      </c>
    </row>
    <row r="504">
      <c r="A504" s="2" t="s">
        <v>908</v>
      </c>
      <c r="H504" s="2" t="s">
        <v>3199</v>
      </c>
      <c r="I504" s="2" t="s">
        <v>3200</v>
      </c>
      <c r="J504" s="2" t="s">
        <v>3201</v>
      </c>
      <c r="K504" s="82" t="s">
        <v>3202</v>
      </c>
      <c r="L504" s="2">
        <v>8.080359847E9</v>
      </c>
      <c r="M504" s="12" t="s">
        <v>910</v>
      </c>
    </row>
    <row r="505">
      <c r="A505" s="2" t="s">
        <v>1167</v>
      </c>
      <c r="H505" s="2" t="s">
        <v>3203</v>
      </c>
      <c r="I505" s="2" t="s">
        <v>2467</v>
      </c>
      <c r="J505" s="2" t="s">
        <v>2773</v>
      </c>
      <c r="K505" s="82" t="s">
        <v>3204</v>
      </c>
      <c r="L505" s="2">
        <v>8.080359847E9</v>
      </c>
      <c r="M505" s="12" t="s">
        <v>1169</v>
      </c>
    </row>
    <row r="506">
      <c r="A506" s="2" t="s">
        <v>811</v>
      </c>
      <c r="H506" s="2" t="s">
        <v>3205</v>
      </c>
      <c r="I506" s="2" t="s">
        <v>2463</v>
      </c>
      <c r="J506" s="2" t="s">
        <v>3206</v>
      </c>
      <c r="K506" s="82" t="s">
        <v>3207</v>
      </c>
      <c r="L506" s="2">
        <v>7.023508059E9</v>
      </c>
      <c r="M506" s="12" t="s">
        <v>812</v>
      </c>
    </row>
    <row r="507">
      <c r="A507" s="2" t="s">
        <v>567</v>
      </c>
      <c r="H507" s="2" t="s">
        <v>3208</v>
      </c>
      <c r="I507" s="2" t="s">
        <v>2536</v>
      </c>
      <c r="J507" s="2" t="s">
        <v>2818</v>
      </c>
      <c r="K507" s="82" t="s">
        <v>3209</v>
      </c>
      <c r="L507" s="2">
        <v>8.080359847E9</v>
      </c>
      <c r="M507" s="12" t="s">
        <v>569</v>
      </c>
    </row>
    <row r="508">
      <c r="A508" s="2" t="s">
        <v>1100</v>
      </c>
      <c r="H508" s="2" t="s">
        <v>3210</v>
      </c>
      <c r="I508" s="2" t="s">
        <v>2674</v>
      </c>
      <c r="J508" s="2" t="s">
        <v>3211</v>
      </c>
      <c r="K508" s="82" t="s">
        <v>3212</v>
      </c>
      <c r="L508" s="2">
        <v>8.028369096E9</v>
      </c>
      <c r="M508" s="12" t="s">
        <v>1101</v>
      </c>
    </row>
    <row r="509">
      <c r="A509" s="2" t="s">
        <v>809</v>
      </c>
      <c r="H509" s="2" t="s">
        <v>3213</v>
      </c>
      <c r="I509" s="2" t="s">
        <v>2498</v>
      </c>
      <c r="J509" s="2" t="s">
        <v>3214</v>
      </c>
      <c r="K509" s="82" t="s">
        <v>3215</v>
      </c>
      <c r="L509" s="2">
        <v>8.080359847E9</v>
      </c>
      <c r="M509" s="12" t="s">
        <v>810</v>
      </c>
    </row>
    <row r="510">
      <c r="A510" s="2" t="s">
        <v>1076</v>
      </c>
      <c r="H510" s="2" t="s">
        <v>3216</v>
      </c>
      <c r="I510" s="2" t="s">
        <v>2509</v>
      </c>
      <c r="J510" s="2" t="s">
        <v>3217</v>
      </c>
      <c r="K510" s="82" t="s">
        <v>3218</v>
      </c>
      <c r="L510" s="2">
        <v>8.080359847E9</v>
      </c>
      <c r="M510" s="12" t="s">
        <v>1077</v>
      </c>
    </row>
    <row r="511">
      <c r="A511" s="2" t="s">
        <v>757</v>
      </c>
      <c r="H511" s="2" t="s">
        <v>3219</v>
      </c>
      <c r="I511" s="2" t="s">
        <v>2467</v>
      </c>
      <c r="J511" s="2" t="s">
        <v>2728</v>
      </c>
      <c r="K511" s="82" t="s">
        <v>3220</v>
      </c>
      <c r="L511" s="2">
        <v>8.080359847E9</v>
      </c>
      <c r="M511" s="12" t="s">
        <v>759</v>
      </c>
    </row>
    <row r="512">
      <c r="A512" s="2" t="s">
        <v>830</v>
      </c>
      <c r="H512" s="2" t="s">
        <v>3072</v>
      </c>
      <c r="I512" s="2" t="s">
        <v>2482</v>
      </c>
      <c r="J512" s="2" t="s">
        <v>2790</v>
      </c>
      <c r="K512" s="82" t="s">
        <v>3221</v>
      </c>
      <c r="L512" s="2" t="s">
        <v>3222</v>
      </c>
      <c r="M512" s="12" t="s">
        <v>831</v>
      </c>
    </row>
    <row r="513">
      <c r="A513" s="2" t="s">
        <v>372</v>
      </c>
      <c r="H513" s="2" t="s">
        <v>3223</v>
      </c>
      <c r="I513" s="2" t="s">
        <v>2459</v>
      </c>
      <c r="J513" s="2" t="s">
        <v>2460</v>
      </c>
      <c r="K513" s="82" t="s">
        <v>3224</v>
      </c>
      <c r="L513" s="2">
        <v>9.098629723E9</v>
      </c>
      <c r="M513" s="12" t="s">
        <v>373</v>
      </c>
    </row>
    <row r="514">
      <c r="A514" s="2" t="s">
        <v>476</v>
      </c>
      <c r="H514" s="2" t="s">
        <v>3225</v>
      </c>
      <c r="I514" s="2" t="s">
        <v>3052</v>
      </c>
      <c r="J514" s="2" t="s">
        <v>3226</v>
      </c>
      <c r="K514" s="82" t="s">
        <v>3227</v>
      </c>
      <c r="L514" s="2">
        <v>8.080359847E9</v>
      </c>
      <c r="M514" s="12" t="s">
        <v>477</v>
      </c>
    </row>
    <row r="515">
      <c r="A515" s="2" t="s">
        <v>650</v>
      </c>
      <c r="H515" s="2" t="s">
        <v>3228</v>
      </c>
      <c r="I515" s="2" t="s">
        <v>2547</v>
      </c>
      <c r="J515" s="2" t="s">
        <v>3229</v>
      </c>
      <c r="K515" s="82" t="s">
        <v>3230</v>
      </c>
      <c r="L515" s="2">
        <v>8.080359847E9</v>
      </c>
      <c r="M515" s="12" t="s">
        <v>651</v>
      </c>
    </row>
    <row r="516">
      <c r="A516" s="2" t="s">
        <v>888</v>
      </c>
      <c r="H516" s="2" t="s">
        <v>3231</v>
      </c>
      <c r="I516" s="2" t="s">
        <v>2463</v>
      </c>
      <c r="J516" s="2" t="s">
        <v>2591</v>
      </c>
      <c r="K516" s="82" t="s">
        <v>3232</v>
      </c>
      <c r="L516" s="2" t="s">
        <v>3233</v>
      </c>
      <c r="M516" s="12" t="s">
        <v>890</v>
      </c>
    </row>
    <row r="517">
      <c r="A517" s="2" t="s">
        <v>1493</v>
      </c>
      <c r="H517" s="2" t="s">
        <v>3234</v>
      </c>
      <c r="I517" s="2" t="s">
        <v>2467</v>
      </c>
      <c r="J517" s="2" t="s">
        <v>3235</v>
      </c>
      <c r="K517" s="82" t="s">
        <v>3236</v>
      </c>
      <c r="L517" s="2">
        <v>8.080359847E9</v>
      </c>
      <c r="M517" s="12" t="s">
        <v>1494</v>
      </c>
    </row>
    <row r="518">
      <c r="A518" s="2" t="s">
        <v>1495</v>
      </c>
      <c r="H518" s="2" t="s">
        <v>3237</v>
      </c>
      <c r="I518" s="2" t="s">
        <v>2478</v>
      </c>
      <c r="J518" s="2" t="s">
        <v>2479</v>
      </c>
      <c r="K518" s="82" t="s">
        <v>3238</v>
      </c>
      <c r="L518" s="2">
        <v>8.080359847E9</v>
      </c>
      <c r="M518" s="12" t="s">
        <v>1496</v>
      </c>
    </row>
    <row r="519">
      <c r="A519" s="2" t="s">
        <v>339</v>
      </c>
      <c r="H519" s="2" t="s">
        <v>3239</v>
      </c>
      <c r="I519" s="2" t="s">
        <v>2509</v>
      </c>
      <c r="J519" s="2" t="s">
        <v>3240</v>
      </c>
      <c r="K519" s="82" t="s">
        <v>3241</v>
      </c>
      <c r="L519" s="2">
        <v>8.080359847E9</v>
      </c>
      <c r="M519" s="12" t="s">
        <v>1504</v>
      </c>
    </row>
    <row r="520">
      <c r="A520" s="2" t="s">
        <v>207</v>
      </c>
      <c r="H520" s="2" t="s">
        <v>2653</v>
      </c>
      <c r="I520" s="2" t="s">
        <v>2654</v>
      </c>
      <c r="J520" s="2" t="s">
        <v>2655</v>
      </c>
      <c r="K520" s="82" t="s">
        <v>2656</v>
      </c>
      <c r="L520" s="2">
        <v>8.080359847E9</v>
      </c>
      <c r="M520" s="12" t="s">
        <v>1505</v>
      </c>
    </row>
    <row r="521">
      <c r="A521" s="2" t="s">
        <v>255</v>
      </c>
      <c r="H521" s="2" t="s">
        <v>2523</v>
      </c>
      <c r="I521" s="2" t="s">
        <v>2482</v>
      </c>
      <c r="J521" s="2" t="s">
        <v>2524</v>
      </c>
      <c r="K521" s="82" t="s">
        <v>3242</v>
      </c>
      <c r="L521" s="2">
        <v>8.080359847E9</v>
      </c>
    </row>
    <row r="522">
      <c r="A522" s="2" t="s">
        <v>1162</v>
      </c>
      <c r="H522" s="2" t="s">
        <v>2574</v>
      </c>
      <c r="I522" s="2" t="s">
        <v>2558</v>
      </c>
      <c r="J522" s="2" t="s">
        <v>2575</v>
      </c>
      <c r="K522" s="82" t="s">
        <v>3243</v>
      </c>
      <c r="L522" s="2">
        <v>8.080359847E9</v>
      </c>
      <c r="M522" s="12" t="s">
        <v>1164</v>
      </c>
    </row>
    <row r="523">
      <c r="A523" s="2" t="s">
        <v>423</v>
      </c>
      <c r="H523" s="2" t="s">
        <v>3244</v>
      </c>
      <c r="I523" s="2" t="s">
        <v>2547</v>
      </c>
      <c r="J523" s="2" t="s">
        <v>3245</v>
      </c>
      <c r="K523" s="82" t="s">
        <v>3246</v>
      </c>
      <c r="L523" s="2">
        <v>8.080359847E9</v>
      </c>
      <c r="M523" s="12" t="s">
        <v>791</v>
      </c>
    </row>
    <row r="524">
      <c r="A524" s="2" t="s">
        <v>1436</v>
      </c>
      <c r="H524" s="2" t="s">
        <v>3247</v>
      </c>
      <c r="I524" s="2" t="s">
        <v>2532</v>
      </c>
      <c r="J524" s="2" t="s">
        <v>3248</v>
      </c>
      <c r="K524" s="82" t="s">
        <v>3249</v>
      </c>
      <c r="L524" s="2">
        <v>8.080359847E9</v>
      </c>
    </row>
    <row r="525">
      <c r="A525" s="2" t="s">
        <v>3250</v>
      </c>
      <c r="H525" s="2" t="s">
        <v>3115</v>
      </c>
      <c r="I525" s="2" t="s">
        <v>2558</v>
      </c>
      <c r="J525" s="2" t="s">
        <v>2602</v>
      </c>
      <c r="K525" s="82" t="s">
        <v>3251</v>
      </c>
      <c r="L525" s="2">
        <v>8.080359847E9</v>
      </c>
      <c r="M525" s="12" t="s">
        <v>642</v>
      </c>
    </row>
    <row r="526">
      <c r="A526" s="2" t="s">
        <v>870</v>
      </c>
      <c r="H526" s="2" t="s">
        <v>3252</v>
      </c>
      <c r="I526" s="2" t="s">
        <v>2474</v>
      </c>
      <c r="J526" s="2" t="s">
        <v>3253</v>
      </c>
      <c r="K526" s="82" t="s">
        <v>3254</v>
      </c>
      <c r="L526" s="2">
        <v>8.080359847E9</v>
      </c>
      <c r="M526" s="12" t="s">
        <v>871</v>
      </c>
    </row>
    <row r="527">
      <c r="A527" s="2" t="s">
        <v>1497</v>
      </c>
      <c r="H527" s="2" t="s">
        <v>3255</v>
      </c>
      <c r="I527" s="2" t="s">
        <v>2558</v>
      </c>
      <c r="J527" s="2" t="s">
        <v>3104</v>
      </c>
      <c r="K527" s="82" t="s">
        <v>3256</v>
      </c>
      <c r="L527" s="2">
        <v>8.080359847E9</v>
      </c>
      <c r="M527" s="12" t="s">
        <v>1498</v>
      </c>
    </row>
    <row r="528">
      <c r="A528" s="2" t="s">
        <v>1499</v>
      </c>
      <c r="H528" s="2" t="s">
        <v>3257</v>
      </c>
      <c r="I528" s="2" t="s">
        <v>2536</v>
      </c>
      <c r="J528" s="2" t="s">
        <v>3258</v>
      </c>
      <c r="K528" s="82" t="s">
        <v>3259</v>
      </c>
      <c r="L528" s="2">
        <v>8.080359847E9</v>
      </c>
      <c r="M528" s="12" t="s">
        <v>1500</v>
      </c>
    </row>
    <row r="529">
      <c r="A529" s="2" t="s">
        <v>1545</v>
      </c>
      <c r="H529" s="2" t="s">
        <v>3260</v>
      </c>
      <c r="I529" s="2" t="s">
        <v>2459</v>
      </c>
      <c r="J529" s="2" t="s">
        <v>2460</v>
      </c>
      <c r="K529" s="82" t="s">
        <v>3261</v>
      </c>
      <c r="L529" s="2">
        <v>8.080359847E9</v>
      </c>
    </row>
    <row r="530">
      <c r="A530" s="2" t="s">
        <v>1506</v>
      </c>
      <c r="H530" s="2" t="s">
        <v>3262</v>
      </c>
      <c r="I530" s="2" t="s">
        <v>2478</v>
      </c>
      <c r="J530" s="2" t="s">
        <v>2859</v>
      </c>
      <c r="K530" s="82" t="s">
        <v>3263</v>
      </c>
      <c r="L530" s="2">
        <v>8.080359847E9</v>
      </c>
      <c r="M530" s="12" t="s">
        <v>1507</v>
      </c>
    </row>
    <row r="531">
      <c r="A531" s="2" t="s">
        <v>749</v>
      </c>
      <c r="H531" s="2" t="s">
        <v>2593</v>
      </c>
      <c r="I531" s="2" t="s">
        <v>2536</v>
      </c>
      <c r="J531" s="2" t="s">
        <v>2600</v>
      </c>
      <c r="K531" s="82" t="s">
        <v>3264</v>
      </c>
      <c r="L531" s="2">
        <v>8.080359847E9</v>
      </c>
      <c r="M531" s="12" t="s">
        <v>750</v>
      </c>
    </row>
    <row r="532">
      <c r="A532" s="2" t="s">
        <v>993</v>
      </c>
      <c r="H532" s="2" t="s">
        <v>3265</v>
      </c>
      <c r="I532" s="2" t="s">
        <v>2769</v>
      </c>
      <c r="J532" s="2" t="s">
        <v>3266</v>
      </c>
      <c r="K532" s="82" t="s">
        <v>3267</v>
      </c>
      <c r="L532" s="2">
        <v>8.080359847E9</v>
      </c>
      <c r="M532" s="12" t="s">
        <v>994</v>
      </c>
    </row>
    <row r="533">
      <c r="A533" s="2" t="s">
        <v>937</v>
      </c>
      <c r="H533" s="2" t="s">
        <v>3268</v>
      </c>
      <c r="I533" s="2" t="s">
        <v>2463</v>
      </c>
      <c r="J533" s="2" t="s">
        <v>3269</v>
      </c>
      <c r="K533" s="82" t="s">
        <v>3270</v>
      </c>
      <c r="L533" s="2">
        <v>8.080359847E9</v>
      </c>
      <c r="M533" s="12" t="s">
        <v>938</v>
      </c>
    </row>
    <row r="534">
      <c r="A534" s="2" t="s">
        <v>999</v>
      </c>
      <c r="H534" s="2" t="s">
        <v>3271</v>
      </c>
      <c r="I534" s="2" t="s">
        <v>3272</v>
      </c>
      <c r="J534" s="2" t="s">
        <v>3273</v>
      </c>
      <c r="K534" s="82" t="s">
        <v>3274</v>
      </c>
      <c r="L534" s="2">
        <v>8.080359847E9</v>
      </c>
      <c r="M534" s="12" t="s">
        <v>1000</v>
      </c>
    </row>
    <row r="535">
      <c r="A535" s="2" t="s">
        <v>861</v>
      </c>
      <c r="H535" s="2" t="s">
        <v>3275</v>
      </c>
      <c r="I535" s="2" t="s">
        <v>2482</v>
      </c>
      <c r="J535" s="2" t="s">
        <v>3276</v>
      </c>
      <c r="K535" s="82" t="s">
        <v>3277</v>
      </c>
      <c r="L535" s="2">
        <v>8.080359847E9</v>
      </c>
      <c r="M535" s="12" t="s">
        <v>862</v>
      </c>
    </row>
    <row r="536">
      <c r="A536" s="2" t="s">
        <v>832</v>
      </c>
      <c r="H536" s="2" t="s">
        <v>3278</v>
      </c>
      <c r="I536" s="2" t="s">
        <v>2478</v>
      </c>
      <c r="J536" s="2" t="s">
        <v>2492</v>
      </c>
      <c r="K536" s="82" t="s">
        <v>3279</v>
      </c>
      <c r="L536" s="2">
        <v>8.080359847E9</v>
      </c>
      <c r="M536" s="12" t="s">
        <v>833</v>
      </c>
    </row>
    <row r="537">
      <c r="A537" s="2" t="s">
        <v>312</v>
      </c>
      <c r="H537" s="2" t="s">
        <v>3280</v>
      </c>
      <c r="I537" s="2" t="s">
        <v>2478</v>
      </c>
      <c r="J537" s="2" t="s">
        <v>3281</v>
      </c>
      <c r="K537" s="82" t="s">
        <v>3282</v>
      </c>
      <c r="L537" s="2">
        <v>8.080359847E9</v>
      </c>
      <c r="M537" s="12" t="s">
        <v>541</v>
      </c>
    </row>
    <row r="538">
      <c r="A538" s="2" t="s">
        <v>825</v>
      </c>
      <c r="H538" s="2" t="s">
        <v>3283</v>
      </c>
      <c r="I538" s="2" t="s">
        <v>2502</v>
      </c>
      <c r="J538" s="2" t="s">
        <v>3284</v>
      </c>
      <c r="K538" s="82" t="s">
        <v>3285</v>
      </c>
      <c r="L538" s="2">
        <v>8.080359847E9</v>
      </c>
      <c r="M538" s="12" t="s">
        <v>827</v>
      </c>
    </row>
    <row r="539">
      <c r="A539" s="2" t="s">
        <v>720</v>
      </c>
      <c r="H539" s="2" t="s">
        <v>3286</v>
      </c>
      <c r="I539" s="2" t="s">
        <v>2459</v>
      </c>
      <c r="J539" s="2" t="s">
        <v>3287</v>
      </c>
      <c r="K539" s="82" t="s">
        <v>3288</v>
      </c>
      <c r="L539" s="2">
        <v>8.080359847E9</v>
      </c>
      <c r="M539" s="12" t="s">
        <v>869</v>
      </c>
    </row>
    <row r="540">
      <c r="A540" s="2" t="s">
        <v>875</v>
      </c>
      <c r="H540" s="2" t="s">
        <v>3289</v>
      </c>
      <c r="I540" s="2" t="s">
        <v>2551</v>
      </c>
      <c r="J540" s="2" t="s">
        <v>3290</v>
      </c>
      <c r="K540" s="82" t="s">
        <v>3291</v>
      </c>
      <c r="L540" s="2">
        <v>8.080359847E9</v>
      </c>
      <c r="M540" s="12" t="s">
        <v>876</v>
      </c>
    </row>
    <row r="541">
      <c r="A541" s="2" t="s">
        <v>983</v>
      </c>
      <c r="H541" s="2" t="s">
        <v>3292</v>
      </c>
      <c r="I541" s="2" t="s">
        <v>2482</v>
      </c>
      <c r="J541" s="2" t="s">
        <v>3006</v>
      </c>
      <c r="K541" s="82" t="s">
        <v>3293</v>
      </c>
      <c r="L541" s="2">
        <v>7.091661718E9</v>
      </c>
      <c r="M541" s="12" t="s">
        <v>984</v>
      </c>
    </row>
    <row r="542">
      <c r="A542" s="2" t="s">
        <v>263</v>
      </c>
      <c r="H542" s="2" t="s">
        <v>3294</v>
      </c>
      <c r="I542" s="2" t="s">
        <v>2558</v>
      </c>
      <c r="J542" s="2" t="s">
        <v>3295</v>
      </c>
      <c r="K542" s="82" t="s">
        <v>3296</v>
      </c>
      <c r="L542" s="2">
        <v>8.080359847E9</v>
      </c>
      <c r="M542" s="12" t="s">
        <v>789</v>
      </c>
    </row>
    <row r="543">
      <c r="A543" s="2" t="s">
        <v>857</v>
      </c>
      <c r="H543" s="2" t="s">
        <v>3297</v>
      </c>
      <c r="I543" s="2" t="s">
        <v>2558</v>
      </c>
      <c r="J543" s="2" t="s">
        <v>3298</v>
      </c>
      <c r="K543" s="82" t="s">
        <v>3299</v>
      </c>
      <c r="L543" s="2">
        <v>8.080359847E9</v>
      </c>
      <c r="M543" s="12" t="s">
        <v>858</v>
      </c>
    </row>
    <row r="544">
      <c r="A544" s="2" t="s">
        <v>917</v>
      </c>
      <c r="H544" s="2" t="s">
        <v>3300</v>
      </c>
      <c r="I544" s="2" t="s">
        <v>2551</v>
      </c>
      <c r="J544" s="2" t="s">
        <v>3301</v>
      </c>
      <c r="K544" s="82" t="s">
        <v>3302</v>
      </c>
      <c r="L544" s="2">
        <v>8.080359847E9</v>
      </c>
      <c r="M544" s="12" t="s">
        <v>918</v>
      </c>
    </row>
    <row r="545">
      <c r="A545" s="2" t="s">
        <v>1039</v>
      </c>
      <c r="H545" s="2" t="s">
        <v>3303</v>
      </c>
      <c r="I545" s="2" t="s">
        <v>2558</v>
      </c>
      <c r="J545" s="2" t="s">
        <v>2642</v>
      </c>
      <c r="K545" s="82" t="s">
        <v>3304</v>
      </c>
      <c r="L545" s="2" t="s">
        <v>3305</v>
      </c>
      <c r="M545" s="12" t="s">
        <v>1040</v>
      </c>
    </row>
    <row r="546">
      <c r="A546" s="2" t="s">
        <v>923</v>
      </c>
      <c r="H546" s="2" t="s">
        <v>3306</v>
      </c>
      <c r="I546" s="2" t="s">
        <v>2623</v>
      </c>
      <c r="J546" s="2" t="s">
        <v>2624</v>
      </c>
      <c r="K546" s="82" t="s">
        <v>3307</v>
      </c>
      <c r="L546" s="2">
        <v>8.080359847E9</v>
      </c>
      <c r="M546" s="12" t="s">
        <v>924</v>
      </c>
    </row>
    <row r="547">
      <c r="A547" s="2" t="s">
        <v>364</v>
      </c>
      <c r="H547" s="2" t="s">
        <v>2542</v>
      </c>
      <c r="I547" s="2" t="s">
        <v>2543</v>
      </c>
      <c r="J547" s="2" t="s">
        <v>2544</v>
      </c>
      <c r="K547" s="82" t="s">
        <v>3308</v>
      </c>
      <c r="L547" s="2">
        <v>8.080359847E9</v>
      </c>
      <c r="M547" s="12" t="s">
        <v>957</v>
      </c>
    </row>
    <row r="548">
      <c r="A548" s="2" t="s">
        <v>52</v>
      </c>
      <c r="H548" s="2" t="s">
        <v>3309</v>
      </c>
      <c r="I548" s="2" t="s">
        <v>2474</v>
      </c>
      <c r="J548" s="2" t="s">
        <v>2515</v>
      </c>
      <c r="K548" s="82" t="s">
        <v>3310</v>
      </c>
      <c r="L548" s="2">
        <v>8.080359847E9</v>
      </c>
      <c r="M548" s="12" t="s">
        <v>1137</v>
      </c>
    </row>
    <row r="549">
      <c r="A549" s="2" t="s">
        <v>1108</v>
      </c>
      <c r="H549" s="2" t="s">
        <v>3311</v>
      </c>
      <c r="I549" s="2" t="s">
        <v>2463</v>
      </c>
      <c r="J549" s="2" t="s">
        <v>3312</v>
      </c>
      <c r="K549" s="82" t="s">
        <v>3313</v>
      </c>
      <c r="L549" s="2">
        <v>8.080359847E9</v>
      </c>
    </row>
    <row r="550">
      <c r="A550" s="2" t="s">
        <v>241</v>
      </c>
      <c r="H550" s="2" t="s">
        <v>3314</v>
      </c>
      <c r="I550" s="2" t="s">
        <v>2467</v>
      </c>
      <c r="J550" s="2" t="s">
        <v>3315</v>
      </c>
      <c r="K550" s="82" t="s">
        <v>3316</v>
      </c>
      <c r="L550" s="2">
        <v>8.080359847E9</v>
      </c>
    </row>
    <row r="551">
      <c r="A551" s="2" t="s">
        <v>978</v>
      </c>
      <c r="H551" s="2" t="s">
        <v>2521</v>
      </c>
      <c r="I551" s="2" t="s">
        <v>2467</v>
      </c>
      <c r="J551" s="2" t="s">
        <v>2471</v>
      </c>
      <c r="K551" s="82" t="s">
        <v>2660</v>
      </c>
      <c r="L551" s="2">
        <v>8.093691527E9</v>
      </c>
      <c r="M551" s="12" t="s">
        <v>979</v>
      </c>
    </row>
    <row r="552">
      <c r="A552" s="2" t="s">
        <v>995</v>
      </c>
      <c r="H552" s="2" t="s">
        <v>3317</v>
      </c>
      <c r="I552" s="2" t="s">
        <v>2558</v>
      </c>
      <c r="J552" s="2" t="s">
        <v>3318</v>
      </c>
      <c r="K552" s="82" t="s">
        <v>3319</v>
      </c>
      <c r="L552" s="2">
        <v>8.073522377E9</v>
      </c>
      <c r="M552" s="12" t="s">
        <v>996</v>
      </c>
    </row>
    <row r="553">
      <c r="A553" s="2" t="s">
        <v>204</v>
      </c>
      <c r="H553" s="2" t="s">
        <v>3320</v>
      </c>
      <c r="I553" s="2" t="s">
        <v>2558</v>
      </c>
      <c r="J553" s="2" t="s">
        <v>3067</v>
      </c>
      <c r="K553" s="82" t="s">
        <v>3321</v>
      </c>
      <c r="L553" s="2">
        <v>8.080359847E9</v>
      </c>
      <c r="M553" s="12" t="s">
        <v>834</v>
      </c>
    </row>
    <row r="554">
      <c r="A554" s="2" t="s">
        <v>772</v>
      </c>
      <c r="H554" s="2" t="s">
        <v>3322</v>
      </c>
      <c r="I554" s="2" t="s">
        <v>2474</v>
      </c>
      <c r="J554" s="2" t="s">
        <v>3323</v>
      </c>
      <c r="K554" s="82" t="s">
        <v>3324</v>
      </c>
      <c r="L554" s="2">
        <v>9.065541979E9</v>
      </c>
      <c r="M554" s="12" t="s">
        <v>774</v>
      </c>
    </row>
    <row r="555">
      <c r="A555" s="2" t="s">
        <v>1095</v>
      </c>
      <c r="H555" s="2" t="s">
        <v>3325</v>
      </c>
      <c r="I555" s="2" t="s">
        <v>2597</v>
      </c>
      <c r="J555" s="2" t="s">
        <v>3326</v>
      </c>
      <c r="K555" s="82" t="s">
        <v>3327</v>
      </c>
      <c r="L555" s="2">
        <v>8.080359847E9</v>
      </c>
      <c r="M555" s="12" t="s">
        <v>1096</v>
      </c>
    </row>
    <row r="556">
      <c r="A556" s="2" t="s">
        <v>1016</v>
      </c>
      <c r="H556" s="2" t="s">
        <v>3328</v>
      </c>
      <c r="I556" s="2" t="s">
        <v>2558</v>
      </c>
      <c r="J556" s="2" t="s">
        <v>2602</v>
      </c>
      <c r="K556" s="82" t="s">
        <v>3329</v>
      </c>
      <c r="L556" s="2">
        <v>8.080359847E9</v>
      </c>
      <c r="M556" s="12" t="s">
        <v>1017</v>
      </c>
    </row>
    <row r="557">
      <c r="A557" s="2" t="s">
        <v>1050</v>
      </c>
      <c r="H557" s="2" t="s">
        <v>3330</v>
      </c>
      <c r="I557" s="2" t="s">
        <v>2518</v>
      </c>
      <c r="J557" s="2" t="s">
        <v>3331</v>
      </c>
      <c r="K557" s="82" t="s">
        <v>3332</v>
      </c>
      <c r="L557" s="2">
        <v>8.080359847E9</v>
      </c>
      <c r="M557" s="12" t="s">
        <v>1051</v>
      </c>
    </row>
    <row r="558">
      <c r="A558" s="2" t="s">
        <v>960</v>
      </c>
      <c r="H558" s="2" t="s">
        <v>3333</v>
      </c>
      <c r="I558" s="2" t="s">
        <v>3272</v>
      </c>
      <c r="J558" s="2" t="s">
        <v>3334</v>
      </c>
      <c r="K558" s="82" t="s">
        <v>3335</v>
      </c>
      <c r="L558" s="2">
        <v>8.080359847E9</v>
      </c>
      <c r="M558" s="12" t="s">
        <v>962</v>
      </c>
    </row>
    <row r="559">
      <c r="A559" s="2" t="s">
        <v>769</v>
      </c>
      <c r="H559" s="2" t="s">
        <v>3336</v>
      </c>
      <c r="I559" s="2" t="s">
        <v>2482</v>
      </c>
      <c r="J559" s="2" t="s">
        <v>2999</v>
      </c>
      <c r="K559" s="82" t="s">
        <v>3337</v>
      </c>
      <c r="L559" s="2">
        <v>8.080359847E9</v>
      </c>
      <c r="M559" s="12" t="s">
        <v>771</v>
      </c>
    </row>
    <row r="560">
      <c r="A560" s="2" t="s">
        <v>68</v>
      </c>
      <c r="H560" s="2" t="s">
        <v>2584</v>
      </c>
      <c r="I560" s="2" t="s">
        <v>2502</v>
      </c>
      <c r="J560" s="2" t="s">
        <v>2585</v>
      </c>
      <c r="K560" s="82" t="s">
        <v>3338</v>
      </c>
      <c r="L560" s="2">
        <v>8.080359847E9</v>
      </c>
      <c r="M560" s="12" t="s">
        <v>964</v>
      </c>
    </row>
    <row r="561">
      <c r="A561" s="2" t="s">
        <v>839</v>
      </c>
      <c r="H561" s="2" t="s">
        <v>3339</v>
      </c>
      <c r="I561" s="2" t="s">
        <v>2662</v>
      </c>
      <c r="J561" s="2" t="s">
        <v>3340</v>
      </c>
      <c r="K561" s="82" t="s">
        <v>3341</v>
      </c>
      <c r="L561" s="2">
        <v>2.24845677E8</v>
      </c>
      <c r="M561" s="12" t="s">
        <v>840</v>
      </c>
    </row>
    <row r="562">
      <c r="A562" s="2" t="s">
        <v>573</v>
      </c>
      <c r="H562" s="2" t="s">
        <v>3342</v>
      </c>
      <c r="I562" s="2" t="s">
        <v>2509</v>
      </c>
      <c r="J562" s="2" t="s">
        <v>3217</v>
      </c>
      <c r="K562" s="82" t="s">
        <v>3343</v>
      </c>
      <c r="L562" s="2">
        <v>8.080359847E9</v>
      </c>
      <c r="M562" s="12" t="s">
        <v>574</v>
      </c>
    </row>
    <row r="563">
      <c r="A563" s="2" t="s">
        <v>1332</v>
      </c>
      <c r="H563" s="2" t="s">
        <v>3344</v>
      </c>
      <c r="I563" s="2" t="s">
        <v>2482</v>
      </c>
      <c r="J563" s="2" t="s">
        <v>2937</v>
      </c>
      <c r="K563" s="82" t="s">
        <v>3345</v>
      </c>
      <c r="L563" s="2">
        <v>8.080359847E9</v>
      </c>
      <c r="M563" s="12" t="s">
        <v>1333</v>
      </c>
    </row>
    <row r="564">
      <c r="A564" s="2" t="s">
        <v>1125</v>
      </c>
      <c r="H564" s="2" t="s">
        <v>3346</v>
      </c>
      <c r="I564" s="2" t="s">
        <v>2758</v>
      </c>
      <c r="J564" s="2" t="s">
        <v>3347</v>
      </c>
      <c r="K564" s="82" t="s">
        <v>3348</v>
      </c>
      <c r="L564" s="2">
        <v>8.080359847E9</v>
      </c>
      <c r="M564" s="12" t="s">
        <v>1126</v>
      </c>
    </row>
    <row r="565">
      <c r="A565" s="2" t="s">
        <v>1133</v>
      </c>
      <c r="H565" s="2" t="s">
        <v>3349</v>
      </c>
      <c r="I565" s="2" t="s">
        <v>2474</v>
      </c>
      <c r="J565" s="2" t="s">
        <v>2832</v>
      </c>
      <c r="K565" s="82" t="s">
        <v>3350</v>
      </c>
      <c r="L565" s="2">
        <v>8.080359847E9</v>
      </c>
      <c r="M565" s="12" t="s">
        <v>1134</v>
      </c>
    </row>
    <row r="566">
      <c r="A566" s="2" t="s">
        <v>129</v>
      </c>
      <c r="H566" s="2" t="s">
        <v>2641</v>
      </c>
      <c r="I566" s="2" t="s">
        <v>2558</v>
      </c>
      <c r="J566" s="2" t="s">
        <v>2642</v>
      </c>
      <c r="K566" s="82" t="s">
        <v>3351</v>
      </c>
      <c r="L566" s="2">
        <v>7.091303674E9</v>
      </c>
      <c r="M566" s="12" t="s">
        <v>1348</v>
      </c>
    </row>
    <row r="567">
      <c r="A567" s="2" t="s">
        <v>971</v>
      </c>
      <c r="H567" s="2" t="s">
        <v>3352</v>
      </c>
      <c r="I567" s="2" t="s">
        <v>2631</v>
      </c>
      <c r="J567" s="2" t="s">
        <v>3353</v>
      </c>
      <c r="K567" s="82" t="s">
        <v>3354</v>
      </c>
      <c r="L567" s="2">
        <v>8.080359847E9</v>
      </c>
      <c r="M567" s="12" t="s">
        <v>972</v>
      </c>
    </row>
    <row r="568">
      <c r="A568" s="2" t="s">
        <v>1113</v>
      </c>
      <c r="H568" s="2" t="s">
        <v>3355</v>
      </c>
      <c r="I568" s="2" t="s">
        <v>2482</v>
      </c>
      <c r="J568" s="2" t="s">
        <v>2790</v>
      </c>
      <c r="K568" s="82" t="s">
        <v>3356</v>
      </c>
      <c r="L568" s="2">
        <v>8.080359847E9</v>
      </c>
      <c r="M568" s="12" t="s">
        <v>1114</v>
      </c>
    </row>
    <row r="569">
      <c r="A569" s="2" t="s">
        <v>819</v>
      </c>
      <c r="H569" s="2" t="s">
        <v>3357</v>
      </c>
      <c r="I569" s="2" t="s">
        <v>3358</v>
      </c>
      <c r="J569" s="2" t="s">
        <v>3359</v>
      </c>
      <c r="K569" s="82" t="s">
        <v>3360</v>
      </c>
      <c r="L569" s="2">
        <v>8.080359847E9</v>
      </c>
      <c r="M569" s="12" t="s">
        <v>820</v>
      </c>
    </row>
    <row r="570">
      <c r="A570" s="2" t="s">
        <v>1502</v>
      </c>
      <c r="H570" s="2" t="s">
        <v>3361</v>
      </c>
      <c r="I570" s="2" t="s">
        <v>2769</v>
      </c>
      <c r="J570" s="2" t="s">
        <v>3362</v>
      </c>
      <c r="K570" s="82" t="s">
        <v>3363</v>
      </c>
      <c r="L570" s="2">
        <v>8.080359847E9</v>
      </c>
      <c r="M570" s="12" t="s">
        <v>1503</v>
      </c>
    </row>
    <row r="571">
      <c r="A571" s="2" t="s">
        <v>1342</v>
      </c>
      <c r="H571" s="2" t="s">
        <v>3364</v>
      </c>
      <c r="I571" s="2" t="s">
        <v>2463</v>
      </c>
      <c r="J571" s="2" t="s">
        <v>3365</v>
      </c>
      <c r="K571" s="82" t="s">
        <v>3366</v>
      </c>
      <c r="L571" s="2">
        <v>8.080359847E9</v>
      </c>
      <c r="M571" s="12" t="s">
        <v>1344</v>
      </c>
    </row>
    <row r="572">
      <c r="A572" s="2" t="s">
        <v>1071</v>
      </c>
      <c r="H572" s="2" t="s">
        <v>3367</v>
      </c>
      <c r="I572" s="2" t="s">
        <v>2616</v>
      </c>
      <c r="J572" s="2" t="s">
        <v>3368</v>
      </c>
      <c r="K572" s="82" t="s">
        <v>3369</v>
      </c>
      <c r="L572" s="2">
        <v>8.080359847E9</v>
      </c>
      <c r="M572" s="12" t="s">
        <v>1072</v>
      </c>
    </row>
    <row r="573">
      <c r="A573" s="2" t="s">
        <v>1146</v>
      </c>
      <c r="H573" s="2" t="s">
        <v>3370</v>
      </c>
      <c r="I573" s="2" t="s">
        <v>2463</v>
      </c>
      <c r="J573" s="2" t="s">
        <v>2802</v>
      </c>
      <c r="K573" s="82" t="s">
        <v>3371</v>
      </c>
      <c r="L573" s="2">
        <v>8.080359847E9</v>
      </c>
      <c r="M573" s="12" t="s">
        <v>1147</v>
      </c>
    </row>
    <row r="574">
      <c r="A574" s="2" t="s">
        <v>997</v>
      </c>
      <c r="H574" s="2" t="s">
        <v>3372</v>
      </c>
      <c r="I574" s="2" t="s">
        <v>2467</v>
      </c>
      <c r="J574" s="2" t="s">
        <v>2850</v>
      </c>
      <c r="K574" s="82" t="s">
        <v>3373</v>
      </c>
      <c r="L574" s="2">
        <v>8.080359847E9</v>
      </c>
      <c r="M574" s="12" t="s">
        <v>998</v>
      </c>
    </row>
    <row r="575">
      <c r="A575" s="2" t="s">
        <v>1093</v>
      </c>
      <c r="H575" s="2" t="s">
        <v>3374</v>
      </c>
      <c r="I575" s="2" t="s">
        <v>2684</v>
      </c>
      <c r="J575" s="2" t="s">
        <v>3375</v>
      </c>
      <c r="K575" s="82" t="s">
        <v>3376</v>
      </c>
      <c r="L575" s="2">
        <v>8.080359847E9</v>
      </c>
      <c r="M575" s="12" t="s">
        <v>1094</v>
      </c>
    </row>
    <row r="576">
      <c r="A576" s="2" t="s">
        <v>38</v>
      </c>
      <c r="H576" s="2" t="s">
        <v>3377</v>
      </c>
      <c r="I576" s="2" t="s">
        <v>2662</v>
      </c>
      <c r="J576" s="2" t="s">
        <v>3378</v>
      </c>
      <c r="K576" s="82" t="s">
        <v>3379</v>
      </c>
      <c r="L576" s="2">
        <v>8.080359847E9</v>
      </c>
      <c r="M576" s="12" t="s">
        <v>1041</v>
      </c>
    </row>
    <row r="577">
      <c r="A577" s="2" t="s">
        <v>1085</v>
      </c>
      <c r="H577" s="2" t="s">
        <v>3380</v>
      </c>
      <c r="I577" s="2" t="s">
        <v>2463</v>
      </c>
      <c r="J577" s="2" t="s">
        <v>3381</v>
      </c>
      <c r="K577" s="82" t="s">
        <v>3382</v>
      </c>
      <c r="L577" s="2">
        <v>8.080359847E9</v>
      </c>
      <c r="M577" s="12" t="s">
        <v>1086</v>
      </c>
    </row>
    <row r="578">
      <c r="A578" s="2" t="s">
        <v>1296</v>
      </c>
      <c r="H578" s="2" t="s">
        <v>3383</v>
      </c>
      <c r="I578" s="2" t="s">
        <v>2623</v>
      </c>
      <c r="J578" s="2" t="s">
        <v>2624</v>
      </c>
      <c r="K578" s="82" t="s">
        <v>3384</v>
      </c>
      <c r="L578" s="2">
        <v>8.080359847E9</v>
      </c>
      <c r="M578" s="12" t="s">
        <v>1297</v>
      </c>
    </row>
    <row r="579">
      <c r="A579" s="2" t="s">
        <v>1102</v>
      </c>
      <c r="H579" s="2" t="s">
        <v>3121</v>
      </c>
      <c r="I579" s="2" t="s">
        <v>2478</v>
      </c>
      <c r="J579" s="2" t="s">
        <v>3122</v>
      </c>
      <c r="K579" s="82" t="s">
        <v>3385</v>
      </c>
      <c r="L579" s="2">
        <v>8.080359847E9</v>
      </c>
      <c r="M579" s="12" t="s">
        <v>1103</v>
      </c>
    </row>
    <row r="580">
      <c r="A580" s="2" t="s">
        <v>159</v>
      </c>
      <c r="H580" s="2" t="s">
        <v>3386</v>
      </c>
      <c r="I580" s="2" t="s">
        <v>2463</v>
      </c>
      <c r="J580" s="2" t="s">
        <v>3381</v>
      </c>
      <c r="K580" s="82" t="s">
        <v>3387</v>
      </c>
      <c r="L580" s="2">
        <v>8.080359847E9</v>
      </c>
      <c r="M580" s="12" t="s">
        <v>1238</v>
      </c>
    </row>
    <row r="581">
      <c r="A581" s="2" t="s">
        <v>202</v>
      </c>
      <c r="H581" s="2" t="s">
        <v>3388</v>
      </c>
      <c r="I581" s="2" t="s">
        <v>2498</v>
      </c>
      <c r="J581" s="2" t="s">
        <v>3389</v>
      </c>
      <c r="K581" s="82" t="s">
        <v>3390</v>
      </c>
      <c r="L581" s="2">
        <v>8.029422989E9</v>
      </c>
      <c r="M581" s="12" t="s">
        <v>883</v>
      </c>
    </row>
    <row r="582">
      <c r="A582" s="2" t="s">
        <v>1149</v>
      </c>
      <c r="H582" s="2" t="s">
        <v>3391</v>
      </c>
      <c r="I582" s="2" t="s">
        <v>2474</v>
      </c>
      <c r="J582" s="2" t="s">
        <v>2688</v>
      </c>
      <c r="K582" s="82" t="s">
        <v>3392</v>
      </c>
      <c r="L582" s="2">
        <v>8.080359847E9</v>
      </c>
      <c r="M582" s="12" t="s">
        <v>1150</v>
      </c>
    </row>
    <row r="583">
      <c r="A583" s="2" t="s">
        <v>359</v>
      </c>
      <c r="H583" s="2" t="s">
        <v>3393</v>
      </c>
      <c r="I583" s="2" t="s">
        <v>3052</v>
      </c>
      <c r="J583" s="2" t="s">
        <v>3226</v>
      </c>
      <c r="K583" s="82" t="s">
        <v>3394</v>
      </c>
      <c r="L583" s="2">
        <v>8.080359847E9</v>
      </c>
    </row>
    <row r="584">
      <c r="A584" s="2" t="s">
        <v>1045</v>
      </c>
      <c r="H584" s="2" t="s">
        <v>3395</v>
      </c>
      <c r="I584" s="2" t="s">
        <v>2467</v>
      </c>
      <c r="J584" s="2" t="s">
        <v>2805</v>
      </c>
      <c r="K584" s="82" t="s">
        <v>3396</v>
      </c>
      <c r="L584" s="2">
        <v>8.080359847E9</v>
      </c>
      <c r="M584" s="12" t="s">
        <v>1046</v>
      </c>
    </row>
    <row r="585">
      <c r="A585" s="2" t="s">
        <v>835</v>
      </c>
      <c r="H585" s="2" t="s">
        <v>2772</v>
      </c>
      <c r="I585" s="2" t="s">
        <v>2467</v>
      </c>
      <c r="J585" s="2" t="s">
        <v>2773</v>
      </c>
      <c r="K585" s="82" t="s">
        <v>3397</v>
      </c>
      <c r="L585" s="2">
        <v>8.080359847E9</v>
      </c>
      <c r="M585" s="12" t="s">
        <v>945</v>
      </c>
    </row>
    <row r="586">
      <c r="A586" s="2" t="s">
        <v>3398</v>
      </c>
      <c r="H586" s="2" t="s">
        <v>3399</v>
      </c>
      <c r="I586" s="2" t="s">
        <v>2478</v>
      </c>
      <c r="J586" s="2" t="s">
        <v>2492</v>
      </c>
      <c r="K586" s="82" t="s">
        <v>3400</v>
      </c>
      <c r="L586" s="2">
        <v>8.080359847E9</v>
      </c>
      <c r="M586" s="12" t="s">
        <v>482</v>
      </c>
    </row>
    <row r="587">
      <c r="A587" s="2" t="s">
        <v>1250</v>
      </c>
      <c r="H587" s="2" t="s">
        <v>3401</v>
      </c>
      <c r="I587" s="2" t="s">
        <v>2463</v>
      </c>
      <c r="J587" s="2" t="s">
        <v>3402</v>
      </c>
      <c r="K587" s="82" t="s">
        <v>3403</v>
      </c>
      <c r="L587" s="2">
        <v>8.080359847E9</v>
      </c>
      <c r="M587" s="12" t="s">
        <v>1234</v>
      </c>
    </row>
    <row r="588">
      <c r="A588" s="2" t="s">
        <v>228</v>
      </c>
      <c r="H588" s="2" t="s">
        <v>3404</v>
      </c>
      <c r="I588" s="2" t="s">
        <v>2463</v>
      </c>
      <c r="J588" s="2" t="s">
        <v>2959</v>
      </c>
      <c r="K588" s="82" t="s">
        <v>3405</v>
      </c>
      <c r="L588" s="2">
        <v>8.080359847E9</v>
      </c>
      <c r="M588" s="12" t="s">
        <v>880</v>
      </c>
    </row>
    <row r="589">
      <c r="A589" s="2" t="s">
        <v>1029</v>
      </c>
      <c r="H589" s="2" t="s">
        <v>3406</v>
      </c>
      <c r="I589" s="2" t="s">
        <v>2543</v>
      </c>
      <c r="J589" s="2" t="s">
        <v>2544</v>
      </c>
      <c r="K589" s="82" t="s">
        <v>3407</v>
      </c>
      <c r="L589" s="2">
        <v>8.080359847E9</v>
      </c>
    </row>
    <row r="590">
      <c r="A590" s="2" t="s">
        <v>1097</v>
      </c>
      <c r="H590" s="2" t="s">
        <v>3408</v>
      </c>
      <c r="I590" s="2" t="s">
        <v>2459</v>
      </c>
      <c r="J590" s="2" t="s">
        <v>3009</v>
      </c>
      <c r="K590" s="82" t="s">
        <v>3409</v>
      </c>
      <c r="L590" s="2">
        <v>8.080359847E9</v>
      </c>
      <c r="M590" s="12" t="s">
        <v>1098</v>
      </c>
    </row>
    <row r="591">
      <c r="A591" s="2" t="s">
        <v>1272</v>
      </c>
      <c r="H591" s="2" t="s">
        <v>3410</v>
      </c>
      <c r="I591" s="2" t="s">
        <v>2474</v>
      </c>
      <c r="J591" s="2" t="s">
        <v>3411</v>
      </c>
      <c r="K591" s="82" t="s">
        <v>3412</v>
      </c>
      <c r="L591" s="2">
        <v>8.080359847E9</v>
      </c>
      <c r="M591" s="12" t="s">
        <v>1273</v>
      </c>
    </row>
    <row r="592">
      <c r="A592" s="2" t="s">
        <v>1277</v>
      </c>
      <c r="H592" s="2" t="s">
        <v>3413</v>
      </c>
      <c r="I592" s="2" t="s">
        <v>2631</v>
      </c>
      <c r="J592" s="2" t="s">
        <v>3414</v>
      </c>
      <c r="K592" s="82" t="s">
        <v>3415</v>
      </c>
      <c r="L592" s="2">
        <v>8.080359847E9</v>
      </c>
      <c r="M592" s="12" t="s">
        <v>1278</v>
      </c>
    </row>
    <row r="593">
      <c r="A593" s="2" t="s">
        <v>1285</v>
      </c>
      <c r="H593" s="2" t="s">
        <v>3416</v>
      </c>
      <c r="I593" s="2" t="s">
        <v>2684</v>
      </c>
      <c r="J593" s="2" t="s">
        <v>3417</v>
      </c>
      <c r="K593" s="82" t="s">
        <v>3418</v>
      </c>
      <c r="L593" s="2">
        <v>8.080359847E9</v>
      </c>
      <c r="M593" s="12" t="s">
        <v>1286</v>
      </c>
    </row>
    <row r="594">
      <c r="A594" s="2" t="s">
        <v>1323</v>
      </c>
      <c r="H594" s="2" t="s">
        <v>3419</v>
      </c>
      <c r="I594" s="2" t="s">
        <v>2459</v>
      </c>
      <c r="J594" s="2" t="s">
        <v>3420</v>
      </c>
      <c r="K594" s="82" t="s">
        <v>3421</v>
      </c>
      <c r="L594" s="2">
        <v>8.080359847E9</v>
      </c>
      <c r="M594" s="12" t="s">
        <v>1324</v>
      </c>
    </row>
    <row r="595">
      <c r="A595" s="2" t="s">
        <v>895</v>
      </c>
      <c r="H595" s="2" t="s">
        <v>3088</v>
      </c>
      <c r="I595" s="2" t="s">
        <v>2463</v>
      </c>
      <c r="J595" s="2" t="s">
        <v>3089</v>
      </c>
      <c r="K595" s="82" t="s">
        <v>3422</v>
      </c>
      <c r="L595" s="2">
        <v>8.080359847E9</v>
      </c>
      <c r="M595" s="12" t="s">
        <v>1481</v>
      </c>
    </row>
    <row r="596">
      <c r="A596" s="2" t="s">
        <v>1144</v>
      </c>
      <c r="H596" s="2" t="s">
        <v>3423</v>
      </c>
      <c r="I596" s="2" t="s">
        <v>2558</v>
      </c>
      <c r="J596" s="2" t="s">
        <v>3424</v>
      </c>
      <c r="K596" s="82" t="s">
        <v>3425</v>
      </c>
      <c r="L596" s="2">
        <v>8.080359847E9</v>
      </c>
      <c r="M596" s="12" t="s">
        <v>1145</v>
      </c>
    </row>
    <row r="597">
      <c r="A597" s="2" t="s">
        <v>1415</v>
      </c>
      <c r="H597" s="2" t="s">
        <v>3426</v>
      </c>
      <c r="I597" s="2" t="s">
        <v>2478</v>
      </c>
      <c r="J597" s="2" t="s">
        <v>3427</v>
      </c>
      <c r="K597" s="82" t="s">
        <v>3428</v>
      </c>
      <c r="L597" s="2">
        <v>8.059056448E9</v>
      </c>
      <c r="M597" s="12" t="s">
        <v>1416</v>
      </c>
    </row>
    <row r="598">
      <c r="A598" s="2" t="s">
        <v>1007</v>
      </c>
      <c r="H598" s="2" t="s">
        <v>3429</v>
      </c>
      <c r="I598" s="2" t="s">
        <v>2463</v>
      </c>
      <c r="J598" s="2" t="s">
        <v>3312</v>
      </c>
      <c r="K598" s="82" t="s">
        <v>3430</v>
      </c>
      <c r="L598" s="2">
        <v>8.080359847E9</v>
      </c>
      <c r="M598" s="12" t="s">
        <v>1008</v>
      </c>
    </row>
    <row r="599">
      <c r="A599" s="2" t="s">
        <v>1222</v>
      </c>
      <c r="H599" s="2" t="s">
        <v>2796</v>
      </c>
      <c r="I599" s="2" t="s">
        <v>2558</v>
      </c>
      <c r="J599" s="2" t="s">
        <v>2582</v>
      </c>
      <c r="K599" s="82" t="s">
        <v>2797</v>
      </c>
      <c r="L599" s="2">
        <v>8.080359847E9</v>
      </c>
      <c r="M599" s="12" t="s">
        <v>1223</v>
      </c>
    </row>
    <row r="600">
      <c r="A600" s="2" t="s">
        <v>68</v>
      </c>
      <c r="H600" s="2" t="s">
        <v>2584</v>
      </c>
      <c r="I600" s="2" t="s">
        <v>2502</v>
      </c>
      <c r="J600" s="2" t="s">
        <v>2585</v>
      </c>
      <c r="K600" s="82" t="s">
        <v>3338</v>
      </c>
      <c r="L600" s="2">
        <v>8.080359847E9</v>
      </c>
      <c r="M600" s="12" t="s">
        <v>1614</v>
      </c>
    </row>
    <row r="601">
      <c r="A601" s="2" t="s">
        <v>1251</v>
      </c>
      <c r="H601" s="2" t="s">
        <v>2641</v>
      </c>
      <c r="I601" s="2" t="s">
        <v>2558</v>
      </c>
      <c r="J601" s="2" t="s">
        <v>2642</v>
      </c>
      <c r="K601" s="82" t="s">
        <v>3431</v>
      </c>
      <c r="L601" s="2">
        <v>8.062528485E9</v>
      </c>
      <c r="M601" s="12" t="s">
        <v>1252</v>
      </c>
    </row>
    <row r="602">
      <c r="A602" s="2" t="s">
        <v>1253</v>
      </c>
      <c r="H602" s="2" t="s">
        <v>3432</v>
      </c>
      <c r="I602" s="2" t="s">
        <v>2478</v>
      </c>
      <c r="J602" s="2" t="s">
        <v>3433</v>
      </c>
      <c r="K602" s="82" t="s">
        <v>3434</v>
      </c>
      <c r="L602" s="2">
        <v>8.080359847E9</v>
      </c>
      <c r="M602" s="12" t="s">
        <v>1257</v>
      </c>
    </row>
    <row r="603">
      <c r="A603" s="2" t="s">
        <v>50</v>
      </c>
      <c r="H603" s="2" t="s">
        <v>3435</v>
      </c>
      <c r="I603" s="2" t="s">
        <v>2518</v>
      </c>
      <c r="J603" s="2" t="s">
        <v>2519</v>
      </c>
      <c r="K603" s="82" t="s">
        <v>3436</v>
      </c>
      <c r="L603" s="2">
        <v>8.080359847E9</v>
      </c>
      <c r="M603" s="12" t="s">
        <v>1300</v>
      </c>
    </row>
    <row r="604">
      <c r="A604" s="2" t="s">
        <v>426</v>
      </c>
      <c r="H604" s="2" t="s">
        <v>3437</v>
      </c>
      <c r="I604" s="2" t="s">
        <v>2631</v>
      </c>
      <c r="J604" s="2" t="s">
        <v>3438</v>
      </c>
      <c r="K604" s="82" t="s">
        <v>3439</v>
      </c>
      <c r="L604" s="2">
        <v>8.080359847E9</v>
      </c>
      <c r="M604" s="12" t="s">
        <v>1067</v>
      </c>
    </row>
    <row r="605">
      <c r="A605" s="2" t="s">
        <v>1511</v>
      </c>
      <c r="H605" s="2" t="s">
        <v>3440</v>
      </c>
      <c r="I605" s="2" t="s">
        <v>2474</v>
      </c>
      <c r="J605" s="2" t="s">
        <v>2888</v>
      </c>
      <c r="K605" s="82" t="s">
        <v>3441</v>
      </c>
      <c r="L605" s="2">
        <v>8.080359847E9</v>
      </c>
      <c r="M605" s="12" t="s">
        <v>1512</v>
      </c>
    </row>
    <row r="606">
      <c r="A606" s="2" t="s">
        <v>722</v>
      </c>
      <c r="H606" s="2" t="s">
        <v>3442</v>
      </c>
      <c r="I606" s="2" t="s">
        <v>2558</v>
      </c>
      <c r="J606" s="2" t="s">
        <v>2841</v>
      </c>
      <c r="K606" s="82" t="s">
        <v>3443</v>
      </c>
      <c r="L606" s="2">
        <v>8.074487482E9</v>
      </c>
      <c r="M606" s="12" t="s">
        <v>723</v>
      </c>
    </row>
    <row r="607">
      <c r="A607" s="2" t="s">
        <v>986</v>
      </c>
      <c r="H607" s="2" t="s">
        <v>3444</v>
      </c>
      <c r="I607" s="2" t="s">
        <v>2482</v>
      </c>
      <c r="J607" s="2" t="s">
        <v>3445</v>
      </c>
      <c r="K607" s="82" t="s">
        <v>3446</v>
      </c>
      <c r="L607" s="2">
        <v>8.080359847E9</v>
      </c>
      <c r="M607" s="12" t="s">
        <v>987</v>
      </c>
    </row>
    <row r="608">
      <c r="A608" s="2" t="s">
        <v>1335</v>
      </c>
      <c r="H608" s="2" t="s">
        <v>3447</v>
      </c>
      <c r="I608" s="2" t="s">
        <v>2463</v>
      </c>
      <c r="J608" s="2" t="s">
        <v>2678</v>
      </c>
      <c r="K608" s="82" t="s">
        <v>3448</v>
      </c>
      <c r="L608" s="2">
        <v>8.051161368E9</v>
      </c>
      <c r="M608" s="12" t="s">
        <v>1337</v>
      </c>
    </row>
    <row r="609">
      <c r="A609" s="2" t="s">
        <v>974</v>
      </c>
      <c r="H609" s="2" t="s">
        <v>2505</v>
      </c>
      <c r="I609" s="2" t="s">
        <v>2474</v>
      </c>
      <c r="J609" s="2" t="s">
        <v>2506</v>
      </c>
      <c r="K609" s="82" t="s">
        <v>3449</v>
      </c>
      <c r="L609" s="2">
        <v>8.080359847E9</v>
      </c>
      <c r="M609" s="12" t="s">
        <v>975</v>
      </c>
    </row>
    <row r="610">
      <c r="A610" s="2" t="s">
        <v>71</v>
      </c>
      <c r="H610" s="2" t="s">
        <v>3450</v>
      </c>
      <c r="I610" s="2" t="s">
        <v>2558</v>
      </c>
      <c r="J610" s="2" t="s">
        <v>3451</v>
      </c>
      <c r="K610" s="82" t="s">
        <v>3452</v>
      </c>
      <c r="L610" s="2">
        <v>8.080359847E9</v>
      </c>
      <c r="M610" s="12" t="s">
        <v>955</v>
      </c>
    </row>
    <row r="611">
      <c r="A611" s="2" t="s">
        <v>1178</v>
      </c>
      <c r="H611" s="2" t="s">
        <v>3453</v>
      </c>
      <c r="I611" s="2" t="s">
        <v>2467</v>
      </c>
      <c r="J611" s="2" t="s">
        <v>2471</v>
      </c>
      <c r="K611" s="82" t="s">
        <v>3454</v>
      </c>
      <c r="L611" s="2">
        <v>8.080359847E9</v>
      </c>
      <c r="M611" s="12" t="s">
        <v>1179</v>
      </c>
    </row>
    <row r="612">
      <c r="A612" s="2" t="s">
        <v>830</v>
      </c>
      <c r="H612" s="2" t="s">
        <v>3072</v>
      </c>
      <c r="I612" s="2" t="s">
        <v>2482</v>
      </c>
      <c r="J612" s="2" t="s">
        <v>2790</v>
      </c>
      <c r="K612" s="82" t="s">
        <v>3221</v>
      </c>
      <c r="L612" s="2" t="s">
        <v>3222</v>
      </c>
      <c r="M612" s="12" t="s">
        <v>1638</v>
      </c>
    </row>
    <row r="613">
      <c r="A613" s="2" t="s">
        <v>1052</v>
      </c>
      <c r="H613" s="2" t="s">
        <v>2942</v>
      </c>
      <c r="I613" s="2" t="s">
        <v>2532</v>
      </c>
      <c r="J613" s="2" t="s">
        <v>2943</v>
      </c>
      <c r="K613" s="82" t="s">
        <v>3455</v>
      </c>
      <c r="L613" s="2">
        <v>8.080359847E9</v>
      </c>
      <c r="M613" s="12" t="s">
        <v>1053</v>
      </c>
    </row>
    <row r="614">
      <c r="A614" s="2" t="s">
        <v>202</v>
      </c>
      <c r="H614" s="2" t="s">
        <v>3388</v>
      </c>
      <c r="I614" s="2" t="s">
        <v>2498</v>
      </c>
      <c r="J614" s="2" t="s">
        <v>3389</v>
      </c>
      <c r="K614" s="82" t="s">
        <v>3390</v>
      </c>
      <c r="L614" s="2">
        <v>8.029422989E9</v>
      </c>
      <c r="M614" s="12" t="s">
        <v>1712</v>
      </c>
    </row>
    <row r="615">
      <c r="A615" s="2" t="s">
        <v>350</v>
      </c>
      <c r="H615" s="2" t="s">
        <v>3456</v>
      </c>
      <c r="I615" s="2" t="s">
        <v>2474</v>
      </c>
      <c r="J615" s="2" t="s">
        <v>3323</v>
      </c>
      <c r="K615" s="82" t="s">
        <v>3457</v>
      </c>
      <c r="L615" s="2">
        <v>8.080359847E9</v>
      </c>
    </row>
    <row r="616">
      <c r="A616" s="2" t="s">
        <v>1210</v>
      </c>
      <c r="H616" s="2" t="s">
        <v>3458</v>
      </c>
      <c r="I616" s="2" t="s">
        <v>2478</v>
      </c>
      <c r="J616" s="2" t="s">
        <v>3281</v>
      </c>
      <c r="K616" s="82" t="s">
        <v>3459</v>
      </c>
      <c r="L616" s="2" t="s">
        <v>3460</v>
      </c>
      <c r="M616" s="12" t="s">
        <v>1211</v>
      </c>
    </row>
    <row r="617">
      <c r="A617" s="2" t="s">
        <v>785</v>
      </c>
      <c r="H617" s="2" t="s">
        <v>2521</v>
      </c>
      <c r="I617" s="2" t="s">
        <v>2467</v>
      </c>
      <c r="J617" s="2" t="s">
        <v>2471</v>
      </c>
      <c r="K617" s="82" t="s">
        <v>3461</v>
      </c>
      <c r="L617" s="2">
        <v>8.080359847E9</v>
      </c>
      <c r="M617" s="12" t="s">
        <v>786</v>
      </c>
    </row>
    <row r="618">
      <c r="A618" s="2" t="s">
        <v>878</v>
      </c>
      <c r="H618" s="2" t="s">
        <v>3462</v>
      </c>
      <c r="I618" s="2" t="s">
        <v>2509</v>
      </c>
      <c r="J618" s="2" t="s">
        <v>3463</v>
      </c>
      <c r="K618" s="82" t="s">
        <v>3464</v>
      </c>
      <c r="L618" s="2">
        <v>8.080349847E9</v>
      </c>
      <c r="M618" s="12" t="s">
        <v>879</v>
      </c>
    </row>
    <row r="619">
      <c r="A619" s="2" t="s">
        <v>243</v>
      </c>
      <c r="H619" s="2" t="s">
        <v>3465</v>
      </c>
      <c r="I619" s="2" t="s">
        <v>2474</v>
      </c>
      <c r="J619" s="2" t="s">
        <v>2832</v>
      </c>
      <c r="K619" s="82" t="s">
        <v>3466</v>
      </c>
      <c r="L619" s="2">
        <v>8.080359847E9</v>
      </c>
      <c r="M619" s="12" t="s">
        <v>1092</v>
      </c>
    </row>
    <row r="620">
      <c r="A620" s="2" t="s">
        <v>326</v>
      </c>
      <c r="H620" s="2" t="s">
        <v>3467</v>
      </c>
      <c r="I620" s="2" t="s">
        <v>2543</v>
      </c>
      <c r="J620" s="2" t="s">
        <v>2776</v>
      </c>
      <c r="K620" s="82" t="s">
        <v>3468</v>
      </c>
      <c r="L620" s="2">
        <v>8.080359847E9</v>
      </c>
      <c r="M620" s="12" t="s">
        <v>1359</v>
      </c>
    </row>
    <row r="621">
      <c r="A621" s="2" t="s">
        <v>1408</v>
      </c>
      <c r="H621" s="2" t="s">
        <v>3419</v>
      </c>
      <c r="I621" s="2" t="s">
        <v>2459</v>
      </c>
      <c r="J621" s="2" t="s">
        <v>3420</v>
      </c>
      <c r="K621" s="82" t="s">
        <v>3469</v>
      </c>
      <c r="L621" s="2">
        <v>8.080359847E9</v>
      </c>
      <c r="M621" s="12" t="s">
        <v>1409</v>
      </c>
    </row>
    <row r="622">
      <c r="A622" s="2" t="s">
        <v>1449</v>
      </c>
      <c r="H622" s="2" t="s">
        <v>3470</v>
      </c>
      <c r="I622" s="2" t="s">
        <v>2558</v>
      </c>
      <c r="J622" s="2" t="s">
        <v>3471</v>
      </c>
      <c r="K622" s="82" t="s">
        <v>3472</v>
      </c>
      <c r="L622" s="2">
        <v>8.080359847E9</v>
      </c>
      <c r="M622" s="12" t="s">
        <v>1450</v>
      </c>
    </row>
    <row r="623">
      <c r="A623" s="2" t="s">
        <v>1235</v>
      </c>
      <c r="H623" s="2" t="s">
        <v>3473</v>
      </c>
      <c r="I623" s="2" t="s">
        <v>2459</v>
      </c>
      <c r="J623" s="2" t="s">
        <v>2613</v>
      </c>
      <c r="K623" s="82" t="s">
        <v>3474</v>
      </c>
      <c r="L623" s="2">
        <v>8.080359847E9</v>
      </c>
      <c r="M623" s="12" t="s">
        <v>1236</v>
      </c>
    </row>
    <row r="624">
      <c r="A624" s="2" t="s">
        <v>1349</v>
      </c>
      <c r="H624" s="2" t="s">
        <v>3475</v>
      </c>
      <c r="I624" s="2" t="s">
        <v>2536</v>
      </c>
      <c r="J624" s="2" t="s">
        <v>2853</v>
      </c>
      <c r="K624" s="82" t="s">
        <v>3476</v>
      </c>
      <c r="L624" s="2">
        <v>8.080359847E9</v>
      </c>
      <c r="M624" s="12" t="s">
        <v>1350</v>
      </c>
    </row>
    <row r="625">
      <c r="A625" s="2" t="s">
        <v>1384</v>
      </c>
      <c r="H625" s="2" t="s">
        <v>2952</v>
      </c>
      <c r="I625" s="2" t="s">
        <v>2467</v>
      </c>
      <c r="J625" s="2" t="s">
        <v>2953</v>
      </c>
      <c r="K625" s="82" t="s">
        <v>3477</v>
      </c>
      <c r="L625" s="2">
        <v>8.080359847E9</v>
      </c>
      <c r="M625" s="12" t="s">
        <v>1385</v>
      </c>
    </row>
    <row r="626">
      <c r="A626" s="2" t="s">
        <v>383</v>
      </c>
      <c r="H626" s="2" t="s">
        <v>3478</v>
      </c>
      <c r="I626" s="2" t="s">
        <v>3479</v>
      </c>
      <c r="J626" s="2" t="s">
        <v>3480</v>
      </c>
      <c r="K626" s="82" t="s">
        <v>3481</v>
      </c>
      <c r="L626" s="2">
        <v>8.080359847E9</v>
      </c>
      <c r="M626" s="12" t="s">
        <v>1469</v>
      </c>
    </row>
    <row r="627">
      <c r="A627" s="2" t="s">
        <v>421</v>
      </c>
      <c r="H627" s="2" t="s">
        <v>3482</v>
      </c>
      <c r="I627" s="2" t="s">
        <v>2502</v>
      </c>
      <c r="J627" s="2" t="s">
        <v>3483</v>
      </c>
      <c r="K627" s="82" t="s">
        <v>3484</v>
      </c>
      <c r="L627" s="2">
        <v>8.080359847E9</v>
      </c>
      <c r="M627" s="12" t="s">
        <v>1491</v>
      </c>
    </row>
    <row r="628">
      <c r="A628" s="2" t="s">
        <v>653</v>
      </c>
      <c r="H628" s="2" t="s">
        <v>3485</v>
      </c>
      <c r="I628" s="2" t="s">
        <v>2474</v>
      </c>
      <c r="J628" s="2" t="s">
        <v>3486</v>
      </c>
      <c r="K628" s="82" t="s">
        <v>3487</v>
      </c>
      <c r="L628" s="2">
        <v>8.080359847E9</v>
      </c>
      <c r="M628" s="12" t="s">
        <v>654</v>
      </c>
    </row>
    <row r="629">
      <c r="A629" s="2" t="s">
        <v>965</v>
      </c>
      <c r="H629" s="2" t="s">
        <v>3488</v>
      </c>
      <c r="I629" s="2" t="s">
        <v>2474</v>
      </c>
      <c r="J629" s="2" t="s">
        <v>3489</v>
      </c>
      <c r="K629" s="82" t="s">
        <v>3490</v>
      </c>
      <c r="L629" s="2">
        <v>8.080359847E9</v>
      </c>
      <c r="M629" s="12" t="s">
        <v>966</v>
      </c>
    </row>
    <row r="630">
      <c r="A630" s="2" t="s">
        <v>88</v>
      </c>
      <c r="H630" s="2" t="s">
        <v>3491</v>
      </c>
      <c r="I630" s="2" t="s">
        <v>2558</v>
      </c>
      <c r="J630" s="2" t="s">
        <v>2566</v>
      </c>
      <c r="K630" s="82" t="s">
        <v>3492</v>
      </c>
      <c r="L630" s="2">
        <v>8.080359847E9</v>
      </c>
    </row>
    <row r="631">
      <c r="A631" s="2" t="s">
        <v>1769</v>
      </c>
      <c r="H631" s="2" t="s">
        <v>3493</v>
      </c>
      <c r="I631" s="2" t="s">
        <v>3200</v>
      </c>
      <c r="J631" s="2" t="s">
        <v>3494</v>
      </c>
      <c r="K631" s="82" t="s">
        <v>3495</v>
      </c>
      <c r="L631" s="2">
        <v>8.080359847E9</v>
      </c>
    </row>
    <row r="632">
      <c r="A632" s="2" t="s">
        <v>1281</v>
      </c>
      <c r="H632" s="2" t="s">
        <v>3496</v>
      </c>
      <c r="I632" s="2" t="s">
        <v>2907</v>
      </c>
      <c r="J632" s="2" t="s">
        <v>3497</v>
      </c>
      <c r="K632" s="82" t="s">
        <v>3498</v>
      </c>
      <c r="L632" s="2">
        <v>8.080359847E9</v>
      </c>
      <c r="M632" s="12" t="s">
        <v>1282</v>
      </c>
    </row>
    <row r="633">
      <c r="A633" s="2" t="s">
        <v>36</v>
      </c>
      <c r="H633" s="2" t="s">
        <v>3499</v>
      </c>
      <c r="I633" s="2" t="s">
        <v>2498</v>
      </c>
      <c r="J633" s="2" t="s">
        <v>3500</v>
      </c>
      <c r="K633" s="82" t="s">
        <v>3501</v>
      </c>
      <c r="L633" s="2">
        <v>8.080359847E9</v>
      </c>
      <c r="M633" s="12" t="s">
        <v>1355</v>
      </c>
    </row>
    <row r="634">
      <c r="A634" s="2" t="s">
        <v>345</v>
      </c>
      <c r="H634" s="2" t="s">
        <v>2526</v>
      </c>
      <c r="I634" s="2" t="s">
        <v>2498</v>
      </c>
      <c r="J634" s="2" t="s">
        <v>2527</v>
      </c>
      <c r="K634" s="82" t="s">
        <v>2528</v>
      </c>
      <c r="L634" s="2">
        <v>8.080359847E9</v>
      </c>
      <c r="M634" s="12" t="s">
        <v>1128</v>
      </c>
    </row>
    <row r="635">
      <c r="A635" s="2" t="s">
        <v>1024</v>
      </c>
      <c r="H635" s="2" t="s">
        <v>3502</v>
      </c>
      <c r="I635" s="2" t="s">
        <v>3503</v>
      </c>
      <c r="J635" s="2" t="s">
        <v>3504</v>
      </c>
      <c r="K635" s="82" t="s">
        <v>3505</v>
      </c>
      <c r="L635" s="2">
        <v>8.080359847E9</v>
      </c>
      <c r="M635" s="12" t="s">
        <v>1025</v>
      </c>
    </row>
    <row r="636">
      <c r="A636" s="2" t="s">
        <v>274</v>
      </c>
      <c r="H636" s="2" t="s">
        <v>3506</v>
      </c>
      <c r="I636" s="2" t="s">
        <v>2478</v>
      </c>
      <c r="J636" s="2" t="s">
        <v>3507</v>
      </c>
      <c r="K636" s="82" t="s">
        <v>3508</v>
      </c>
      <c r="L636" s="2">
        <v>8.080359847E9</v>
      </c>
      <c r="M636" s="12" t="s">
        <v>882</v>
      </c>
    </row>
    <row r="637">
      <c r="A637" s="2" t="s">
        <v>1205</v>
      </c>
      <c r="H637" s="2" t="s">
        <v>3509</v>
      </c>
      <c r="I637" s="2" t="s">
        <v>2518</v>
      </c>
      <c r="J637" s="2" t="s">
        <v>3510</v>
      </c>
      <c r="K637" s="82" t="s">
        <v>3511</v>
      </c>
      <c r="L637" s="2">
        <v>8.080359847E9</v>
      </c>
      <c r="M637" s="12" t="s">
        <v>1206</v>
      </c>
    </row>
    <row r="638">
      <c r="A638" s="2" t="s">
        <v>1242</v>
      </c>
      <c r="H638" s="2" t="s">
        <v>3512</v>
      </c>
      <c r="I638" s="2" t="s">
        <v>2467</v>
      </c>
      <c r="J638" s="2" t="s">
        <v>2969</v>
      </c>
      <c r="K638" s="82" t="s">
        <v>3513</v>
      </c>
      <c r="L638" s="2">
        <v>8.080359847E9</v>
      </c>
      <c r="M638" s="12" t="s">
        <v>1243</v>
      </c>
    </row>
    <row r="639">
      <c r="A639" s="2" t="s">
        <v>1244</v>
      </c>
      <c r="H639" s="2" t="s">
        <v>3514</v>
      </c>
      <c r="I639" s="2" t="s">
        <v>2467</v>
      </c>
      <c r="J639" s="2" t="s">
        <v>2773</v>
      </c>
      <c r="K639" s="82" t="s">
        <v>3515</v>
      </c>
      <c r="L639" s="2">
        <v>8.080359847E9</v>
      </c>
      <c r="M639" s="12" t="s">
        <v>1245</v>
      </c>
    </row>
    <row r="640">
      <c r="A640" s="2" t="s">
        <v>1087</v>
      </c>
      <c r="H640" s="2" t="s">
        <v>2887</v>
      </c>
      <c r="I640" s="2" t="s">
        <v>2474</v>
      </c>
      <c r="J640" s="2" t="s">
        <v>2888</v>
      </c>
      <c r="K640" s="82" t="s">
        <v>2889</v>
      </c>
      <c r="L640" s="2">
        <v>8.080359847E9</v>
      </c>
      <c r="M640" s="12" t="s">
        <v>1088</v>
      </c>
    </row>
    <row r="641">
      <c r="A641" s="2" t="s">
        <v>1240</v>
      </c>
      <c r="H641" s="2" t="s">
        <v>3516</v>
      </c>
      <c r="I641" s="2" t="s">
        <v>2463</v>
      </c>
      <c r="J641" s="2" t="s">
        <v>2787</v>
      </c>
      <c r="K641" s="82" t="s">
        <v>3517</v>
      </c>
      <c r="L641" s="2">
        <v>8.080359847E9</v>
      </c>
      <c r="M641" s="12" t="s">
        <v>1241</v>
      </c>
    </row>
    <row r="642">
      <c r="A642" s="2" t="s">
        <v>301</v>
      </c>
      <c r="H642" s="2" t="s">
        <v>3518</v>
      </c>
      <c r="I642" s="2" t="s">
        <v>2543</v>
      </c>
      <c r="J642" s="2" t="s">
        <v>3519</v>
      </c>
      <c r="K642" s="82" t="s">
        <v>3520</v>
      </c>
      <c r="L642" s="2">
        <v>8.080359847E9</v>
      </c>
      <c r="M642" s="12" t="s">
        <v>1249</v>
      </c>
    </row>
    <row r="643">
      <c r="A643" s="2" t="s">
        <v>1271</v>
      </c>
      <c r="H643" s="2" t="s">
        <v>3521</v>
      </c>
      <c r="I643" s="2" t="s">
        <v>3028</v>
      </c>
      <c r="J643" s="2" t="s">
        <v>3522</v>
      </c>
      <c r="K643" s="82" t="s">
        <v>3523</v>
      </c>
      <c r="L643" s="2">
        <v>8.080359847E9</v>
      </c>
    </row>
    <row r="644">
      <c r="A644" s="2" t="s">
        <v>1289</v>
      </c>
      <c r="H644" s="2" t="s">
        <v>3524</v>
      </c>
      <c r="I644" s="2" t="s">
        <v>2597</v>
      </c>
      <c r="J644" s="2" t="s">
        <v>3525</v>
      </c>
      <c r="K644" s="82" t="s">
        <v>3526</v>
      </c>
      <c r="L644" s="2">
        <v>8.080359847E9</v>
      </c>
      <c r="M644" s="12" t="s">
        <v>1290</v>
      </c>
    </row>
    <row r="645">
      <c r="A645" s="2" t="s">
        <v>1013</v>
      </c>
      <c r="H645" s="2" t="s">
        <v>3527</v>
      </c>
      <c r="I645" s="2" t="s">
        <v>2463</v>
      </c>
      <c r="J645" s="2" t="s">
        <v>2635</v>
      </c>
      <c r="K645" s="82" t="s">
        <v>3528</v>
      </c>
      <c r="L645" s="2">
        <v>8.080359847E9</v>
      </c>
    </row>
    <row r="646">
      <c r="A646" s="2" t="s">
        <v>53</v>
      </c>
      <c r="H646" s="2" t="s">
        <v>3529</v>
      </c>
      <c r="I646" s="2" t="s">
        <v>2478</v>
      </c>
      <c r="J646" s="2" t="s">
        <v>2572</v>
      </c>
      <c r="K646" s="82" t="s">
        <v>3530</v>
      </c>
      <c r="L646" s="2">
        <v>8.080359847E9</v>
      </c>
      <c r="M646" s="12" t="s">
        <v>1015</v>
      </c>
    </row>
    <row r="647">
      <c r="A647" s="2" t="s">
        <v>1135</v>
      </c>
      <c r="H647" s="2" t="s">
        <v>3531</v>
      </c>
      <c r="I647" s="2" t="s">
        <v>2463</v>
      </c>
      <c r="J647" s="2" t="s">
        <v>3532</v>
      </c>
      <c r="K647" s="82" t="s">
        <v>3533</v>
      </c>
      <c r="L647" s="2">
        <v>8.080359847E9</v>
      </c>
      <c r="M647" s="12" t="s">
        <v>1136</v>
      </c>
    </row>
    <row r="648">
      <c r="A648" s="2" t="s">
        <v>1156</v>
      </c>
      <c r="H648" s="2" t="s">
        <v>3534</v>
      </c>
      <c r="I648" s="2" t="s">
        <v>2616</v>
      </c>
      <c r="J648" s="2" t="s">
        <v>3535</v>
      </c>
      <c r="K648" s="82" t="s">
        <v>3536</v>
      </c>
      <c r="L648" s="2">
        <v>9.059929038E9</v>
      </c>
      <c r="M648" s="12" t="s">
        <v>1158</v>
      </c>
    </row>
    <row r="649">
      <c r="A649" s="2" t="s">
        <v>849</v>
      </c>
      <c r="H649" s="2" t="s">
        <v>3537</v>
      </c>
      <c r="I649" s="2" t="s">
        <v>2478</v>
      </c>
      <c r="J649" s="2" t="s">
        <v>2784</v>
      </c>
      <c r="K649" s="82" t="s">
        <v>3538</v>
      </c>
      <c r="L649" s="2">
        <v>8.080359847E9</v>
      </c>
      <c r="M649" s="12" t="s">
        <v>1276</v>
      </c>
    </row>
    <row r="650">
      <c r="A650" s="2" t="s">
        <v>1345</v>
      </c>
      <c r="H650" s="2" t="s">
        <v>2641</v>
      </c>
      <c r="I650" s="2" t="s">
        <v>2558</v>
      </c>
      <c r="J650" s="2" t="s">
        <v>2642</v>
      </c>
      <c r="K650" s="82" t="s">
        <v>3539</v>
      </c>
      <c r="L650" s="2">
        <v>8.080359847E9</v>
      </c>
    </row>
    <row r="651">
      <c r="A651" s="2" t="s">
        <v>1123</v>
      </c>
      <c r="H651" s="2" t="s">
        <v>3540</v>
      </c>
      <c r="I651" s="2" t="s">
        <v>2597</v>
      </c>
      <c r="J651" s="2" t="s">
        <v>3541</v>
      </c>
      <c r="K651" s="82" t="s">
        <v>3542</v>
      </c>
      <c r="L651" s="2">
        <v>8.080359847E9</v>
      </c>
      <c r="M651" s="12" t="s">
        <v>1124</v>
      </c>
    </row>
    <row r="652">
      <c r="A652" s="2" t="s">
        <v>111</v>
      </c>
      <c r="H652" s="2" t="s">
        <v>3543</v>
      </c>
      <c r="I652" s="2" t="s">
        <v>2474</v>
      </c>
      <c r="J652" s="2" t="s">
        <v>3486</v>
      </c>
      <c r="K652" s="82" t="s">
        <v>3544</v>
      </c>
      <c r="L652" s="2">
        <v>8.048098722E9</v>
      </c>
      <c r="M652" s="12" t="s">
        <v>1112</v>
      </c>
    </row>
    <row r="653">
      <c r="A653" s="2" t="s">
        <v>1263</v>
      </c>
      <c r="H653" s="2" t="s">
        <v>3545</v>
      </c>
      <c r="I653" s="2" t="s">
        <v>2558</v>
      </c>
      <c r="J653" s="2" t="s">
        <v>3546</v>
      </c>
      <c r="K653" s="82" t="s">
        <v>3547</v>
      </c>
      <c r="L653" s="2">
        <v>8.080359847E9</v>
      </c>
      <c r="M653" s="12" t="s">
        <v>1264</v>
      </c>
    </row>
    <row r="654">
      <c r="A654" s="2" t="s">
        <v>766</v>
      </c>
      <c r="H654" s="2" t="s">
        <v>3548</v>
      </c>
      <c r="I654" s="2" t="s">
        <v>2498</v>
      </c>
      <c r="J654" s="2" t="s">
        <v>3549</v>
      </c>
      <c r="K654" s="82" t="s">
        <v>3550</v>
      </c>
      <c r="L654" s="2">
        <v>8.080359847E9</v>
      </c>
      <c r="M654" s="12" t="s">
        <v>768</v>
      </c>
    </row>
    <row r="655">
      <c r="A655" s="2" t="s">
        <v>399</v>
      </c>
      <c r="H655" s="2" t="s">
        <v>3551</v>
      </c>
      <c r="I655" s="2" t="s">
        <v>2467</v>
      </c>
      <c r="J655" s="2" t="s">
        <v>2805</v>
      </c>
      <c r="K655" s="82" t="s">
        <v>3552</v>
      </c>
      <c r="L655" s="2">
        <v>8.058090596E9</v>
      </c>
      <c r="M655" s="12" t="s">
        <v>1073</v>
      </c>
    </row>
    <row r="656">
      <c r="A656" s="2" t="s">
        <v>1142</v>
      </c>
      <c r="H656" s="2" t="s">
        <v>3553</v>
      </c>
      <c r="I656" s="2" t="s">
        <v>2467</v>
      </c>
      <c r="J656" s="2" t="s">
        <v>3554</v>
      </c>
      <c r="K656" s="82" t="s">
        <v>3555</v>
      </c>
      <c r="L656" s="2">
        <v>8.035288889E9</v>
      </c>
      <c r="M656" s="12" t="s">
        <v>1143</v>
      </c>
    </row>
    <row r="657">
      <c r="A657" s="2" t="s">
        <v>1475</v>
      </c>
      <c r="H657" s="2" t="s">
        <v>3556</v>
      </c>
      <c r="I657" s="2" t="s">
        <v>2478</v>
      </c>
      <c r="J657" s="2" t="s">
        <v>3557</v>
      </c>
      <c r="K657" s="82" t="s">
        <v>3558</v>
      </c>
      <c r="L657" s="2">
        <v>8.080359847E9</v>
      </c>
      <c r="M657" s="12" t="s">
        <v>1476</v>
      </c>
    </row>
    <row r="658">
      <c r="A658" s="2" t="s">
        <v>1279</v>
      </c>
      <c r="H658" s="2" t="s">
        <v>3559</v>
      </c>
      <c r="I658" s="2" t="s">
        <v>2467</v>
      </c>
      <c r="J658" s="2" t="s">
        <v>2805</v>
      </c>
      <c r="K658" s="82" t="s">
        <v>3560</v>
      </c>
      <c r="L658" s="2">
        <v>8.080359847E9</v>
      </c>
      <c r="M658" s="12" t="s">
        <v>1280</v>
      </c>
    </row>
    <row r="659">
      <c r="A659" s="2" t="s">
        <v>1423</v>
      </c>
      <c r="H659" s="2" t="s">
        <v>3561</v>
      </c>
      <c r="I659" s="2" t="s">
        <v>2616</v>
      </c>
      <c r="J659" s="2" t="s">
        <v>3368</v>
      </c>
      <c r="K659" s="82" t="s">
        <v>3562</v>
      </c>
      <c r="L659" s="2">
        <v>8.080359847E9</v>
      </c>
      <c r="M659" s="12" t="s">
        <v>1424</v>
      </c>
    </row>
    <row r="660">
      <c r="A660" s="2" t="s">
        <v>109</v>
      </c>
      <c r="H660" s="2" t="s">
        <v>3563</v>
      </c>
      <c r="I660" s="2" t="s">
        <v>2459</v>
      </c>
      <c r="J660" s="2" t="s">
        <v>3287</v>
      </c>
      <c r="K660" s="82" t="s">
        <v>3564</v>
      </c>
      <c r="L660" s="2">
        <v>8.080359847E9</v>
      </c>
      <c r="M660" s="12" t="s">
        <v>1444</v>
      </c>
    </row>
    <row r="661">
      <c r="A661" s="2" t="s">
        <v>1445</v>
      </c>
      <c r="H661" s="2" t="s">
        <v>3565</v>
      </c>
      <c r="I661" s="2" t="s">
        <v>2474</v>
      </c>
      <c r="J661" s="2" t="s">
        <v>2555</v>
      </c>
      <c r="K661" s="82" t="s">
        <v>3566</v>
      </c>
      <c r="L661" s="2">
        <v>8.066546077E9</v>
      </c>
      <c r="M661" s="12" t="s">
        <v>1446</v>
      </c>
    </row>
    <row r="662">
      <c r="A662" s="2" t="s">
        <v>1121</v>
      </c>
      <c r="H662" s="2" t="s">
        <v>3567</v>
      </c>
      <c r="I662" s="2" t="s">
        <v>2674</v>
      </c>
      <c r="J662" s="2" t="s">
        <v>3568</v>
      </c>
      <c r="K662" s="82" t="s">
        <v>3569</v>
      </c>
      <c r="L662" s="2">
        <v>8.080359847E9</v>
      </c>
      <c r="M662" s="12" t="s">
        <v>1122</v>
      </c>
    </row>
    <row r="663">
      <c r="A663" s="2" t="s">
        <v>1421</v>
      </c>
      <c r="H663" s="2" t="s">
        <v>3570</v>
      </c>
      <c r="I663" s="2" t="s">
        <v>2474</v>
      </c>
      <c r="J663" s="2" t="s">
        <v>2901</v>
      </c>
      <c r="K663" s="82" t="s">
        <v>3571</v>
      </c>
      <c r="L663" s="2">
        <v>8.080359847E9</v>
      </c>
      <c r="M663" s="12" t="s">
        <v>1422</v>
      </c>
    </row>
    <row r="664">
      <c r="A664" s="2" t="s">
        <v>1427</v>
      </c>
      <c r="H664" s="2" t="s">
        <v>3423</v>
      </c>
      <c r="I664" s="2" t="s">
        <v>2558</v>
      </c>
      <c r="J664" s="2" t="s">
        <v>3424</v>
      </c>
      <c r="K664" s="82" t="s">
        <v>3572</v>
      </c>
      <c r="L664" s="2" t="s">
        <v>3573</v>
      </c>
      <c r="M664" s="12" t="s">
        <v>1428</v>
      </c>
    </row>
    <row r="665">
      <c r="A665" s="2" t="s">
        <v>1463</v>
      </c>
      <c r="H665" s="2" t="s">
        <v>3574</v>
      </c>
      <c r="I665" s="2" t="s">
        <v>2467</v>
      </c>
      <c r="J665" s="2" t="s">
        <v>3575</v>
      </c>
      <c r="K665" s="82" t="s">
        <v>3576</v>
      </c>
      <c r="L665" s="2" t="s">
        <v>3577</v>
      </c>
      <c r="M665" s="12" t="s">
        <v>1464</v>
      </c>
    </row>
    <row r="666">
      <c r="A666" s="2" t="s">
        <v>1287</v>
      </c>
      <c r="H666" s="2" t="s">
        <v>3578</v>
      </c>
      <c r="I666" s="2" t="s">
        <v>2509</v>
      </c>
      <c r="J666" s="2" t="s">
        <v>2510</v>
      </c>
      <c r="K666" s="82" t="s">
        <v>3579</v>
      </c>
      <c r="L666" s="2">
        <v>8.080359847E9</v>
      </c>
      <c r="M666" s="12" t="s">
        <v>1288</v>
      </c>
    </row>
    <row r="667">
      <c r="A667" s="2" t="s">
        <v>1298</v>
      </c>
      <c r="H667" s="2" t="s">
        <v>3580</v>
      </c>
      <c r="I667" s="2" t="s">
        <v>2463</v>
      </c>
      <c r="J667" s="2" t="s">
        <v>3581</v>
      </c>
      <c r="K667" s="82" t="s">
        <v>3582</v>
      </c>
      <c r="L667" s="2">
        <v>8.072120361E9</v>
      </c>
      <c r="M667" s="12" t="s">
        <v>1299</v>
      </c>
    </row>
    <row r="668">
      <c r="A668" s="2" t="s">
        <v>1352</v>
      </c>
      <c r="H668" s="2" t="s">
        <v>2497</v>
      </c>
      <c r="I668" s="2" t="s">
        <v>2498</v>
      </c>
      <c r="J668" s="2" t="s">
        <v>3583</v>
      </c>
      <c r="K668" s="82" t="s">
        <v>3584</v>
      </c>
      <c r="L668" s="2">
        <v>8.080359847E9</v>
      </c>
      <c r="M668" s="12" t="s">
        <v>1353</v>
      </c>
    </row>
    <row r="669">
      <c r="A669" s="2" t="s">
        <v>1392</v>
      </c>
      <c r="H669" s="2" t="s">
        <v>3585</v>
      </c>
      <c r="I669" s="2" t="s">
        <v>2474</v>
      </c>
      <c r="J669" s="2" t="s">
        <v>2702</v>
      </c>
      <c r="K669" s="82" t="s">
        <v>3586</v>
      </c>
      <c r="L669" s="2">
        <v>8.080359847E9</v>
      </c>
      <c r="M669" s="12" t="s">
        <v>1393</v>
      </c>
    </row>
    <row r="670">
      <c r="A670" s="2" t="s">
        <v>1410</v>
      </c>
      <c r="H670" s="2" t="s">
        <v>3587</v>
      </c>
      <c r="I670" s="2" t="s">
        <v>2459</v>
      </c>
      <c r="J670" s="2" t="s">
        <v>3038</v>
      </c>
      <c r="K670" s="82" t="s">
        <v>3588</v>
      </c>
      <c r="L670" s="2">
        <v>8.080359847E9</v>
      </c>
      <c r="M670" s="12" t="s">
        <v>1411</v>
      </c>
    </row>
    <row r="671">
      <c r="A671" s="2" t="s">
        <v>1419</v>
      </c>
      <c r="H671" s="2" t="s">
        <v>3589</v>
      </c>
      <c r="I671" s="2" t="s">
        <v>2623</v>
      </c>
      <c r="J671" s="2" t="s">
        <v>3590</v>
      </c>
      <c r="K671" s="82" t="s">
        <v>3591</v>
      </c>
      <c r="L671" s="2">
        <v>8.080359847E9</v>
      </c>
      <c r="M671" s="12" t="s">
        <v>1420</v>
      </c>
    </row>
    <row r="672">
      <c r="A672" s="2" t="s">
        <v>1425</v>
      </c>
      <c r="H672" s="2" t="s">
        <v>3592</v>
      </c>
      <c r="I672" s="2" t="s">
        <v>2463</v>
      </c>
      <c r="J672" s="2" t="s">
        <v>2802</v>
      </c>
      <c r="K672" s="82" t="s">
        <v>3593</v>
      </c>
      <c r="L672" s="2">
        <v>8.080359847E9</v>
      </c>
      <c r="M672" s="12" t="s">
        <v>1426</v>
      </c>
    </row>
    <row r="673">
      <c r="A673" s="2" t="s">
        <v>106</v>
      </c>
      <c r="H673" s="2" t="s">
        <v>3594</v>
      </c>
      <c r="I673" s="2" t="s">
        <v>2631</v>
      </c>
      <c r="J673" s="2" t="s">
        <v>3595</v>
      </c>
      <c r="K673" s="82" t="s">
        <v>3596</v>
      </c>
      <c r="L673" s="2">
        <v>8.080359847E9</v>
      </c>
      <c r="M673" s="12" t="s">
        <v>1437</v>
      </c>
    </row>
    <row r="674">
      <c r="A674" s="2" t="s">
        <v>1307</v>
      </c>
      <c r="H674" s="2" t="s">
        <v>3597</v>
      </c>
      <c r="I674" s="2" t="s">
        <v>2478</v>
      </c>
      <c r="J674" s="2" t="s">
        <v>3433</v>
      </c>
      <c r="K674" s="82" t="s">
        <v>3598</v>
      </c>
      <c r="L674" s="2">
        <v>8.080359847E9</v>
      </c>
      <c r="M674" s="12" t="s">
        <v>1308</v>
      </c>
    </row>
    <row r="675">
      <c r="A675" s="2" t="s">
        <v>266</v>
      </c>
      <c r="H675" s="2" t="s">
        <v>3599</v>
      </c>
      <c r="I675" s="2" t="s">
        <v>2478</v>
      </c>
      <c r="J675" s="2" t="s">
        <v>2489</v>
      </c>
      <c r="K675" s="82" t="s">
        <v>3600</v>
      </c>
      <c r="L675" s="2">
        <v>9.012411007E9</v>
      </c>
      <c r="M675" s="12" t="s">
        <v>982</v>
      </c>
    </row>
    <row r="676">
      <c r="A676" s="2" t="s">
        <v>1129</v>
      </c>
      <c r="H676" s="2" t="s">
        <v>3601</v>
      </c>
      <c r="I676" s="2" t="s">
        <v>2463</v>
      </c>
      <c r="J676" s="2" t="s">
        <v>3602</v>
      </c>
      <c r="K676" s="82" t="s">
        <v>3603</v>
      </c>
      <c r="L676" s="2">
        <v>8.080359847E9</v>
      </c>
      <c r="M676" s="12" t="s">
        <v>1130</v>
      </c>
    </row>
    <row r="677">
      <c r="A677" s="2" t="s">
        <v>1575</v>
      </c>
      <c r="H677" s="2" t="s">
        <v>2641</v>
      </c>
      <c r="I677" s="2" t="s">
        <v>2558</v>
      </c>
      <c r="J677" s="2" t="s">
        <v>2642</v>
      </c>
      <c r="K677" s="82" t="s">
        <v>3604</v>
      </c>
      <c r="L677" s="2" t="s">
        <v>3605</v>
      </c>
      <c r="M677" s="12" t="s">
        <v>1576</v>
      </c>
    </row>
    <row r="678">
      <c r="A678" s="2" t="s">
        <v>1573</v>
      </c>
      <c r="H678" s="2" t="s">
        <v>3606</v>
      </c>
      <c r="I678" s="2" t="s">
        <v>2558</v>
      </c>
      <c r="J678" s="2" t="s">
        <v>3607</v>
      </c>
      <c r="K678" s="82" t="s">
        <v>3608</v>
      </c>
      <c r="L678" s="2">
        <v>8.080359847E9</v>
      </c>
      <c r="M678" s="12" t="s">
        <v>1574</v>
      </c>
    </row>
    <row r="679">
      <c r="A679" s="2" t="s">
        <v>404</v>
      </c>
      <c r="H679" s="2" t="s">
        <v>3609</v>
      </c>
      <c r="I679" s="2" t="s">
        <v>2482</v>
      </c>
      <c r="J679" s="2" t="s">
        <v>2790</v>
      </c>
      <c r="K679" s="82" t="s">
        <v>3610</v>
      </c>
      <c r="L679" s="2">
        <v>8.080359847E9</v>
      </c>
      <c r="M679" s="12" t="s">
        <v>1567</v>
      </c>
    </row>
    <row r="680">
      <c r="A680" s="2" t="s">
        <v>337</v>
      </c>
      <c r="H680" s="2" t="s">
        <v>2521</v>
      </c>
      <c r="I680" s="2" t="s">
        <v>2467</v>
      </c>
      <c r="J680" s="2" t="s">
        <v>2471</v>
      </c>
      <c r="K680" s="82" t="s">
        <v>3611</v>
      </c>
      <c r="L680" s="2">
        <v>8.087604004E9</v>
      </c>
    </row>
    <row r="681">
      <c r="A681" s="2" t="s">
        <v>1547</v>
      </c>
      <c r="H681" s="2" t="s">
        <v>3612</v>
      </c>
      <c r="I681" s="2" t="s">
        <v>2698</v>
      </c>
      <c r="J681" s="2" t="s">
        <v>3613</v>
      </c>
      <c r="K681" s="82" t="s">
        <v>3614</v>
      </c>
      <c r="L681" s="2">
        <v>8.080359847E9</v>
      </c>
      <c r="M681" s="12" t="s">
        <v>1548</v>
      </c>
    </row>
    <row r="682">
      <c r="A682" s="2" t="s">
        <v>1074</v>
      </c>
      <c r="H682" s="2" t="s">
        <v>3615</v>
      </c>
      <c r="I682" s="2" t="s">
        <v>2482</v>
      </c>
      <c r="J682" s="2" t="s">
        <v>3616</v>
      </c>
      <c r="K682" s="82" t="s">
        <v>3617</v>
      </c>
      <c r="L682" s="2">
        <v>8.080359847E9</v>
      </c>
      <c r="M682" s="12" t="s">
        <v>1075</v>
      </c>
    </row>
    <row r="683">
      <c r="A683" s="2" t="s">
        <v>275</v>
      </c>
      <c r="H683" s="2" t="s">
        <v>3618</v>
      </c>
      <c r="I683" s="2" t="s">
        <v>2498</v>
      </c>
      <c r="J683" s="2" t="s">
        <v>3549</v>
      </c>
      <c r="K683" s="82" t="s">
        <v>3619</v>
      </c>
      <c r="L683" s="2">
        <v>8.066647687E9</v>
      </c>
      <c r="M683" s="12" t="s">
        <v>1270</v>
      </c>
    </row>
    <row r="684">
      <c r="A684" s="2" t="s">
        <v>1405</v>
      </c>
      <c r="H684" s="2" t="s">
        <v>3620</v>
      </c>
      <c r="I684" s="2" t="s">
        <v>2509</v>
      </c>
      <c r="J684" s="2" t="s">
        <v>3621</v>
      </c>
      <c r="K684" s="82" t="s">
        <v>3622</v>
      </c>
      <c r="L684" s="2">
        <v>8.080359847E9</v>
      </c>
      <c r="M684" s="12" t="s">
        <v>1406</v>
      </c>
    </row>
    <row r="685">
      <c r="A685" s="2" t="s">
        <v>200</v>
      </c>
      <c r="H685" s="2" t="s">
        <v>3623</v>
      </c>
      <c r="I685" s="2" t="s">
        <v>2684</v>
      </c>
      <c r="J685" s="2" t="s">
        <v>3624</v>
      </c>
      <c r="K685" s="82" t="s">
        <v>3625</v>
      </c>
      <c r="L685" s="2">
        <v>8.080359847E9</v>
      </c>
      <c r="M685" s="12" t="s">
        <v>1295</v>
      </c>
    </row>
    <row r="686">
      <c r="A686" s="2" t="s">
        <v>19</v>
      </c>
      <c r="H686" s="2" t="s">
        <v>3626</v>
      </c>
      <c r="I686" s="2" t="s">
        <v>2720</v>
      </c>
      <c r="J686" s="2" t="s">
        <v>3627</v>
      </c>
      <c r="K686" s="82" t="s">
        <v>3628</v>
      </c>
      <c r="L686" s="2">
        <v>8.080359847E9</v>
      </c>
      <c r="M686" s="12" t="s">
        <v>1462</v>
      </c>
    </row>
    <row r="687">
      <c r="A687" s="2" t="s">
        <v>1482</v>
      </c>
      <c r="H687" s="2" t="s">
        <v>3629</v>
      </c>
      <c r="I687" s="2" t="s">
        <v>2558</v>
      </c>
      <c r="J687" s="2" t="s">
        <v>3067</v>
      </c>
      <c r="K687" s="82" t="s">
        <v>3630</v>
      </c>
      <c r="L687" s="2">
        <v>8.080359847E9</v>
      </c>
      <c r="M687" s="12" t="s">
        <v>1483</v>
      </c>
    </row>
    <row r="688">
      <c r="A688" s="2" t="s">
        <v>293</v>
      </c>
      <c r="H688" s="2" t="s">
        <v>3631</v>
      </c>
      <c r="I688" s="2" t="s">
        <v>2674</v>
      </c>
      <c r="J688" s="2" t="s">
        <v>3632</v>
      </c>
      <c r="K688" s="82" t="s">
        <v>3633</v>
      </c>
      <c r="L688" s="2">
        <v>8.080359847E9</v>
      </c>
      <c r="M688" s="12" t="s">
        <v>1501</v>
      </c>
    </row>
    <row r="689">
      <c r="A689" s="2" t="s">
        <v>1522</v>
      </c>
      <c r="H689" s="2" t="s">
        <v>3634</v>
      </c>
      <c r="I689" s="2" t="s">
        <v>2474</v>
      </c>
      <c r="J689" s="2" t="s">
        <v>2702</v>
      </c>
      <c r="K689" s="82" t="s">
        <v>3635</v>
      </c>
      <c r="L689" s="2">
        <v>8.080359847E9</v>
      </c>
      <c r="M689" s="12" t="s">
        <v>1525</v>
      </c>
    </row>
    <row r="690">
      <c r="A690" s="2" t="s">
        <v>1530</v>
      </c>
      <c r="H690" s="2" t="s">
        <v>3636</v>
      </c>
      <c r="I690" s="2" t="s">
        <v>2478</v>
      </c>
      <c r="J690" s="2" t="s">
        <v>3557</v>
      </c>
      <c r="K690" s="82" t="s">
        <v>3637</v>
      </c>
      <c r="L690" s="2">
        <v>8.080359847E9</v>
      </c>
      <c r="M690" s="12" t="s">
        <v>1531</v>
      </c>
    </row>
    <row r="691">
      <c r="A691" s="2" t="s">
        <v>326</v>
      </c>
      <c r="H691" s="2" t="s">
        <v>3467</v>
      </c>
      <c r="I691" s="2" t="s">
        <v>2543</v>
      </c>
      <c r="J691" s="2" t="s">
        <v>2776</v>
      </c>
      <c r="K691" s="82" t="s">
        <v>3468</v>
      </c>
      <c r="L691" s="2">
        <v>8.080359847E9</v>
      </c>
      <c r="M691" s="12" t="s">
        <v>1812</v>
      </c>
    </row>
    <row r="692">
      <c r="A692" s="2" t="s">
        <v>978</v>
      </c>
      <c r="H692" s="2" t="s">
        <v>2521</v>
      </c>
      <c r="I692" s="2" t="s">
        <v>2467</v>
      </c>
      <c r="J692" s="2" t="s">
        <v>2471</v>
      </c>
      <c r="K692" s="82" t="s">
        <v>2660</v>
      </c>
      <c r="L692" s="2">
        <v>8.093691527E9</v>
      </c>
      <c r="M692" s="12" t="s">
        <v>1738</v>
      </c>
    </row>
    <row r="693">
      <c r="A693" s="2" t="s">
        <v>295</v>
      </c>
      <c r="H693" s="2" t="s">
        <v>3638</v>
      </c>
      <c r="I693" s="2" t="s">
        <v>2482</v>
      </c>
      <c r="J693" s="2" t="s">
        <v>3183</v>
      </c>
      <c r="K693" s="82" t="s">
        <v>3639</v>
      </c>
      <c r="L693" s="2">
        <v>8.080359847E9</v>
      </c>
      <c r="M693" s="12" t="s">
        <v>1031</v>
      </c>
    </row>
    <row r="694">
      <c r="A694" s="2" t="s">
        <v>291</v>
      </c>
      <c r="H694" s="2" t="s">
        <v>2477</v>
      </c>
      <c r="I694" s="2" t="s">
        <v>2478</v>
      </c>
      <c r="J694" s="2" t="s">
        <v>2479</v>
      </c>
      <c r="K694" s="82" t="s">
        <v>2513</v>
      </c>
      <c r="L694" s="2">
        <v>8.080359847E9</v>
      </c>
      <c r="M694" s="12" t="s">
        <v>1267</v>
      </c>
    </row>
    <row r="695">
      <c r="A695" s="2" t="s">
        <v>967</v>
      </c>
      <c r="H695" s="2" t="s">
        <v>3514</v>
      </c>
      <c r="I695" s="2" t="s">
        <v>2467</v>
      </c>
      <c r="J695" s="2" t="s">
        <v>2773</v>
      </c>
      <c r="K695" s="82" t="s">
        <v>3640</v>
      </c>
      <c r="L695" s="2">
        <v>8.080359847E9</v>
      </c>
      <c r="M695" s="12" t="s">
        <v>968</v>
      </c>
    </row>
    <row r="696">
      <c r="A696" s="2" t="s">
        <v>37</v>
      </c>
      <c r="H696" s="2" t="s">
        <v>2481</v>
      </c>
      <c r="I696" s="2" t="s">
        <v>2482</v>
      </c>
      <c r="J696" s="2" t="s">
        <v>2483</v>
      </c>
      <c r="K696" s="82" t="s">
        <v>2484</v>
      </c>
      <c r="L696" s="2">
        <v>8.080359847E9</v>
      </c>
      <c r="M696" s="12" t="s">
        <v>506</v>
      </c>
    </row>
    <row r="697">
      <c r="A697" s="2" t="s">
        <v>313</v>
      </c>
      <c r="H697" s="2" t="s">
        <v>2491</v>
      </c>
      <c r="I697" s="2" t="s">
        <v>2478</v>
      </c>
      <c r="J697" s="2" t="s">
        <v>2492</v>
      </c>
      <c r="K697" s="82" t="s">
        <v>3641</v>
      </c>
      <c r="L697" s="2">
        <v>8.080359847E9</v>
      </c>
      <c r="M697" s="12" t="s">
        <v>1216</v>
      </c>
    </row>
    <row r="698">
      <c r="A698" s="2" t="s">
        <v>449</v>
      </c>
      <c r="H698" s="2" t="s">
        <v>3642</v>
      </c>
      <c r="I698" s="2" t="s">
        <v>2623</v>
      </c>
      <c r="J698" s="2" t="s">
        <v>3643</v>
      </c>
      <c r="K698" s="82" t="s">
        <v>3644</v>
      </c>
      <c r="L698" s="2">
        <v>9.030991196E9</v>
      </c>
      <c r="M698" s="12" t="s">
        <v>899</v>
      </c>
    </row>
    <row r="699">
      <c r="A699" s="2" t="s">
        <v>344</v>
      </c>
      <c r="H699" s="2" t="s">
        <v>3645</v>
      </c>
      <c r="I699" s="2" t="s">
        <v>2623</v>
      </c>
      <c r="J699" s="2" t="s">
        <v>3646</v>
      </c>
      <c r="K699" s="82" t="s">
        <v>3647</v>
      </c>
      <c r="L699" s="2">
        <v>8.060662726E9</v>
      </c>
      <c r="M699" s="12" t="s">
        <v>1356</v>
      </c>
    </row>
    <row r="700">
      <c r="A700" s="2" t="s">
        <v>1274</v>
      </c>
      <c r="H700" s="2" t="s">
        <v>3648</v>
      </c>
      <c r="I700" s="2" t="s">
        <v>2558</v>
      </c>
      <c r="J700" s="2" t="s">
        <v>3067</v>
      </c>
      <c r="K700" s="82" t="s">
        <v>3649</v>
      </c>
      <c r="L700" s="2">
        <v>8.080359847E9</v>
      </c>
      <c r="M700" s="12" t="s">
        <v>1275</v>
      </c>
    </row>
    <row r="701">
      <c r="A701" s="2" t="s">
        <v>1291</v>
      </c>
      <c r="H701" s="2" t="s">
        <v>3650</v>
      </c>
      <c r="I701" s="2" t="s">
        <v>2478</v>
      </c>
      <c r="J701" s="2" t="s">
        <v>3651</v>
      </c>
      <c r="K701" s="82" t="s">
        <v>3652</v>
      </c>
      <c r="L701" s="2">
        <v>8.080359847E9</v>
      </c>
      <c r="M701" s="12" t="s">
        <v>1292</v>
      </c>
    </row>
    <row r="702">
      <c r="A702" s="2" t="s">
        <v>1305</v>
      </c>
      <c r="H702" s="2" t="s">
        <v>3653</v>
      </c>
      <c r="I702" s="2" t="s">
        <v>2463</v>
      </c>
      <c r="J702" s="2" t="s">
        <v>2870</v>
      </c>
      <c r="K702" s="82" t="s">
        <v>3654</v>
      </c>
      <c r="L702" s="2">
        <v>8.080359847E9</v>
      </c>
      <c r="M702" s="12" t="s">
        <v>1306</v>
      </c>
    </row>
    <row r="703">
      <c r="A703" s="2" t="s">
        <v>2153</v>
      </c>
      <c r="H703" s="2" t="s">
        <v>3655</v>
      </c>
      <c r="I703" s="2" t="s">
        <v>2474</v>
      </c>
      <c r="J703" s="2" t="s">
        <v>2835</v>
      </c>
      <c r="K703" s="82" t="s">
        <v>3656</v>
      </c>
      <c r="L703" s="2">
        <v>8.080359847E9</v>
      </c>
      <c r="M703" s="12" t="s">
        <v>1780</v>
      </c>
    </row>
    <row r="704">
      <c r="A704" s="2" t="s">
        <v>257</v>
      </c>
      <c r="H704" s="2" t="s">
        <v>3657</v>
      </c>
      <c r="I704" s="2" t="s">
        <v>2478</v>
      </c>
      <c r="J704" s="2" t="s">
        <v>3281</v>
      </c>
      <c r="K704" s="82" t="s">
        <v>3658</v>
      </c>
      <c r="L704" s="2">
        <v>7.090917578E9</v>
      </c>
    </row>
    <row r="705">
      <c r="A705" s="2" t="s">
        <v>813</v>
      </c>
      <c r="H705" s="2" t="s">
        <v>3659</v>
      </c>
      <c r="I705" s="2" t="s">
        <v>2482</v>
      </c>
      <c r="J705" s="2" t="s">
        <v>3616</v>
      </c>
      <c r="K705" s="82" t="s">
        <v>3660</v>
      </c>
      <c r="L705" s="2">
        <v>8.080359847E9</v>
      </c>
      <c r="M705" s="12" t="s">
        <v>814</v>
      </c>
    </row>
    <row r="706">
      <c r="A706" s="2" t="s">
        <v>121</v>
      </c>
      <c r="H706" s="2" t="s">
        <v>3661</v>
      </c>
      <c r="I706" s="2" t="s">
        <v>2684</v>
      </c>
      <c r="J706" s="2" t="s">
        <v>3662</v>
      </c>
      <c r="K706" s="82" t="s">
        <v>3663</v>
      </c>
      <c r="L706" s="2">
        <v>8.080359847E9</v>
      </c>
      <c r="M706" s="12" t="s">
        <v>900</v>
      </c>
    </row>
    <row r="707">
      <c r="A707" s="2" t="s">
        <v>1477</v>
      </c>
      <c r="H707" s="2" t="s">
        <v>3664</v>
      </c>
      <c r="I707" s="2" t="s">
        <v>2543</v>
      </c>
      <c r="J707" s="2" t="s">
        <v>3665</v>
      </c>
      <c r="K707" s="82" t="s">
        <v>3666</v>
      </c>
      <c r="L707" s="2">
        <v>9.019521995E9</v>
      </c>
      <c r="M707" s="12" t="s">
        <v>1478</v>
      </c>
    </row>
    <row r="708">
      <c r="A708" s="2" t="s">
        <v>348</v>
      </c>
      <c r="H708" s="2" t="s">
        <v>3667</v>
      </c>
      <c r="I708" s="2" t="s">
        <v>2623</v>
      </c>
      <c r="J708" s="2" t="s">
        <v>2624</v>
      </c>
      <c r="K708" s="82" t="s">
        <v>3668</v>
      </c>
      <c r="L708" s="2">
        <v>8.080359847E9</v>
      </c>
      <c r="M708" s="12" t="s">
        <v>1354</v>
      </c>
    </row>
    <row r="709">
      <c r="A709" s="2" t="s">
        <v>1083</v>
      </c>
      <c r="H709" s="2" t="s">
        <v>2641</v>
      </c>
      <c r="I709" s="2" t="s">
        <v>2558</v>
      </c>
      <c r="J709" s="2" t="s">
        <v>2642</v>
      </c>
      <c r="K709" s="82" t="s">
        <v>3669</v>
      </c>
      <c r="L709" s="2">
        <v>8.080359847E9</v>
      </c>
      <c r="M709" s="12" t="s">
        <v>1084</v>
      </c>
    </row>
    <row r="710">
      <c r="A710" s="2" t="s">
        <v>288</v>
      </c>
      <c r="H710" s="2" t="s">
        <v>2604</v>
      </c>
      <c r="I710" s="2" t="s">
        <v>2478</v>
      </c>
      <c r="J710" s="2" t="s">
        <v>2605</v>
      </c>
      <c r="K710" s="82" t="s">
        <v>2606</v>
      </c>
      <c r="L710" s="2" t="s">
        <v>2607</v>
      </c>
      <c r="M710" s="12" t="s">
        <v>1197</v>
      </c>
    </row>
    <row r="711">
      <c r="A711" s="2" t="s">
        <v>1557</v>
      </c>
      <c r="H711" s="2" t="s">
        <v>3670</v>
      </c>
      <c r="I711" s="2" t="s">
        <v>2474</v>
      </c>
      <c r="J711" s="2" t="s">
        <v>3671</v>
      </c>
      <c r="K711" s="82" t="s">
        <v>3672</v>
      </c>
      <c r="L711" s="2">
        <v>8.080359847E9</v>
      </c>
      <c r="M711" s="12" t="s">
        <v>1558</v>
      </c>
    </row>
    <row r="712">
      <c r="A712" s="2" t="s">
        <v>265</v>
      </c>
      <c r="H712" s="2" t="s">
        <v>3673</v>
      </c>
      <c r="I712" s="2" t="s">
        <v>2478</v>
      </c>
      <c r="J712" s="2" t="s">
        <v>3674</v>
      </c>
      <c r="K712" s="82" t="s">
        <v>3675</v>
      </c>
      <c r="L712" s="2">
        <v>8.080359847E9</v>
      </c>
      <c r="M712" s="12" t="s">
        <v>873</v>
      </c>
    </row>
    <row r="713">
      <c r="A713" s="2" t="s">
        <v>1394</v>
      </c>
      <c r="H713" s="2" t="s">
        <v>3676</v>
      </c>
      <c r="I713" s="2" t="s">
        <v>2463</v>
      </c>
      <c r="J713" s="2" t="s">
        <v>3677</v>
      </c>
      <c r="K713" s="82" t="s">
        <v>3678</v>
      </c>
      <c r="L713" s="2">
        <v>8.080359847E9</v>
      </c>
      <c r="M713" s="12" t="s">
        <v>1395</v>
      </c>
    </row>
    <row r="714">
      <c r="A714" s="2" t="s">
        <v>1401</v>
      </c>
      <c r="H714" s="2" t="s">
        <v>3679</v>
      </c>
      <c r="I714" s="2" t="s">
        <v>2536</v>
      </c>
      <c r="J714" s="2" t="s">
        <v>3680</v>
      </c>
      <c r="K714" s="82" t="s">
        <v>3681</v>
      </c>
      <c r="L714" s="2">
        <v>7.091693606E9</v>
      </c>
      <c r="M714" s="12" t="s">
        <v>1402</v>
      </c>
    </row>
    <row r="715">
      <c r="A715" s="2" t="s">
        <v>1417</v>
      </c>
      <c r="H715" s="2" t="s">
        <v>3682</v>
      </c>
      <c r="I715" s="2" t="s">
        <v>2558</v>
      </c>
      <c r="J715" s="2" t="s">
        <v>2582</v>
      </c>
      <c r="K715" s="82" t="s">
        <v>3683</v>
      </c>
      <c r="L715" s="2">
        <v>8.080359847E9</v>
      </c>
      <c r="M715" s="12" t="s">
        <v>1418</v>
      </c>
    </row>
    <row r="716">
      <c r="A716" s="2" t="s">
        <v>1452</v>
      </c>
      <c r="H716" s="2" t="s">
        <v>3684</v>
      </c>
      <c r="I716" s="2" t="s">
        <v>2467</v>
      </c>
      <c r="J716" s="2" t="s">
        <v>2805</v>
      </c>
      <c r="K716" s="82" t="s">
        <v>3685</v>
      </c>
      <c r="L716" s="2">
        <v>8.080359847E9</v>
      </c>
      <c r="M716" s="12" t="s">
        <v>1453</v>
      </c>
    </row>
    <row r="717">
      <c r="A717" s="2" t="s">
        <v>1454</v>
      </c>
      <c r="H717" s="2" t="s">
        <v>3686</v>
      </c>
      <c r="I717" s="2" t="s">
        <v>2558</v>
      </c>
      <c r="J717" s="2" t="s">
        <v>3687</v>
      </c>
      <c r="K717" s="82" t="s">
        <v>3688</v>
      </c>
      <c r="L717" s="2">
        <v>8.080359847E9</v>
      </c>
      <c r="M717" s="12" t="s">
        <v>1455</v>
      </c>
    </row>
    <row r="718">
      <c r="A718" s="2" t="s">
        <v>971</v>
      </c>
      <c r="H718" s="2" t="s">
        <v>3352</v>
      </c>
      <c r="I718" s="2" t="s">
        <v>2631</v>
      </c>
      <c r="J718" s="2" t="s">
        <v>3353</v>
      </c>
      <c r="K718" s="82" t="s">
        <v>3354</v>
      </c>
      <c r="L718" s="2">
        <v>8.080359847E9</v>
      </c>
      <c r="M718" s="12" t="s">
        <v>1706</v>
      </c>
    </row>
    <row r="719">
      <c r="A719" s="2" t="s">
        <v>10</v>
      </c>
      <c r="H719" s="2" t="s">
        <v>3689</v>
      </c>
      <c r="I719" s="2" t="s">
        <v>2498</v>
      </c>
      <c r="J719" s="2" t="s">
        <v>3690</v>
      </c>
      <c r="K719" s="82" t="s">
        <v>3691</v>
      </c>
      <c r="L719" s="2">
        <v>8.080359847E9</v>
      </c>
      <c r="M719" s="12" t="s">
        <v>1322</v>
      </c>
    </row>
    <row r="720">
      <c r="A720" s="2" t="s">
        <v>1104</v>
      </c>
      <c r="H720" s="2" t="s">
        <v>3692</v>
      </c>
      <c r="I720" s="2" t="s">
        <v>3693</v>
      </c>
      <c r="J720" s="2" t="s">
        <v>3694</v>
      </c>
      <c r="K720" s="82" t="s">
        <v>3695</v>
      </c>
      <c r="L720" s="2">
        <v>8.080359847E9</v>
      </c>
      <c r="M720" s="12" t="s">
        <v>1105</v>
      </c>
    </row>
    <row r="721">
      <c r="A721" s="2" t="s">
        <v>127</v>
      </c>
      <c r="H721" s="2" t="s">
        <v>3696</v>
      </c>
      <c r="I721" s="2" t="s">
        <v>2532</v>
      </c>
      <c r="J721" s="2" t="s">
        <v>3697</v>
      </c>
      <c r="K721" s="82" t="s">
        <v>3698</v>
      </c>
      <c r="L721" s="2">
        <v>8.080359847E9</v>
      </c>
      <c r="M721" s="12" t="s">
        <v>1012</v>
      </c>
    </row>
    <row r="722">
      <c r="A722" s="2" t="s">
        <v>79</v>
      </c>
      <c r="H722" s="2" t="s">
        <v>2673</v>
      </c>
      <c r="I722" s="2" t="s">
        <v>2674</v>
      </c>
      <c r="J722" s="2" t="s">
        <v>2675</v>
      </c>
      <c r="K722" s="82" t="s">
        <v>2676</v>
      </c>
      <c r="L722" s="2">
        <v>9.086151999E9</v>
      </c>
      <c r="M722" s="12" t="s">
        <v>1265</v>
      </c>
    </row>
    <row r="723">
      <c r="A723" s="2" t="s">
        <v>99</v>
      </c>
      <c r="H723" s="2" t="s">
        <v>3699</v>
      </c>
      <c r="I723" s="2" t="s">
        <v>2474</v>
      </c>
      <c r="J723" s="2" t="s">
        <v>2901</v>
      </c>
      <c r="K723" s="82" t="s">
        <v>3700</v>
      </c>
      <c r="L723" s="2">
        <v>8.080359847E9</v>
      </c>
      <c r="M723" s="12" t="s">
        <v>1026</v>
      </c>
    </row>
    <row r="724">
      <c r="A724" s="2" t="s">
        <v>317</v>
      </c>
      <c r="H724" s="2" t="s">
        <v>2497</v>
      </c>
      <c r="I724" s="2" t="s">
        <v>2498</v>
      </c>
      <c r="J724" s="2" t="s">
        <v>3583</v>
      </c>
      <c r="K724" s="82" t="s">
        <v>3701</v>
      </c>
      <c r="L724" s="2">
        <v>8.080359847E9</v>
      </c>
      <c r="M724" s="12" t="s">
        <v>1018</v>
      </c>
    </row>
    <row r="725">
      <c r="A725" s="2" t="s">
        <v>1224</v>
      </c>
      <c r="H725" s="2" t="s">
        <v>3702</v>
      </c>
      <c r="I725" s="2" t="s">
        <v>2467</v>
      </c>
      <c r="J725" s="2" t="s">
        <v>2805</v>
      </c>
      <c r="K725" s="82" t="s">
        <v>3703</v>
      </c>
      <c r="L725" s="2">
        <v>8.080359847E9</v>
      </c>
      <c r="M725" s="12" t="s">
        <v>1225</v>
      </c>
    </row>
    <row r="726">
      <c r="A726" s="2" t="s">
        <v>1412</v>
      </c>
      <c r="H726" s="2" t="s">
        <v>3704</v>
      </c>
      <c r="I726" s="2" t="s">
        <v>2474</v>
      </c>
      <c r="J726" s="2" t="s">
        <v>2993</v>
      </c>
      <c r="K726" s="82" t="s">
        <v>3705</v>
      </c>
      <c r="L726" s="2" t="s">
        <v>3706</v>
      </c>
      <c r="M726" s="12" t="s">
        <v>1413</v>
      </c>
    </row>
    <row r="727">
      <c r="A727" s="2" t="s">
        <v>510</v>
      </c>
      <c r="H727" s="2" t="s">
        <v>3707</v>
      </c>
      <c r="I727" s="2" t="s">
        <v>2478</v>
      </c>
      <c r="J727" s="2" t="s">
        <v>2859</v>
      </c>
      <c r="K727" s="82" t="s">
        <v>3708</v>
      </c>
      <c r="L727" s="2">
        <v>8.080359847E9</v>
      </c>
      <c r="M727" s="12" t="s">
        <v>511</v>
      </c>
    </row>
    <row r="728">
      <c r="A728" s="2" t="s">
        <v>1459</v>
      </c>
      <c r="H728" s="2" t="s">
        <v>3709</v>
      </c>
      <c r="I728" s="2" t="s">
        <v>2463</v>
      </c>
      <c r="J728" s="2" t="s">
        <v>2464</v>
      </c>
      <c r="K728" s="82" t="s">
        <v>3710</v>
      </c>
      <c r="L728" s="2" t="s">
        <v>3711</v>
      </c>
      <c r="M728" s="12" t="s">
        <v>1460</v>
      </c>
    </row>
    <row r="729">
      <c r="A729" s="2" t="s">
        <v>969</v>
      </c>
      <c r="H729" s="2" t="s">
        <v>2754</v>
      </c>
      <c r="I729" s="2" t="s">
        <v>2532</v>
      </c>
      <c r="J729" s="2" t="s">
        <v>2755</v>
      </c>
      <c r="K729" s="82" t="s">
        <v>3712</v>
      </c>
      <c r="L729" s="2">
        <v>8.080359847E9</v>
      </c>
      <c r="M729" s="12" t="s">
        <v>970</v>
      </c>
    </row>
    <row r="730">
      <c r="A730" s="2" t="s">
        <v>1054</v>
      </c>
      <c r="H730" s="2" t="s">
        <v>3713</v>
      </c>
      <c r="I730" s="2" t="s">
        <v>2518</v>
      </c>
      <c r="J730" s="2" t="s">
        <v>3331</v>
      </c>
      <c r="K730" s="82" t="s">
        <v>3714</v>
      </c>
      <c r="L730" s="2">
        <v>8.031107227E9</v>
      </c>
      <c r="M730" s="12" t="s">
        <v>1056</v>
      </c>
    </row>
    <row r="731">
      <c r="A731" s="2" t="s">
        <v>1403</v>
      </c>
      <c r="H731" s="2" t="s">
        <v>3715</v>
      </c>
      <c r="I731" s="2" t="s">
        <v>3272</v>
      </c>
      <c r="J731" s="2" t="s">
        <v>3716</v>
      </c>
      <c r="K731" s="82" t="s">
        <v>3717</v>
      </c>
      <c r="L731" s="2">
        <v>8.080359847E9</v>
      </c>
      <c r="M731" s="12" t="s">
        <v>1404</v>
      </c>
    </row>
    <row r="732">
      <c r="A732" s="2" t="s">
        <v>55</v>
      </c>
      <c r="H732" s="2" t="s">
        <v>3718</v>
      </c>
      <c r="I732" s="2" t="s">
        <v>2467</v>
      </c>
      <c r="J732" s="2" t="s">
        <v>2773</v>
      </c>
      <c r="K732" s="82" t="s">
        <v>3719</v>
      </c>
      <c r="L732" s="2">
        <v>8.080359847E9</v>
      </c>
      <c r="M732" s="12" t="s">
        <v>1441</v>
      </c>
    </row>
    <row r="733">
      <c r="A733" s="2" t="s">
        <v>174</v>
      </c>
      <c r="H733" s="2" t="s">
        <v>3720</v>
      </c>
      <c r="I733" s="2" t="s">
        <v>3693</v>
      </c>
      <c r="J733" s="2" t="s">
        <v>3721</v>
      </c>
      <c r="K733" s="82" t="s">
        <v>3722</v>
      </c>
      <c r="L733" s="2">
        <v>8.080359847E9</v>
      </c>
    </row>
    <row r="734">
      <c r="A734" s="2" t="s">
        <v>1553</v>
      </c>
      <c r="H734" s="2" t="s">
        <v>3723</v>
      </c>
      <c r="I734" s="2" t="s">
        <v>2532</v>
      </c>
      <c r="J734" s="2" t="s">
        <v>2943</v>
      </c>
      <c r="K734" s="82" t="s">
        <v>3724</v>
      </c>
      <c r="L734" s="2">
        <v>8.080359847E9</v>
      </c>
      <c r="M734" s="12" t="s">
        <v>1554</v>
      </c>
    </row>
    <row r="735">
      <c r="A735" s="2" t="s">
        <v>303</v>
      </c>
      <c r="H735" s="2" t="s">
        <v>3725</v>
      </c>
      <c r="I735" s="2" t="s">
        <v>2631</v>
      </c>
      <c r="J735" s="2" t="s">
        <v>3438</v>
      </c>
      <c r="K735" s="82" t="s">
        <v>3726</v>
      </c>
      <c r="L735" s="2">
        <v>8.080359847E9</v>
      </c>
      <c r="M735" s="12" t="s">
        <v>1486</v>
      </c>
    </row>
    <row r="736">
      <c r="A736" s="2" t="s">
        <v>1020</v>
      </c>
      <c r="H736" s="2" t="s">
        <v>3727</v>
      </c>
      <c r="I736" s="2" t="s">
        <v>2543</v>
      </c>
      <c r="J736" s="2" t="s">
        <v>2544</v>
      </c>
      <c r="K736" s="82" t="s">
        <v>3728</v>
      </c>
      <c r="L736" s="2">
        <v>8.080359847E9</v>
      </c>
      <c r="M736" s="12" t="s">
        <v>1021</v>
      </c>
    </row>
    <row r="737">
      <c r="A737" s="2" t="s">
        <v>1194</v>
      </c>
      <c r="H737" s="2" t="s">
        <v>3729</v>
      </c>
      <c r="I737" s="2" t="s">
        <v>2547</v>
      </c>
      <c r="J737" s="2" t="s">
        <v>3245</v>
      </c>
      <c r="K737" s="82" t="s">
        <v>3730</v>
      </c>
      <c r="L737" s="2">
        <v>8.080359847E9</v>
      </c>
      <c r="M737" s="12" t="s">
        <v>1196</v>
      </c>
    </row>
    <row r="738">
      <c r="A738" s="2" t="s">
        <v>276</v>
      </c>
      <c r="H738" s="2" t="s">
        <v>3731</v>
      </c>
      <c r="I738" s="2" t="s">
        <v>2532</v>
      </c>
      <c r="J738" s="2" t="s">
        <v>3732</v>
      </c>
      <c r="K738" s="82" t="s">
        <v>3733</v>
      </c>
      <c r="L738" s="2">
        <v>8.080359847E9</v>
      </c>
      <c r="M738" s="12" t="s">
        <v>1461</v>
      </c>
    </row>
    <row r="739">
      <c r="A739" s="2" t="s">
        <v>1303</v>
      </c>
      <c r="H739" s="2" t="s">
        <v>3734</v>
      </c>
      <c r="I739" s="2" t="s">
        <v>2463</v>
      </c>
      <c r="J739" s="2" t="s">
        <v>2681</v>
      </c>
      <c r="K739" s="82" t="s">
        <v>3735</v>
      </c>
      <c r="L739" s="2">
        <v>8.080359847E9</v>
      </c>
      <c r="M739" s="12" t="s">
        <v>1304</v>
      </c>
    </row>
    <row r="740">
      <c r="A740" s="2" t="s">
        <v>1065</v>
      </c>
      <c r="H740" s="2" t="s">
        <v>3736</v>
      </c>
      <c r="I740" s="2" t="s">
        <v>2536</v>
      </c>
      <c r="J740" s="2" t="s">
        <v>3197</v>
      </c>
      <c r="K740" s="82" t="s">
        <v>3737</v>
      </c>
      <c r="L740" s="2">
        <v>8.080359847E9</v>
      </c>
      <c r="M740" s="12" t="s">
        <v>1066</v>
      </c>
    </row>
    <row r="741">
      <c r="A741" s="2" t="s">
        <v>80</v>
      </c>
      <c r="H741" s="2" t="s">
        <v>3738</v>
      </c>
      <c r="I741" s="2" t="s">
        <v>2654</v>
      </c>
      <c r="J741" s="2" t="s">
        <v>2844</v>
      </c>
      <c r="K741" s="82" t="s">
        <v>3739</v>
      </c>
      <c r="L741" s="2" t="s">
        <v>3740</v>
      </c>
      <c r="M741" s="12" t="s">
        <v>1237</v>
      </c>
    </row>
    <row r="742">
      <c r="A742" s="2" t="s">
        <v>144</v>
      </c>
      <c r="H742" s="2" t="s">
        <v>3741</v>
      </c>
      <c r="I742" s="2" t="s">
        <v>2720</v>
      </c>
      <c r="J742" s="2" t="s">
        <v>2721</v>
      </c>
      <c r="K742" s="82" t="s">
        <v>3742</v>
      </c>
      <c r="L742" s="2">
        <v>8.080359847E9</v>
      </c>
      <c r="M742" s="12" t="s">
        <v>1038</v>
      </c>
    </row>
    <row r="743">
      <c r="A743" s="2" t="s">
        <v>1882</v>
      </c>
      <c r="H743" s="2" t="s">
        <v>3743</v>
      </c>
      <c r="I743" s="2" t="s">
        <v>2907</v>
      </c>
      <c r="J743" s="2" t="s">
        <v>3497</v>
      </c>
      <c r="K743" s="82" t="s">
        <v>3744</v>
      </c>
      <c r="L743" s="2">
        <v>8.080359847E9</v>
      </c>
      <c r="M743" s="12" t="s">
        <v>1883</v>
      </c>
    </row>
    <row r="744">
      <c r="A744" s="2" t="s">
        <v>1870</v>
      </c>
      <c r="H744" s="2" t="s">
        <v>3506</v>
      </c>
      <c r="I744" s="2" t="s">
        <v>2478</v>
      </c>
      <c r="J744" s="2" t="s">
        <v>3507</v>
      </c>
      <c r="K744" s="82" t="s">
        <v>3508</v>
      </c>
      <c r="L744" s="2">
        <v>8.080359847E9</v>
      </c>
    </row>
    <row r="745">
      <c r="A745" s="2" t="s">
        <v>1869</v>
      </c>
      <c r="H745" s="2" t="s">
        <v>3745</v>
      </c>
      <c r="I745" s="2" t="s">
        <v>2474</v>
      </c>
      <c r="J745" s="2" t="s">
        <v>2888</v>
      </c>
      <c r="K745" s="82" t="s">
        <v>3746</v>
      </c>
      <c r="L745" s="2">
        <v>8.080359847E9</v>
      </c>
    </row>
    <row r="746">
      <c r="A746" s="2" t="s">
        <v>1747</v>
      </c>
      <c r="H746" s="2" t="s">
        <v>2890</v>
      </c>
      <c r="I746" s="2" t="s">
        <v>2467</v>
      </c>
      <c r="J746" s="2" t="s">
        <v>2471</v>
      </c>
      <c r="K746" s="82" t="s">
        <v>3747</v>
      </c>
      <c r="L746" s="2">
        <v>8.080359847E9</v>
      </c>
      <c r="M746" s="12" t="s">
        <v>2002</v>
      </c>
    </row>
    <row r="747">
      <c r="A747" s="2" t="s">
        <v>96</v>
      </c>
      <c r="H747" s="2" t="s">
        <v>2568</v>
      </c>
      <c r="I747" s="2" t="s">
        <v>2474</v>
      </c>
      <c r="J747" s="2" t="s">
        <v>2569</v>
      </c>
      <c r="K747" s="82" t="s">
        <v>3748</v>
      </c>
      <c r="L747" s="2">
        <v>8.080359847E9</v>
      </c>
      <c r="M747" s="12" t="s">
        <v>1757</v>
      </c>
    </row>
    <row r="748">
      <c r="A748" s="2" t="s">
        <v>1607</v>
      </c>
      <c r="H748" s="2" t="s">
        <v>3749</v>
      </c>
      <c r="I748" s="2" t="s">
        <v>2467</v>
      </c>
      <c r="J748" s="2" t="s">
        <v>3235</v>
      </c>
      <c r="K748" s="82" t="s">
        <v>3750</v>
      </c>
      <c r="L748" s="2">
        <v>9.080359847E9</v>
      </c>
      <c r="M748" s="12" t="s">
        <v>1608</v>
      </c>
    </row>
    <row r="749">
      <c r="A749" s="2" t="s">
        <v>1605</v>
      </c>
      <c r="H749" s="2" t="s">
        <v>3718</v>
      </c>
      <c r="I749" s="2" t="s">
        <v>2467</v>
      </c>
      <c r="J749" s="2" t="s">
        <v>2773</v>
      </c>
      <c r="K749" s="82" t="s">
        <v>3751</v>
      </c>
      <c r="L749" s="2">
        <v>8.080359847E9</v>
      </c>
      <c r="M749" s="12" t="s">
        <v>1606</v>
      </c>
    </row>
    <row r="750">
      <c r="A750" s="2" t="s">
        <v>1603</v>
      </c>
      <c r="H750" s="2" t="s">
        <v>3752</v>
      </c>
      <c r="I750" s="2" t="s">
        <v>2558</v>
      </c>
      <c r="J750" s="2" t="s">
        <v>3753</v>
      </c>
      <c r="K750" s="82" t="s">
        <v>3754</v>
      </c>
      <c r="L750" s="2">
        <v>8.080359847E9</v>
      </c>
      <c r="M750" s="12" t="s">
        <v>1604</v>
      </c>
    </row>
    <row r="751">
      <c r="A751" s="2" t="s">
        <v>310</v>
      </c>
      <c r="H751" s="2" t="s">
        <v>2641</v>
      </c>
      <c r="I751" s="2" t="s">
        <v>2558</v>
      </c>
      <c r="J751" s="2" t="s">
        <v>2642</v>
      </c>
      <c r="K751" s="82" t="s">
        <v>3755</v>
      </c>
      <c r="L751" s="2">
        <v>8.080359847E9</v>
      </c>
      <c r="M751" s="12" t="s">
        <v>1586</v>
      </c>
    </row>
    <row r="752">
      <c r="A752" s="2" t="s">
        <v>1580</v>
      </c>
      <c r="H752" s="2" t="s">
        <v>3756</v>
      </c>
      <c r="I752" s="2" t="s">
        <v>2463</v>
      </c>
      <c r="J752" s="2" t="s">
        <v>2904</v>
      </c>
      <c r="K752" s="82" t="s">
        <v>3757</v>
      </c>
      <c r="L752" s="2">
        <v>8.080359847E9</v>
      </c>
      <c r="M752" s="12" t="s">
        <v>1581</v>
      </c>
    </row>
    <row r="753">
      <c r="A753" s="2" t="s">
        <v>1582</v>
      </c>
      <c r="H753" s="2" t="s">
        <v>3758</v>
      </c>
      <c r="I753" s="2" t="s">
        <v>2474</v>
      </c>
      <c r="J753" s="2" t="s">
        <v>2486</v>
      </c>
      <c r="K753" s="82" t="s">
        <v>3759</v>
      </c>
      <c r="L753" s="2">
        <v>7.089900976E9</v>
      </c>
      <c r="M753" s="12" t="s">
        <v>1583</v>
      </c>
    </row>
    <row r="754">
      <c r="A754" s="2" t="s">
        <v>1578</v>
      </c>
      <c r="H754" s="2" t="s">
        <v>3760</v>
      </c>
      <c r="I754" s="2" t="s">
        <v>2474</v>
      </c>
      <c r="J754" s="2" t="s">
        <v>3761</v>
      </c>
      <c r="K754" s="82" t="s">
        <v>3762</v>
      </c>
      <c r="L754" s="2">
        <v>8.080359847E9</v>
      </c>
      <c r="M754" s="12" t="s">
        <v>1579</v>
      </c>
    </row>
    <row r="755">
      <c r="A755" s="2" t="s">
        <v>1569</v>
      </c>
      <c r="H755" s="2" t="s">
        <v>3763</v>
      </c>
      <c r="I755" s="2" t="s">
        <v>2536</v>
      </c>
      <c r="J755" s="2" t="s">
        <v>2853</v>
      </c>
      <c r="K755" s="82" t="s">
        <v>3764</v>
      </c>
      <c r="L755" s="2">
        <v>8.080359847E9</v>
      </c>
      <c r="M755" s="12" t="s">
        <v>1570</v>
      </c>
    </row>
    <row r="756">
      <c r="A756" s="2" t="s">
        <v>254</v>
      </c>
      <c r="H756" s="2" t="s">
        <v>3765</v>
      </c>
      <c r="I756" s="2" t="s">
        <v>2467</v>
      </c>
      <c r="J756" s="2" t="s">
        <v>3766</v>
      </c>
      <c r="K756" s="82" t="s">
        <v>3767</v>
      </c>
      <c r="L756" s="2">
        <v>8.080359847E9</v>
      </c>
      <c r="M756" s="12" t="s">
        <v>1763</v>
      </c>
    </row>
    <row r="757">
      <c r="A757" s="2" t="s">
        <v>1885</v>
      </c>
      <c r="H757" s="2" t="s">
        <v>3344</v>
      </c>
      <c r="I757" s="2" t="s">
        <v>2482</v>
      </c>
      <c r="J757" s="2" t="s">
        <v>2937</v>
      </c>
      <c r="K757" s="82" t="s">
        <v>3768</v>
      </c>
      <c r="L757" s="2">
        <v>8.080359847E9</v>
      </c>
      <c r="M757" s="12" t="s">
        <v>1886</v>
      </c>
    </row>
    <row r="758">
      <c r="A758" s="2" t="s">
        <v>42</v>
      </c>
      <c r="H758" s="2" t="s">
        <v>2596</v>
      </c>
      <c r="I758" s="2" t="s">
        <v>2597</v>
      </c>
      <c r="J758" s="2" t="s">
        <v>2598</v>
      </c>
      <c r="K758" s="82" t="s">
        <v>2599</v>
      </c>
      <c r="L758" s="2">
        <v>7.084639565E9</v>
      </c>
      <c r="M758" s="12" t="s">
        <v>1743</v>
      </c>
    </row>
    <row r="759">
      <c r="A759" s="2" t="s">
        <v>1515</v>
      </c>
      <c r="H759" s="2" t="s">
        <v>3769</v>
      </c>
      <c r="I759" s="2" t="s">
        <v>2498</v>
      </c>
      <c r="J759" s="2" t="s">
        <v>3583</v>
      </c>
      <c r="K759" s="82" t="s">
        <v>3770</v>
      </c>
      <c r="L759" s="2">
        <v>8.080359847E9</v>
      </c>
      <c r="M759" s="12" t="s">
        <v>1516</v>
      </c>
    </row>
    <row r="760">
      <c r="A760" s="2" t="s">
        <v>934</v>
      </c>
      <c r="H760" s="2" t="s">
        <v>3771</v>
      </c>
      <c r="I760" s="2" t="s">
        <v>2558</v>
      </c>
      <c r="J760" s="2" t="s">
        <v>2575</v>
      </c>
      <c r="K760" s="82" t="s">
        <v>3772</v>
      </c>
      <c r="L760" s="2">
        <v>8.080359847E9</v>
      </c>
      <c r="M760" s="12" t="s">
        <v>936</v>
      </c>
    </row>
    <row r="761">
      <c r="A761" s="2" t="s">
        <v>1845</v>
      </c>
      <c r="H761" s="2" t="s">
        <v>3773</v>
      </c>
      <c r="I761" s="2" t="s">
        <v>2518</v>
      </c>
      <c r="J761" s="2" t="s">
        <v>3774</v>
      </c>
      <c r="K761" s="82" t="s">
        <v>3775</v>
      </c>
      <c r="L761" s="2">
        <v>8.080359847E9</v>
      </c>
      <c r="M761" s="12" t="s">
        <v>1846</v>
      </c>
    </row>
    <row r="762">
      <c r="A762" s="2" t="s">
        <v>1661</v>
      </c>
      <c r="H762" s="2" t="s">
        <v>2834</v>
      </c>
      <c r="I762" s="2" t="s">
        <v>2474</v>
      </c>
      <c r="J762" s="2" t="s">
        <v>2835</v>
      </c>
      <c r="K762" s="82" t="s">
        <v>3776</v>
      </c>
      <c r="L762" s="2">
        <v>7.090113093E9</v>
      </c>
      <c r="M762" s="12" t="s">
        <v>1662</v>
      </c>
    </row>
    <row r="763">
      <c r="A763" s="2" t="s">
        <v>1649</v>
      </c>
      <c r="H763" s="2" t="s">
        <v>3777</v>
      </c>
      <c r="I763" s="2" t="s">
        <v>2463</v>
      </c>
      <c r="J763" s="2" t="s">
        <v>3778</v>
      </c>
      <c r="K763" s="82" t="s">
        <v>3779</v>
      </c>
      <c r="L763" s="2">
        <v>8.080359847E9</v>
      </c>
      <c r="M763" s="12" t="s">
        <v>1650</v>
      </c>
    </row>
    <row r="764">
      <c r="A764" s="2" t="s">
        <v>1213</v>
      </c>
      <c r="H764" s="2" t="s">
        <v>3780</v>
      </c>
      <c r="I764" s="2" t="s">
        <v>2463</v>
      </c>
      <c r="J764" s="2" t="s">
        <v>2802</v>
      </c>
      <c r="K764" s="82" t="s">
        <v>3781</v>
      </c>
      <c r="L764" s="2">
        <v>8.080359847E9</v>
      </c>
      <c r="M764" s="12" t="s">
        <v>1214</v>
      </c>
    </row>
    <row r="765">
      <c r="A765" s="2" t="s">
        <v>190</v>
      </c>
      <c r="H765" s="2" t="s">
        <v>3782</v>
      </c>
      <c r="I765" s="2" t="s">
        <v>2474</v>
      </c>
      <c r="J765" s="2" t="s">
        <v>2832</v>
      </c>
      <c r="K765" s="82" t="s">
        <v>3783</v>
      </c>
      <c r="L765" s="2">
        <v>8.080359847E9</v>
      </c>
      <c r="M765" s="12" t="s">
        <v>1683</v>
      </c>
    </row>
    <row r="766">
      <c r="A766" s="2" t="s">
        <v>341</v>
      </c>
      <c r="H766" s="2" t="s">
        <v>3784</v>
      </c>
      <c r="I766" s="2" t="s">
        <v>2463</v>
      </c>
      <c r="J766" s="2" t="s">
        <v>3677</v>
      </c>
      <c r="K766" s="82" t="s">
        <v>3785</v>
      </c>
      <c r="L766" s="2">
        <v>8.080359847E9</v>
      </c>
      <c r="M766" s="12" t="s">
        <v>1592</v>
      </c>
    </row>
    <row r="767">
      <c r="A767" s="2" t="s">
        <v>1647</v>
      </c>
      <c r="H767" s="2" t="s">
        <v>3786</v>
      </c>
      <c r="I767" s="2" t="s">
        <v>2478</v>
      </c>
      <c r="J767" s="2" t="s">
        <v>2859</v>
      </c>
      <c r="K767" s="82" t="s">
        <v>3787</v>
      </c>
      <c r="L767" s="2">
        <v>8.080359847E9</v>
      </c>
      <c r="M767" s="12" t="s">
        <v>1648</v>
      </c>
    </row>
    <row r="768">
      <c r="A768" s="2" t="s">
        <v>1887</v>
      </c>
      <c r="H768" s="2" t="s">
        <v>3788</v>
      </c>
      <c r="I768" s="2" t="s">
        <v>2474</v>
      </c>
      <c r="J768" s="2" t="s">
        <v>3789</v>
      </c>
      <c r="K768" s="82" t="s">
        <v>3790</v>
      </c>
      <c r="L768" s="2">
        <v>8.080359847E9</v>
      </c>
    </row>
    <row r="769">
      <c r="A769" s="2" t="s">
        <v>1593</v>
      </c>
      <c r="H769" s="2" t="s">
        <v>3791</v>
      </c>
      <c r="I769" s="2" t="s">
        <v>2474</v>
      </c>
      <c r="J769" s="2" t="s">
        <v>3792</v>
      </c>
      <c r="K769" s="82" t="s">
        <v>3793</v>
      </c>
      <c r="L769" s="2">
        <v>8.080359847E9</v>
      </c>
      <c r="M769" s="12" t="s">
        <v>1595</v>
      </c>
    </row>
    <row r="770">
      <c r="A770" s="2" t="s">
        <v>1427</v>
      </c>
      <c r="H770" s="2" t="s">
        <v>3794</v>
      </c>
      <c r="I770" s="2" t="s">
        <v>2769</v>
      </c>
      <c r="J770" s="2" t="s">
        <v>3795</v>
      </c>
      <c r="K770" s="82" t="s">
        <v>3796</v>
      </c>
      <c r="L770" s="2">
        <v>8.080359847E9</v>
      </c>
    </row>
    <row r="771">
      <c r="A771" s="2" t="s">
        <v>367</v>
      </c>
      <c r="H771" s="2" t="s">
        <v>2641</v>
      </c>
      <c r="I771" s="2" t="s">
        <v>2558</v>
      </c>
      <c r="J771" s="2" t="s">
        <v>2642</v>
      </c>
      <c r="K771" s="82" t="s">
        <v>2643</v>
      </c>
      <c r="L771" s="2">
        <v>8.040014945E9</v>
      </c>
    </row>
    <row r="772">
      <c r="A772" s="2" t="s">
        <v>1535</v>
      </c>
      <c r="H772" s="2" t="s">
        <v>3797</v>
      </c>
      <c r="I772" s="2" t="s">
        <v>2474</v>
      </c>
      <c r="J772" s="2" t="s">
        <v>2888</v>
      </c>
      <c r="K772" s="82" t="s">
        <v>3798</v>
      </c>
      <c r="L772" s="2">
        <v>7.092863503E9</v>
      </c>
      <c r="M772" s="12" t="s">
        <v>1536</v>
      </c>
    </row>
    <row r="773">
      <c r="A773" s="2" t="s">
        <v>1718</v>
      </c>
      <c r="H773" s="2" t="s">
        <v>3799</v>
      </c>
      <c r="I773" s="2" t="s">
        <v>3358</v>
      </c>
      <c r="J773" s="2" t="s">
        <v>3800</v>
      </c>
      <c r="K773" s="82" t="s">
        <v>3801</v>
      </c>
      <c r="L773" s="2">
        <v>8.080359847E9</v>
      </c>
      <c r="M773" s="12" t="s">
        <v>1719</v>
      </c>
    </row>
    <row r="774">
      <c r="A774" s="2" t="s">
        <v>1187</v>
      </c>
      <c r="H774" s="2" t="s">
        <v>3802</v>
      </c>
      <c r="I774" s="2" t="s">
        <v>2558</v>
      </c>
      <c r="J774" s="2" t="s">
        <v>2602</v>
      </c>
      <c r="K774" s="82" t="s">
        <v>3803</v>
      </c>
      <c r="L774" s="2" t="s">
        <v>3804</v>
      </c>
      <c r="M774" s="12" t="s">
        <v>1188</v>
      </c>
    </row>
    <row r="775">
      <c r="A775" s="2" t="s">
        <v>1526</v>
      </c>
      <c r="H775" s="2" t="s">
        <v>3008</v>
      </c>
      <c r="I775" s="2" t="s">
        <v>2459</v>
      </c>
      <c r="J775" s="2" t="s">
        <v>3009</v>
      </c>
      <c r="K775" s="82" t="s">
        <v>3805</v>
      </c>
      <c r="L775" s="2" t="s">
        <v>3806</v>
      </c>
      <c r="M775" s="12" t="s">
        <v>1527</v>
      </c>
    </row>
    <row r="776">
      <c r="A776" s="2" t="s">
        <v>244</v>
      </c>
      <c r="H776" s="2" t="s">
        <v>3807</v>
      </c>
      <c r="I776" s="2" t="s">
        <v>2463</v>
      </c>
      <c r="J776" s="2" t="s">
        <v>3808</v>
      </c>
      <c r="K776" s="82" t="s">
        <v>3809</v>
      </c>
      <c r="L776" s="2" t="s">
        <v>3810</v>
      </c>
      <c r="M776" s="12" t="s">
        <v>1262</v>
      </c>
    </row>
    <row r="777">
      <c r="A777" s="2" t="s">
        <v>1473</v>
      </c>
      <c r="H777" s="2" t="s">
        <v>3811</v>
      </c>
      <c r="I777" s="2" t="s">
        <v>2478</v>
      </c>
      <c r="J777" s="2" t="s">
        <v>2859</v>
      </c>
      <c r="K777" s="82" t="s">
        <v>3812</v>
      </c>
      <c r="L777" s="2">
        <v>8.080359847E9</v>
      </c>
      <c r="M777" s="12" t="s">
        <v>1474</v>
      </c>
    </row>
    <row r="778">
      <c r="A778" s="2" t="s">
        <v>193</v>
      </c>
      <c r="H778" s="2" t="s">
        <v>3813</v>
      </c>
      <c r="I778" s="2" t="s">
        <v>2478</v>
      </c>
      <c r="J778" s="2" t="s">
        <v>3674</v>
      </c>
      <c r="K778" s="82" t="s">
        <v>3814</v>
      </c>
      <c r="L778" s="2">
        <v>8.080359847E9</v>
      </c>
      <c r="M778" s="12" t="s">
        <v>977</v>
      </c>
    </row>
    <row r="779">
      <c r="A779" s="2" t="s">
        <v>401</v>
      </c>
      <c r="H779" s="2" t="s">
        <v>2590</v>
      </c>
      <c r="I779" s="2" t="s">
        <v>2463</v>
      </c>
      <c r="J779" s="2" t="s">
        <v>2591</v>
      </c>
      <c r="K779" s="82" t="s">
        <v>2592</v>
      </c>
      <c r="L779" s="2">
        <v>8.080359847E9</v>
      </c>
      <c r="M779" s="12" t="s">
        <v>1598</v>
      </c>
    </row>
    <row r="780">
      <c r="A780" s="2" t="s">
        <v>1533</v>
      </c>
      <c r="H780" s="2" t="s">
        <v>3815</v>
      </c>
      <c r="I780" s="2" t="s">
        <v>2631</v>
      </c>
      <c r="J780" s="2" t="s">
        <v>3438</v>
      </c>
      <c r="K780" s="82" t="s">
        <v>3816</v>
      </c>
      <c r="L780" s="2">
        <v>8.080359847E9</v>
      </c>
      <c r="M780" s="12" t="s">
        <v>1534</v>
      </c>
    </row>
    <row r="781">
      <c r="A781" s="2" t="s">
        <v>1032</v>
      </c>
      <c r="H781" s="2" t="s">
        <v>3817</v>
      </c>
      <c r="I781" s="2" t="s">
        <v>2467</v>
      </c>
      <c r="J781" s="2" t="s">
        <v>3766</v>
      </c>
      <c r="K781" s="82" t="s">
        <v>3818</v>
      </c>
      <c r="L781" s="2">
        <v>8.080359847E9</v>
      </c>
      <c r="M781" s="12" t="s">
        <v>1033</v>
      </c>
    </row>
    <row r="782">
      <c r="A782" s="2" t="s">
        <v>1329</v>
      </c>
      <c r="H782" s="2" t="s">
        <v>2834</v>
      </c>
      <c r="I782" s="2" t="s">
        <v>2474</v>
      </c>
      <c r="J782" s="2" t="s">
        <v>2835</v>
      </c>
      <c r="K782" s="82" t="s">
        <v>3819</v>
      </c>
      <c r="L782" s="2">
        <v>8.080359847E9</v>
      </c>
      <c r="M782" s="12" t="s">
        <v>1331</v>
      </c>
    </row>
    <row r="783">
      <c r="A783" s="2" t="s">
        <v>1670</v>
      </c>
      <c r="H783" s="2" t="s">
        <v>3820</v>
      </c>
      <c r="I783" s="2" t="s">
        <v>2509</v>
      </c>
      <c r="J783" s="2" t="s">
        <v>3821</v>
      </c>
      <c r="K783" s="82" t="s">
        <v>3822</v>
      </c>
      <c r="L783" s="2">
        <v>8.080359847E9</v>
      </c>
      <c r="M783" s="12" t="s">
        <v>1673</v>
      </c>
    </row>
    <row r="784">
      <c r="A784" s="2" t="s">
        <v>1713</v>
      </c>
      <c r="H784" s="2" t="s">
        <v>3823</v>
      </c>
      <c r="I784" s="2" t="s">
        <v>2558</v>
      </c>
      <c r="J784" s="2" t="s">
        <v>2602</v>
      </c>
      <c r="K784" s="82" t="s">
        <v>3824</v>
      </c>
      <c r="L784" s="2">
        <v>8.080359847E9</v>
      </c>
      <c r="M784" s="12" t="s">
        <v>1714</v>
      </c>
    </row>
    <row r="785">
      <c r="A785" s="2" t="s">
        <v>751</v>
      </c>
      <c r="H785" s="2" t="s">
        <v>3825</v>
      </c>
      <c r="I785" s="2" t="s">
        <v>2459</v>
      </c>
      <c r="J785" s="2" t="s">
        <v>2613</v>
      </c>
      <c r="K785" s="82" t="s">
        <v>3826</v>
      </c>
      <c r="L785" s="2" t="s">
        <v>3827</v>
      </c>
      <c r="M785" s="12" t="s">
        <v>752</v>
      </c>
    </row>
    <row r="786">
      <c r="A786" s="2" t="s">
        <v>1109</v>
      </c>
      <c r="H786" s="2" t="s">
        <v>3828</v>
      </c>
      <c r="I786" s="2" t="s">
        <v>3272</v>
      </c>
      <c r="J786" s="2" t="s">
        <v>3829</v>
      </c>
      <c r="K786" s="82" t="s">
        <v>3830</v>
      </c>
      <c r="L786" s="2">
        <v>8.080359847E9</v>
      </c>
      <c r="M786" s="12" t="s">
        <v>1110</v>
      </c>
    </row>
    <row r="787">
      <c r="A787" s="2" t="s">
        <v>1138</v>
      </c>
      <c r="H787" s="2" t="s">
        <v>2641</v>
      </c>
      <c r="I787" s="2" t="s">
        <v>2558</v>
      </c>
      <c r="J787" s="2" t="s">
        <v>2642</v>
      </c>
      <c r="K787" s="82" t="s">
        <v>3831</v>
      </c>
      <c r="L787" s="2" t="s">
        <v>3832</v>
      </c>
      <c r="M787" s="12" t="s">
        <v>1139</v>
      </c>
    </row>
    <row r="788">
      <c r="A788" s="2" t="s">
        <v>1466</v>
      </c>
      <c r="H788" s="2" t="s">
        <v>3833</v>
      </c>
      <c r="I788" s="2" t="s">
        <v>2498</v>
      </c>
      <c r="J788" s="2" t="s">
        <v>2527</v>
      </c>
      <c r="K788" s="82" t="s">
        <v>3834</v>
      </c>
      <c r="L788" s="2" t="s">
        <v>3835</v>
      </c>
      <c r="M788" s="12" t="s">
        <v>1467</v>
      </c>
    </row>
    <row r="789">
      <c r="A789" s="2" t="s">
        <v>1624</v>
      </c>
      <c r="H789" s="2" t="s">
        <v>2772</v>
      </c>
      <c r="I789" s="2" t="s">
        <v>2467</v>
      </c>
      <c r="J789" s="2" t="s">
        <v>2773</v>
      </c>
      <c r="K789" s="82" t="s">
        <v>2774</v>
      </c>
      <c r="L789" s="2">
        <v>8.080359847E9</v>
      </c>
      <c r="M789" s="12" t="s">
        <v>1625</v>
      </c>
    </row>
    <row r="790">
      <c r="A790" s="2" t="s">
        <v>280</v>
      </c>
      <c r="H790" s="2" t="s">
        <v>3836</v>
      </c>
      <c r="I790" s="2" t="s">
        <v>2907</v>
      </c>
      <c r="J790" s="2" t="s">
        <v>2908</v>
      </c>
      <c r="K790" s="82" t="s">
        <v>3837</v>
      </c>
      <c r="L790" s="2">
        <v>8.080359847E9</v>
      </c>
      <c r="M790" s="12" t="s">
        <v>1044</v>
      </c>
    </row>
    <row r="791">
      <c r="A791" s="2" t="s">
        <v>78</v>
      </c>
      <c r="H791" s="2" t="s">
        <v>2622</v>
      </c>
      <c r="I791" s="2" t="s">
        <v>2623</v>
      </c>
      <c r="J791" s="2" t="s">
        <v>2624</v>
      </c>
      <c r="K791" s="82" t="s">
        <v>2625</v>
      </c>
      <c r="L791" s="2">
        <v>8.080359847E9</v>
      </c>
    </row>
    <row r="792">
      <c r="A792" s="2" t="s">
        <v>1890</v>
      </c>
      <c r="H792" s="2" t="s">
        <v>3838</v>
      </c>
      <c r="I792" s="2" t="s">
        <v>2543</v>
      </c>
      <c r="J792" s="2" t="s">
        <v>3839</v>
      </c>
      <c r="K792" s="82" t="s">
        <v>3840</v>
      </c>
      <c r="L792" s="2">
        <v>8.080359847E9</v>
      </c>
    </row>
    <row r="793">
      <c r="A793" s="2" t="s">
        <v>122</v>
      </c>
      <c r="H793" s="2" t="s">
        <v>2634</v>
      </c>
      <c r="I793" s="2" t="s">
        <v>2463</v>
      </c>
      <c r="J793" s="2" t="s">
        <v>2635</v>
      </c>
      <c r="K793" s="82" t="s">
        <v>3841</v>
      </c>
      <c r="L793" s="2">
        <v>8.080359847E9</v>
      </c>
      <c r="M793" s="12" t="s">
        <v>1248</v>
      </c>
    </row>
    <row r="794">
      <c r="A794" s="2" t="s">
        <v>1431</v>
      </c>
      <c r="H794" s="2" t="s">
        <v>3842</v>
      </c>
      <c r="I794" s="2" t="s">
        <v>2874</v>
      </c>
      <c r="J794" s="2" t="s">
        <v>3843</v>
      </c>
      <c r="K794" s="82" t="s">
        <v>3844</v>
      </c>
      <c r="L794" s="2">
        <v>8.080359847E9</v>
      </c>
      <c r="M794" s="12" t="s">
        <v>1432</v>
      </c>
    </row>
    <row r="795">
      <c r="A795" s="2" t="s">
        <v>941</v>
      </c>
      <c r="H795" s="2" t="s">
        <v>3845</v>
      </c>
      <c r="I795" s="2" t="s">
        <v>2558</v>
      </c>
      <c r="J795" s="2" t="s">
        <v>3846</v>
      </c>
      <c r="K795" s="82" t="s">
        <v>3847</v>
      </c>
      <c r="L795" s="2">
        <v>8.080359847E9</v>
      </c>
      <c r="M795" s="12" t="s">
        <v>942</v>
      </c>
    </row>
    <row r="796">
      <c r="A796" s="2" t="s">
        <v>806</v>
      </c>
      <c r="H796" s="2" t="s">
        <v>3848</v>
      </c>
      <c r="I796" s="2" t="s">
        <v>2509</v>
      </c>
      <c r="J796" s="2" t="s">
        <v>3849</v>
      </c>
      <c r="K796" s="82" t="s">
        <v>3850</v>
      </c>
      <c r="L796" s="2">
        <v>8.080359847E9</v>
      </c>
      <c r="M796" s="12" t="s">
        <v>807</v>
      </c>
    </row>
    <row r="797">
      <c r="A797" s="2" t="s">
        <v>1229</v>
      </c>
      <c r="H797" s="2" t="s">
        <v>3851</v>
      </c>
      <c r="I797" s="2" t="s">
        <v>2536</v>
      </c>
      <c r="J797" s="2" t="s">
        <v>3197</v>
      </c>
      <c r="K797" s="82" t="s">
        <v>3852</v>
      </c>
      <c r="L797" s="2">
        <v>8.080359847E9</v>
      </c>
      <c r="M797" s="12" t="s">
        <v>1230</v>
      </c>
    </row>
    <row r="798">
      <c r="A798" s="2" t="s">
        <v>1656</v>
      </c>
      <c r="H798" s="2" t="s">
        <v>3853</v>
      </c>
      <c r="I798" s="2" t="s">
        <v>2474</v>
      </c>
      <c r="J798" s="2" t="s">
        <v>3854</v>
      </c>
      <c r="K798" s="82" t="s">
        <v>3855</v>
      </c>
      <c r="L798" s="2">
        <v>8.080359847E9</v>
      </c>
      <c r="M798" s="12" t="s">
        <v>1657</v>
      </c>
    </row>
    <row r="799">
      <c r="A799" s="2" t="s">
        <v>1732</v>
      </c>
      <c r="H799" s="2" t="s">
        <v>3856</v>
      </c>
      <c r="I799" s="2" t="s">
        <v>2478</v>
      </c>
      <c r="J799" s="2" t="s">
        <v>3281</v>
      </c>
      <c r="K799" s="82" t="s">
        <v>3857</v>
      </c>
      <c r="L799" s="2">
        <v>8.080359847E9</v>
      </c>
      <c r="M799" s="12" t="s">
        <v>1733</v>
      </c>
    </row>
    <row r="800">
      <c r="A800" s="2" t="s">
        <v>951</v>
      </c>
      <c r="H800" s="2" t="s">
        <v>3858</v>
      </c>
      <c r="I800" s="2" t="s">
        <v>2474</v>
      </c>
      <c r="J800" s="2" t="s">
        <v>2515</v>
      </c>
      <c r="K800" s="82" t="s">
        <v>3859</v>
      </c>
      <c r="L800" s="2">
        <v>8.080359847E9</v>
      </c>
      <c r="M800" s="12" t="s">
        <v>952</v>
      </c>
    </row>
    <row r="801">
      <c r="A801" s="2" t="s">
        <v>1338</v>
      </c>
      <c r="H801" s="2" t="s">
        <v>3860</v>
      </c>
      <c r="I801" s="2" t="s">
        <v>2463</v>
      </c>
      <c r="J801" s="2" t="s">
        <v>3861</v>
      </c>
      <c r="K801" s="82" t="s">
        <v>3862</v>
      </c>
      <c r="L801" s="2">
        <v>8.080359847E9</v>
      </c>
      <c r="M801" s="12" t="s">
        <v>1339</v>
      </c>
    </row>
    <row r="802">
      <c r="A802" s="2" t="s">
        <v>1599</v>
      </c>
      <c r="H802" s="2" t="s">
        <v>3863</v>
      </c>
      <c r="I802" s="2" t="s">
        <v>2558</v>
      </c>
      <c r="J802" s="2" t="s">
        <v>2602</v>
      </c>
      <c r="K802" s="82" t="s">
        <v>3864</v>
      </c>
      <c r="L802" s="2" t="s">
        <v>3865</v>
      </c>
      <c r="M802" s="12" t="s">
        <v>1600</v>
      </c>
    </row>
    <row r="803">
      <c r="A803" s="2" t="s">
        <v>170</v>
      </c>
      <c r="H803" s="2" t="s">
        <v>2521</v>
      </c>
      <c r="I803" s="2" t="s">
        <v>2467</v>
      </c>
      <c r="J803" s="2" t="s">
        <v>2471</v>
      </c>
      <c r="K803" s="82" t="s">
        <v>3866</v>
      </c>
      <c r="L803" s="2">
        <v>8.080359847E9</v>
      </c>
    </row>
    <row r="804">
      <c r="A804" s="2" t="s">
        <v>839</v>
      </c>
      <c r="H804" s="2" t="s">
        <v>3867</v>
      </c>
      <c r="I804" s="2" t="s">
        <v>2543</v>
      </c>
      <c r="J804" s="2" t="s">
        <v>3868</v>
      </c>
      <c r="K804" s="82" t="s">
        <v>3869</v>
      </c>
      <c r="L804" s="2">
        <v>8.080359847E9</v>
      </c>
      <c r="M804" s="12" t="s">
        <v>1734</v>
      </c>
    </row>
    <row r="805">
      <c r="A805" s="2" t="s">
        <v>69</v>
      </c>
      <c r="H805" s="2" t="s">
        <v>3870</v>
      </c>
      <c r="I805" s="2" t="s">
        <v>2467</v>
      </c>
      <c r="J805" s="2" t="s">
        <v>3871</v>
      </c>
      <c r="K805" s="82" t="s">
        <v>3872</v>
      </c>
      <c r="L805" s="2">
        <v>8.080359847E9</v>
      </c>
      <c r="M805" s="12" t="s">
        <v>907</v>
      </c>
    </row>
    <row r="806">
      <c r="A806" s="2" t="s">
        <v>353</v>
      </c>
      <c r="H806" s="2" t="s">
        <v>3873</v>
      </c>
      <c r="I806" s="2" t="s">
        <v>3137</v>
      </c>
      <c r="J806" s="2" t="s">
        <v>3874</v>
      </c>
      <c r="K806" s="82" t="s">
        <v>3875</v>
      </c>
      <c r="L806" s="2">
        <v>8.080359847E9</v>
      </c>
      <c r="M806" s="12" t="s">
        <v>1559</v>
      </c>
    </row>
    <row r="807">
      <c r="A807" s="2" t="s">
        <v>1748</v>
      </c>
      <c r="H807" s="2" t="s">
        <v>3876</v>
      </c>
      <c r="I807" s="2" t="s">
        <v>2662</v>
      </c>
      <c r="J807" s="2" t="s">
        <v>3877</v>
      </c>
      <c r="K807" s="82" t="s">
        <v>3878</v>
      </c>
      <c r="L807" s="2">
        <v>8.080359847E9</v>
      </c>
      <c r="M807" s="12" t="s">
        <v>1749</v>
      </c>
    </row>
    <row r="808">
      <c r="A808" s="2" t="s">
        <v>950</v>
      </c>
      <c r="H808" s="2" t="s">
        <v>2593</v>
      </c>
      <c r="I808" s="2" t="s">
        <v>2536</v>
      </c>
      <c r="J808" s="2" t="s">
        <v>2600</v>
      </c>
      <c r="K808" s="82" t="s">
        <v>3879</v>
      </c>
      <c r="L808" s="2">
        <v>8.080359847E9</v>
      </c>
    </row>
    <row r="809">
      <c r="A809" s="2" t="s">
        <v>1684</v>
      </c>
      <c r="H809" s="2" t="s">
        <v>3880</v>
      </c>
      <c r="I809" s="2" t="s">
        <v>2463</v>
      </c>
      <c r="J809" s="2" t="s">
        <v>3881</v>
      </c>
      <c r="K809" s="82" t="s">
        <v>3882</v>
      </c>
      <c r="L809" s="2">
        <v>8.080359847E9</v>
      </c>
      <c r="M809" s="12" t="s">
        <v>1685</v>
      </c>
    </row>
    <row r="810">
      <c r="A810" s="2" t="s">
        <v>1739</v>
      </c>
      <c r="H810" s="2" t="s">
        <v>3883</v>
      </c>
      <c r="I810" s="2" t="s">
        <v>2474</v>
      </c>
      <c r="J810" s="2" t="s">
        <v>3884</v>
      </c>
      <c r="K810" s="82" t="s">
        <v>3885</v>
      </c>
      <c r="L810" s="2">
        <v>8.080359847E9</v>
      </c>
      <c r="M810" s="12" t="s">
        <v>1740</v>
      </c>
    </row>
    <row r="811">
      <c r="A811" s="2" t="s">
        <v>619</v>
      </c>
      <c r="H811" s="2" t="s">
        <v>3886</v>
      </c>
      <c r="I811" s="2" t="s">
        <v>2474</v>
      </c>
      <c r="J811" s="2" t="s">
        <v>2835</v>
      </c>
      <c r="K811" s="82" t="s">
        <v>3887</v>
      </c>
      <c r="L811" s="2" t="s">
        <v>3888</v>
      </c>
      <c r="M811" s="12" t="s">
        <v>1635</v>
      </c>
    </row>
    <row r="812">
      <c r="A812" s="2" t="s">
        <v>1696</v>
      </c>
      <c r="H812" s="2" t="s">
        <v>2641</v>
      </c>
      <c r="I812" s="2" t="s">
        <v>2558</v>
      </c>
      <c r="J812" s="2" t="s">
        <v>2642</v>
      </c>
      <c r="K812" s="82" t="s">
        <v>3889</v>
      </c>
      <c r="L812" s="2">
        <v>9.030991196E9</v>
      </c>
      <c r="M812" s="12" t="s">
        <v>1697</v>
      </c>
    </row>
    <row r="813">
      <c r="A813" s="2" t="s">
        <v>309</v>
      </c>
      <c r="H813" s="2" t="s">
        <v>2641</v>
      </c>
      <c r="I813" s="2" t="s">
        <v>2558</v>
      </c>
      <c r="J813" s="2" t="s">
        <v>2642</v>
      </c>
      <c r="K813" s="82" t="s">
        <v>3889</v>
      </c>
      <c r="L813" s="2">
        <v>9.030991196E9</v>
      </c>
    </row>
    <row r="814">
      <c r="A814" s="2" t="s">
        <v>1521</v>
      </c>
      <c r="H814" s="2" t="s">
        <v>2641</v>
      </c>
      <c r="I814" s="2" t="s">
        <v>2558</v>
      </c>
      <c r="J814" s="2" t="s">
        <v>2642</v>
      </c>
      <c r="K814" s="82" t="s">
        <v>3889</v>
      </c>
      <c r="L814" s="2">
        <v>9.030991196E9</v>
      </c>
    </row>
    <row r="815">
      <c r="A815" s="2" t="s">
        <v>1791</v>
      </c>
      <c r="H815" s="2" t="s">
        <v>3890</v>
      </c>
      <c r="I815" s="2" t="s">
        <v>2498</v>
      </c>
      <c r="J815" s="2" t="s">
        <v>3891</v>
      </c>
      <c r="K815" s="82" t="s">
        <v>3892</v>
      </c>
      <c r="L815" s="2">
        <v>9.030991196E9</v>
      </c>
      <c r="M815" s="12" t="s">
        <v>1792</v>
      </c>
    </row>
    <row r="816">
      <c r="A816" s="2" t="s">
        <v>720</v>
      </c>
      <c r="H816" s="2" t="s">
        <v>3286</v>
      </c>
      <c r="I816" s="2" t="s">
        <v>2459</v>
      </c>
      <c r="J816" s="2" t="s">
        <v>3287</v>
      </c>
      <c r="K816" s="82" t="s">
        <v>3288</v>
      </c>
      <c r="L816" s="2">
        <v>8.080359847E9</v>
      </c>
      <c r="M816" s="12" t="s">
        <v>1746</v>
      </c>
    </row>
    <row r="817">
      <c r="A817" s="2" t="s">
        <v>1251</v>
      </c>
      <c r="H817" s="2" t="s">
        <v>2641</v>
      </c>
      <c r="I817" s="2" t="s">
        <v>2558</v>
      </c>
      <c r="J817" s="2" t="s">
        <v>2642</v>
      </c>
      <c r="K817" s="82" t="s">
        <v>3431</v>
      </c>
      <c r="L817" s="2">
        <v>8.062528485E9</v>
      </c>
      <c r="M817" s="12" t="s">
        <v>1754</v>
      </c>
    </row>
    <row r="818">
      <c r="A818" s="2" t="s">
        <v>635</v>
      </c>
      <c r="H818" s="2" t="s">
        <v>3081</v>
      </c>
      <c r="I818" s="2" t="s">
        <v>2474</v>
      </c>
      <c r="J818" s="2" t="s">
        <v>3082</v>
      </c>
      <c r="K818" s="82" t="s">
        <v>3083</v>
      </c>
      <c r="L818" s="2">
        <v>8.080359847E9</v>
      </c>
      <c r="M818" s="12" t="s">
        <v>1998</v>
      </c>
    </row>
    <row r="819">
      <c r="A819" s="2" t="s">
        <v>50</v>
      </c>
      <c r="H819" s="2" t="s">
        <v>3435</v>
      </c>
      <c r="I819" s="2" t="s">
        <v>2518</v>
      </c>
      <c r="J819" s="2" t="s">
        <v>2519</v>
      </c>
      <c r="K819" s="82" t="s">
        <v>3436</v>
      </c>
      <c r="L819" s="2">
        <v>8.080359847E9</v>
      </c>
      <c r="M819" s="12" t="s">
        <v>1997</v>
      </c>
    </row>
    <row r="820">
      <c r="A820" s="2" t="s">
        <v>1679</v>
      </c>
      <c r="H820" s="2" t="s">
        <v>3893</v>
      </c>
      <c r="I820" s="2" t="s">
        <v>2623</v>
      </c>
      <c r="J820" s="2" t="s">
        <v>3894</v>
      </c>
      <c r="K820" s="82" t="s">
        <v>3895</v>
      </c>
      <c r="L820" s="2">
        <v>8.080359847E9</v>
      </c>
      <c r="M820" s="12" t="s">
        <v>1680</v>
      </c>
    </row>
    <row r="821">
      <c r="A821" s="2" t="s">
        <v>369</v>
      </c>
      <c r="H821" s="2" t="s">
        <v>2466</v>
      </c>
      <c r="I821" s="2" t="s">
        <v>2467</v>
      </c>
      <c r="J821" s="2" t="s">
        <v>2468</v>
      </c>
      <c r="K821" s="82" t="s">
        <v>3896</v>
      </c>
      <c r="L821" s="2">
        <v>8.080359847E9</v>
      </c>
      <c r="M821" s="12" t="s">
        <v>1030</v>
      </c>
    </row>
    <row r="822">
      <c r="A822" s="2" t="s">
        <v>166</v>
      </c>
      <c r="H822" s="2" t="s">
        <v>3897</v>
      </c>
      <c r="I822" s="2" t="s">
        <v>2474</v>
      </c>
      <c r="J822" s="2" t="s">
        <v>2702</v>
      </c>
      <c r="K822" s="82" t="s">
        <v>3898</v>
      </c>
      <c r="L822" s="2">
        <v>8.080359847E9</v>
      </c>
      <c r="M822" s="12" t="s">
        <v>1316</v>
      </c>
    </row>
    <row r="823">
      <c r="A823" s="2" t="s">
        <v>124</v>
      </c>
      <c r="H823" s="2" t="s">
        <v>3899</v>
      </c>
      <c r="I823" s="2" t="s">
        <v>2474</v>
      </c>
      <c r="J823" s="2" t="s">
        <v>3900</v>
      </c>
      <c r="K823" s="82" t="s">
        <v>3901</v>
      </c>
      <c r="L823" s="2">
        <v>8.080359847E9</v>
      </c>
      <c r="M823" s="12" t="s">
        <v>1180</v>
      </c>
    </row>
    <row r="824">
      <c r="A824" s="2" t="s">
        <v>1447</v>
      </c>
      <c r="H824" s="2" t="s">
        <v>3902</v>
      </c>
      <c r="I824" s="2" t="s">
        <v>2467</v>
      </c>
      <c r="J824" s="2" t="s">
        <v>2728</v>
      </c>
      <c r="K824" s="82" t="s">
        <v>3903</v>
      </c>
      <c r="L824" s="2">
        <v>8.080359847E9</v>
      </c>
      <c r="M824" s="12" t="s">
        <v>1448</v>
      </c>
    </row>
    <row r="825">
      <c r="A825" s="2" t="s">
        <v>1551</v>
      </c>
      <c r="H825" s="2" t="s">
        <v>3904</v>
      </c>
      <c r="I825" s="2" t="s">
        <v>3905</v>
      </c>
      <c r="J825" s="2" t="s">
        <v>3906</v>
      </c>
      <c r="K825" s="82" t="s">
        <v>3907</v>
      </c>
      <c r="L825" s="2">
        <v>8.080359847E9</v>
      </c>
      <c r="M825" s="12" t="s">
        <v>1552</v>
      </c>
    </row>
    <row r="826">
      <c r="A826" s="2" t="s">
        <v>1538</v>
      </c>
      <c r="H826" s="2" t="s">
        <v>3908</v>
      </c>
      <c r="I826" s="2" t="s">
        <v>2509</v>
      </c>
      <c r="J826" s="2" t="s">
        <v>3909</v>
      </c>
      <c r="K826" s="82" t="s">
        <v>3910</v>
      </c>
      <c r="L826" s="2">
        <v>8.010186789E9</v>
      </c>
    </row>
    <row r="827">
      <c r="A827" s="2" t="s">
        <v>1388</v>
      </c>
      <c r="H827" s="2" t="s">
        <v>3911</v>
      </c>
      <c r="I827" s="2" t="s">
        <v>2463</v>
      </c>
      <c r="J827" s="2" t="s">
        <v>3402</v>
      </c>
      <c r="K827" s="82" t="s">
        <v>3912</v>
      </c>
      <c r="L827" s="2">
        <v>8.080359847E9</v>
      </c>
      <c r="M827" s="12" t="s">
        <v>1389</v>
      </c>
    </row>
    <row r="828">
      <c r="A828" s="2" t="s">
        <v>1690</v>
      </c>
      <c r="H828" s="2" t="s">
        <v>3913</v>
      </c>
      <c r="I828" s="2" t="s">
        <v>2467</v>
      </c>
      <c r="J828" s="2" t="s">
        <v>3914</v>
      </c>
      <c r="K828" s="82" t="s">
        <v>3915</v>
      </c>
      <c r="L828" s="2">
        <v>8.080359847E9</v>
      </c>
      <c r="M828" s="12" t="s">
        <v>1691</v>
      </c>
    </row>
    <row r="829">
      <c r="A829" s="2" t="s">
        <v>197</v>
      </c>
      <c r="H829" s="2" t="s">
        <v>3916</v>
      </c>
      <c r="I829" s="2" t="s">
        <v>2509</v>
      </c>
      <c r="J829" s="2" t="s">
        <v>3917</v>
      </c>
      <c r="K829" s="82" t="s">
        <v>3918</v>
      </c>
      <c r="L829" s="2">
        <v>8.080359847E9</v>
      </c>
      <c r="M829" s="12" t="s">
        <v>1770</v>
      </c>
    </row>
    <row r="830">
      <c r="A830" s="2" t="s">
        <v>1641</v>
      </c>
      <c r="H830" s="2" t="s">
        <v>3919</v>
      </c>
      <c r="I830" s="2" t="s">
        <v>2474</v>
      </c>
      <c r="J830" s="2" t="s">
        <v>3920</v>
      </c>
      <c r="K830" s="82" t="s">
        <v>3921</v>
      </c>
      <c r="L830" s="2">
        <v>8.080359847E9</v>
      </c>
      <c r="M830" s="12" t="s">
        <v>1642</v>
      </c>
    </row>
    <row r="831">
      <c r="A831" s="2" t="s">
        <v>1610</v>
      </c>
      <c r="H831" s="2" t="s">
        <v>3922</v>
      </c>
      <c r="I831" s="2" t="s">
        <v>2463</v>
      </c>
      <c r="J831" s="2" t="s">
        <v>3923</v>
      </c>
      <c r="K831" s="82" t="s">
        <v>3924</v>
      </c>
      <c r="L831" s="2">
        <v>8.080359847E9</v>
      </c>
      <c r="M831" s="12" t="s">
        <v>1611</v>
      </c>
    </row>
    <row r="832">
      <c r="A832" s="2" t="s">
        <v>1764</v>
      </c>
      <c r="H832" s="2" t="s">
        <v>3925</v>
      </c>
      <c r="I832" s="2" t="s">
        <v>2532</v>
      </c>
      <c r="J832" s="2" t="s">
        <v>3926</v>
      </c>
      <c r="K832" s="82" t="s">
        <v>3927</v>
      </c>
      <c r="L832" s="2">
        <v>8.080359847E9</v>
      </c>
      <c r="M832" s="12" t="s">
        <v>1765</v>
      </c>
    </row>
    <row r="833">
      <c r="A833" s="2" t="s">
        <v>1327</v>
      </c>
      <c r="H833" s="2" t="s">
        <v>3928</v>
      </c>
      <c r="I833" s="2" t="s">
        <v>2459</v>
      </c>
      <c r="J833" s="2" t="s">
        <v>3929</v>
      </c>
      <c r="K833" s="82" t="s">
        <v>3930</v>
      </c>
      <c r="L833" s="2">
        <v>8.080359847E9</v>
      </c>
      <c r="M833" s="12" t="s">
        <v>1328</v>
      </c>
    </row>
    <row r="834">
      <c r="A834" s="2" t="s">
        <v>1789</v>
      </c>
      <c r="H834" s="2" t="s">
        <v>3931</v>
      </c>
      <c r="I834" s="2" t="s">
        <v>2459</v>
      </c>
      <c r="J834" s="2" t="s">
        <v>3038</v>
      </c>
      <c r="K834" s="82" t="s">
        <v>3932</v>
      </c>
      <c r="L834" s="2">
        <v>8.080359847E9</v>
      </c>
      <c r="M834" s="12" t="s">
        <v>1790</v>
      </c>
    </row>
    <row r="835">
      <c r="A835" s="2" t="s">
        <v>1484</v>
      </c>
      <c r="H835" s="2" t="s">
        <v>3933</v>
      </c>
      <c r="I835" s="2" t="s">
        <v>2558</v>
      </c>
      <c r="J835" s="2" t="s">
        <v>2602</v>
      </c>
      <c r="K835" s="82" t="s">
        <v>3934</v>
      </c>
      <c r="L835" s="2" t="s">
        <v>3935</v>
      </c>
      <c r="M835" s="12" t="s">
        <v>1485</v>
      </c>
    </row>
    <row r="836">
      <c r="A836" s="2" t="s">
        <v>189</v>
      </c>
      <c r="H836" s="2" t="s">
        <v>3936</v>
      </c>
      <c r="I836" s="2" t="s">
        <v>2478</v>
      </c>
      <c r="J836" s="2" t="s">
        <v>2489</v>
      </c>
      <c r="K836" s="82" t="s">
        <v>3937</v>
      </c>
      <c r="L836" s="2">
        <v>8.080359847E9</v>
      </c>
      <c r="M836" s="12" t="s">
        <v>1646</v>
      </c>
    </row>
    <row r="837">
      <c r="A837" s="2" t="s">
        <v>159</v>
      </c>
      <c r="H837" s="2" t="s">
        <v>3386</v>
      </c>
      <c r="I837" s="2" t="s">
        <v>2463</v>
      </c>
      <c r="J837" s="2" t="s">
        <v>3381</v>
      </c>
      <c r="K837" s="82" t="s">
        <v>3387</v>
      </c>
      <c r="L837" s="2">
        <v>8.080359847E9</v>
      </c>
      <c r="M837" s="12" t="s">
        <v>1751</v>
      </c>
    </row>
    <row r="838">
      <c r="A838" s="2" t="s">
        <v>1246</v>
      </c>
      <c r="H838" s="2" t="s">
        <v>3320</v>
      </c>
      <c r="I838" s="2" t="s">
        <v>2558</v>
      </c>
      <c r="J838" s="2" t="s">
        <v>3067</v>
      </c>
      <c r="K838" s="82" t="s">
        <v>3938</v>
      </c>
      <c r="L838" s="2">
        <v>8.080359847E9</v>
      </c>
      <c r="M838" s="12" t="s">
        <v>1247</v>
      </c>
    </row>
    <row r="839">
      <c r="A839" s="2" t="s">
        <v>738</v>
      </c>
      <c r="H839" s="2" t="s">
        <v>2952</v>
      </c>
      <c r="I839" s="2" t="s">
        <v>2467</v>
      </c>
      <c r="J839" s="2" t="s">
        <v>2953</v>
      </c>
      <c r="K839" s="82" t="s">
        <v>2954</v>
      </c>
      <c r="L839" s="2">
        <v>8.080359847E9</v>
      </c>
      <c r="M839" s="12" t="s">
        <v>1910</v>
      </c>
    </row>
    <row r="840">
      <c r="A840" s="2" t="s">
        <v>1632</v>
      </c>
      <c r="H840" s="2" t="s">
        <v>3939</v>
      </c>
      <c r="I840" s="2" t="s">
        <v>2474</v>
      </c>
      <c r="J840" s="2" t="s">
        <v>2702</v>
      </c>
      <c r="K840" s="82" t="s">
        <v>3940</v>
      </c>
      <c r="L840" s="2">
        <v>7.085558213E9</v>
      </c>
      <c r="M840" s="12" t="s">
        <v>1633</v>
      </c>
    </row>
    <row r="841">
      <c r="A841" s="2" t="s">
        <v>1735</v>
      </c>
      <c r="H841" s="2" t="s">
        <v>3410</v>
      </c>
      <c r="I841" s="2" t="s">
        <v>2474</v>
      </c>
      <c r="J841" s="2" t="s">
        <v>3411</v>
      </c>
      <c r="K841" s="82" t="s">
        <v>3941</v>
      </c>
      <c r="L841" s="2">
        <v>8.080359847E9</v>
      </c>
      <c r="M841" s="12" t="s">
        <v>1736</v>
      </c>
    </row>
    <row r="842">
      <c r="A842" s="2" t="s">
        <v>1775</v>
      </c>
      <c r="H842" s="2" t="s">
        <v>3942</v>
      </c>
      <c r="I842" s="2" t="s">
        <v>2463</v>
      </c>
      <c r="J842" s="2" t="s">
        <v>3943</v>
      </c>
      <c r="K842" s="82" t="s">
        <v>3944</v>
      </c>
      <c r="L842" s="2">
        <v>8.080359847E9</v>
      </c>
      <c r="M842" s="12" t="s">
        <v>1776</v>
      </c>
    </row>
    <row r="843">
      <c r="A843" s="2" t="s">
        <v>2017</v>
      </c>
      <c r="H843" s="2" t="s">
        <v>3945</v>
      </c>
      <c r="I843" s="2" t="s">
        <v>2474</v>
      </c>
      <c r="J843" s="2" t="s">
        <v>2569</v>
      </c>
      <c r="K843" s="82" t="s">
        <v>3946</v>
      </c>
      <c r="L843" s="2">
        <v>8.080359847E9</v>
      </c>
    </row>
    <row r="844">
      <c r="A844" s="2" t="s">
        <v>300</v>
      </c>
      <c r="H844" s="2" t="s">
        <v>3947</v>
      </c>
      <c r="I844" s="2" t="s">
        <v>2482</v>
      </c>
      <c r="J844" s="2" t="s">
        <v>2737</v>
      </c>
      <c r="K844" s="82" t="s">
        <v>3948</v>
      </c>
      <c r="L844" s="2">
        <v>8.080359847E9</v>
      </c>
      <c r="M844" s="12" t="s">
        <v>1414</v>
      </c>
    </row>
    <row r="845">
      <c r="A845" s="2" t="s">
        <v>932</v>
      </c>
      <c r="H845" s="2" t="s">
        <v>3949</v>
      </c>
      <c r="I845" s="2" t="s">
        <v>2463</v>
      </c>
      <c r="J845" s="2" t="s">
        <v>3269</v>
      </c>
      <c r="K845" s="82" t="s">
        <v>3950</v>
      </c>
      <c r="L845" s="2">
        <v>8.080359847E9</v>
      </c>
      <c r="M845" s="12" t="s">
        <v>933</v>
      </c>
    </row>
    <row r="846">
      <c r="A846" s="2" t="s">
        <v>813</v>
      </c>
      <c r="H846" s="2" t="s">
        <v>3659</v>
      </c>
      <c r="I846" s="2" t="s">
        <v>2482</v>
      </c>
      <c r="J846" s="2" t="s">
        <v>3616</v>
      </c>
      <c r="K846" s="82" t="s">
        <v>3660</v>
      </c>
      <c r="L846" s="2">
        <v>8.080359847E9</v>
      </c>
      <c r="M846" s="12" t="s">
        <v>2019</v>
      </c>
    </row>
    <row r="847">
      <c r="A847" s="2" t="s">
        <v>769</v>
      </c>
      <c r="H847" s="2" t="s">
        <v>3336</v>
      </c>
      <c r="I847" s="2" t="s">
        <v>2482</v>
      </c>
      <c r="J847" s="2" t="s">
        <v>2999</v>
      </c>
      <c r="K847" s="82" t="s">
        <v>3337</v>
      </c>
      <c r="L847" s="2">
        <v>8.080359847E9</v>
      </c>
      <c r="M847" s="12" t="s">
        <v>1793</v>
      </c>
    </row>
    <row r="848">
      <c r="A848" s="2" t="s">
        <v>707</v>
      </c>
      <c r="H848" s="2" t="s">
        <v>2817</v>
      </c>
      <c r="I848" s="2" t="s">
        <v>2536</v>
      </c>
      <c r="J848" s="2" t="s">
        <v>2818</v>
      </c>
      <c r="K848" s="82" t="s">
        <v>2819</v>
      </c>
      <c r="L848" s="2">
        <v>9.030991196E9</v>
      </c>
      <c r="M848" s="12" t="s">
        <v>1881</v>
      </c>
    </row>
    <row r="849">
      <c r="A849" s="2" t="s">
        <v>312</v>
      </c>
      <c r="H849" s="2" t="s">
        <v>2817</v>
      </c>
      <c r="I849" s="2" t="s">
        <v>2536</v>
      </c>
      <c r="J849" s="2" t="s">
        <v>2818</v>
      </c>
      <c r="K849" s="82" t="s">
        <v>2819</v>
      </c>
      <c r="L849" s="2">
        <v>9.030991196E9</v>
      </c>
      <c r="M849" s="12" t="s">
        <v>2113</v>
      </c>
    </row>
    <row r="850">
      <c r="A850" s="2" t="s">
        <v>207</v>
      </c>
      <c r="H850" s="2" t="s">
        <v>2653</v>
      </c>
      <c r="I850" s="2" t="s">
        <v>2654</v>
      </c>
      <c r="J850" s="2" t="s">
        <v>2655</v>
      </c>
      <c r="K850" s="82" t="s">
        <v>2656</v>
      </c>
      <c r="L850" s="2">
        <v>8.080359847E9</v>
      </c>
      <c r="M850" s="12" t="s">
        <v>2022</v>
      </c>
    </row>
    <row r="851">
      <c r="A851" s="2" t="s">
        <v>1630</v>
      </c>
      <c r="H851" s="2" t="s">
        <v>3951</v>
      </c>
      <c r="I851" s="2" t="s">
        <v>2536</v>
      </c>
      <c r="J851" s="2" t="s">
        <v>3952</v>
      </c>
      <c r="K851" s="82" t="s">
        <v>3953</v>
      </c>
      <c r="L851" s="2">
        <v>8.080359847E9</v>
      </c>
      <c r="M851" s="12" t="s">
        <v>1631</v>
      </c>
    </row>
    <row r="852">
      <c r="A852" s="2" t="s">
        <v>398</v>
      </c>
      <c r="H852" s="2" t="s">
        <v>3435</v>
      </c>
      <c r="I852" s="2" t="s">
        <v>2518</v>
      </c>
      <c r="J852" s="2" t="s">
        <v>2519</v>
      </c>
      <c r="K852" s="82" t="s">
        <v>3954</v>
      </c>
      <c r="L852" s="2">
        <v>9.080359847E9</v>
      </c>
      <c r="M852" s="12" t="s">
        <v>797</v>
      </c>
    </row>
    <row r="853">
      <c r="A853" s="2" t="s">
        <v>1564</v>
      </c>
      <c r="H853" s="2" t="s">
        <v>3955</v>
      </c>
      <c r="I853" s="2" t="s">
        <v>2543</v>
      </c>
      <c r="J853" s="2" t="s">
        <v>3519</v>
      </c>
      <c r="K853" s="82" t="s">
        <v>3956</v>
      </c>
      <c r="L853" s="2">
        <v>8.080359847E9</v>
      </c>
      <c r="M853" s="12" t="s">
        <v>1565</v>
      </c>
    </row>
    <row r="854">
      <c r="A854" s="2" t="s">
        <v>1618</v>
      </c>
      <c r="H854" s="2" t="s">
        <v>3957</v>
      </c>
      <c r="I854" s="2" t="s">
        <v>2558</v>
      </c>
      <c r="J854" s="2" t="s">
        <v>3607</v>
      </c>
      <c r="K854" s="82" t="s">
        <v>3958</v>
      </c>
      <c r="L854" s="2">
        <v>8.080359847E9</v>
      </c>
      <c r="M854" s="12" t="s">
        <v>1621</v>
      </c>
    </row>
    <row r="855">
      <c r="A855" s="2" t="s">
        <v>1253</v>
      </c>
      <c r="H855" s="2" t="s">
        <v>3432</v>
      </c>
      <c r="I855" s="2" t="s">
        <v>2478</v>
      </c>
      <c r="J855" s="2" t="s">
        <v>3433</v>
      </c>
      <c r="K855" s="82" t="s">
        <v>3434</v>
      </c>
      <c r="L855" s="2">
        <v>8.080359847E9</v>
      </c>
      <c r="M855" s="12" t="s">
        <v>1654</v>
      </c>
    </row>
    <row r="856">
      <c r="A856" s="2" t="s">
        <v>35</v>
      </c>
      <c r="H856" s="2" t="s">
        <v>3314</v>
      </c>
      <c r="I856" s="2" t="s">
        <v>2467</v>
      </c>
      <c r="J856" s="2" t="s">
        <v>3315</v>
      </c>
      <c r="K856" s="82" t="s">
        <v>3959</v>
      </c>
      <c r="L856" s="2">
        <v>8.080359847E9</v>
      </c>
      <c r="M856" s="12" t="s">
        <v>1744</v>
      </c>
    </row>
    <row r="857">
      <c r="A857" s="2" t="s">
        <v>1720</v>
      </c>
      <c r="H857" s="2" t="s">
        <v>3960</v>
      </c>
      <c r="I857" s="2" t="s">
        <v>2467</v>
      </c>
      <c r="J857" s="2" t="s">
        <v>3961</v>
      </c>
      <c r="K857" s="82" t="s">
        <v>3962</v>
      </c>
      <c r="L857" s="2">
        <v>8.080359847E9</v>
      </c>
      <c r="M857" s="12" t="s">
        <v>1721</v>
      </c>
    </row>
    <row r="858">
      <c r="A858" s="2" t="s">
        <v>1399</v>
      </c>
      <c r="H858" s="2" t="s">
        <v>3963</v>
      </c>
      <c r="I858" s="2" t="s">
        <v>2498</v>
      </c>
      <c r="J858" s="2" t="s">
        <v>3549</v>
      </c>
      <c r="K858" s="82" t="s">
        <v>3964</v>
      </c>
      <c r="L858" s="2">
        <v>8.080359847E9</v>
      </c>
      <c r="M858" s="12" t="s">
        <v>1400</v>
      </c>
    </row>
    <row r="859">
      <c r="A859" s="2" t="s">
        <v>3965</v>
      </c>
      <c r="H859" s="2" t="s">
        <v>3966</v>
      </c>
      <c r="I859" s="2" t="s">
        <v>2463</v>
      </c>
      <c r="J859" s="2" t="s">
        <v>3967</v>
      </c>
      <c r="K859" s="82" t="s">
        <v>3968</v>
      </c>
      <c r="L859" s="2">
        <v>8.080359847E9</v>
      </c>
      <c r="M859" s="12" t="s">
        <v>1822</v>
      </c>
    </row>
    <row r="860">
      <c r="A860" s="2" t="s">
        <v>190</v>
      </c>
      <c r="H860" s="2" t="s">
        <v>3782</v>
      </c>
      <c r="I860" s="2" t="s">
        <v>2474</v>
      </c>
      <c r="J860" s="2" t="s">
        <v>2832</v>
      </c>
      <c r="K860" s="82" t="s">
        <v>3783</v>
      </c>
      <c r="L860" s="2">
        <v>8.080359847E9</v>
      </c>
      <c r="M860" s="12" t="s">
        <v>2134</v>
      </c>
    </row>
    <row r="861">
      <c r="A861" s="2" t="s">
        <v>142</v>
      </c>
      <c r="H861" s="2" t="s">
        <v>2612</v>
      </c>
      <c r="I861" s="2" t="s">
        <v>2459</v>
      </c>
      <c r="J861" s="2" t="s">
        <v>2613</v>
      </c>
      <c r="K861" s="82" t="s">
        <v>2614</v>
      </c>
      <c r="L861" s="2">
        <v>8.057000836E9</v>
      </c>
      <c r="M861" s="12" t="s">
        <v>1902</v>
      </c>
    </row>
    <row r="862">
      <c r="A862" s="2" t="s">
        <v>25</v>
      </c>
      <c r="H862" s="2" t="s">
        <v>3969</v>
      </c>
      <c r="I862" s="2" t="s">
        <v>2474</v>
      </c>
      <c r="J862" s="2" t="s">
        <v>3970</v>
      </c>
      <c r="K862" s="82" t="s">
        <v>3971</v>
      </c>
      <c r="L862" s="2">
        <v>8.080359847E9</v>
      </c>
      <c r="M862" s="12" t="s">
        <v>1228</v>
      </c>
    </row>
    <row r="863">
      <c r="A863" s="2" t="s">
        <v>2135</v>
      </c>
      <c r="H863" s="2" t="s">
        <v>3972</v>
      </c>
      <c r="I863" s="2" t="s">
        <v>2543</v>
      </c>
      <c r="J863" s="2" t="s">
        <v>2544</v>
      </c>
      <c r="K863" s="82" t="s">
        <v>3973</v>
      </c>
      <c r="L863" s="2" t="s">
        <v>3974</v>
      </c>
      <c r="M863" s="12" t="s">
        <v>2136</v>
      </c>
    </row>
    <row r="864">
      <c r="A864" s="2" t="s">
        <v>1479</v>
      </c>
      <c r="H864" s="2" t="s">
        <v>3975</v>
      </c>
      <c r="I864" s="2" t="s">
        <v>2907</v>
      </c>
      <c r="J864" s="2" t="s">
        <v>3497</v>
      </c>
      <c r="K864" s="82" t="s">
        <v>3976</v>
      </c>
      <c r="L864" s="2">
        <v>8.080359847E9</v>
      </c>
      <c r="M864" s="12" t="s">
        <v>1480</v>
      </c>
    </row>
    <row r="865">
      <c r="A865" s="2" t="s">
        <v>1628</v>
      </c>
      <c r="H865" s="2" t="s">
        <v>3977</v>
      </c>
      <c r="I865" s="2" t="s">
        <v>2478</v>
      </c>
      <c r="J865" s="2" t="s">
        <v>2784</v>
      </c>
      <c r="K865" s="82" t="s">
        <v>3978</v>
      </c>
      <c r="L865" s="2">
        <v>8.080359847E9</v>
      </c>
      <c r="M865" s="12" t="s">
        <v>1629</v>
      </c>
    </row>
    <row r="866">
      <c r="A866" s="2" t="s">
        <v>1045</v>
      </c>
      <c r="H866" s="2" t="s">
        <v>3979</v>
      </c>
      <c r="I866" s="2" t="s">
        <v>2478</v>
      </c>
      <c r="J866" s="2" t="s">
        <v>3980</v>
      </c>
      <c r="K866" s="82" t="s">
        <v>3981</v>
      </c>
      <c r="L866" s="2">
        <v>8.080359847E9</v>
      </c>
      <c r="M866" s="12" t="s">
        <v>1711</v>
      </c>
    </row>
    <row r="867">
      <c r="A867" s="2" t="s">
        <v>1773</v>
      </c>
      <c r="H867" s="2" t="s">
        <v>3982</v>
      </c>
      <c r="I867" s="2" t="s">
        <v>3479</v>
      </c>
      <c r="J867" s="2" t="s">
        <v>3983</v>
      </c>
      <c r="K867" s="82" t="s">
        <v>3984</v>
      </c>
      <c r="L867" s="2">
        <v>8.080359847E9</v>
      </c>
      <c r="M867" s="12" t="s">
        <v>1774</v>
      </c>
    </row>
    <row r="868">
      <c r="A868" s="2" t="s">
        <v>1810</v>
      </c>
      <c r="H868" s="2" t="s">
        <v>3985</v>
      </c>
      <c r="I868" s="2" t="s">
        <v>2509</v>
      </c>
      <c r="J868" s="2" t="s">
        <v>2588</v>
      </c>
      <c r="K868" s="82" t="s">
        <v>3986</v>
      </c>
      <c r="L868" s="2">
        <v>8.080359847E9</v>
      </c>
      <c r="M868" s="12" t="s">
        <v>1811</v>
      </c>
    </row>
    <row r="869">
      <c r="A869" s="2" t="s">
        <v>1818</v>
      </c>
      <c r="H869" s="2" t="s">
        <v>3987</v>
      </c>
      <c r="I869" s="2" t="s">
        <v>2547</v>
      </c>
      <c r="J869" s="2" t="s">
        <v>3988</v>
      </c>
      <c r="K869" s="82" t="s">
        <v>3989</v>
      </c>
      <c r="L869" s="2">
        <v>8.080359847E9</v>
      </c>
      <c r="M869" s="12" t="s">
        <v>1819</v>
      </c>
    </row>
    <row r="870">
      <c r="A870" s="2" t="s">
        <v>1825</v>
      </c>
      <c r="H870" s="2" t="s">
        <v>3990</v>
      </c>
      <c r="I870" s="2" t="s">
        <v>2478</v>
      </c>
      <c r="J870" s="2" t="s">
        <v>3991</v>
      </c>
      <c r="K870" s="82" t="s">
        <v>3992</v>
      </c>
      <c r="L870" s="2">
        <v>8.080359847E9</v>
      </c>
      <c r="M870" s="12" t="s">
        <v>1826</v>
      </c>
    </row>
    <row r="871">
      <c r="A871" s="2" t="s">
        <v>1834</v>
      </c>
      <c r="H871" s="2" t="s">
        <v>3993</v>
      </c>
      <c r="I871" s="2" t="s">
        <v>2467</v>
      </c>
      <c r="J871" s="2" t="s">
        <v>2471</v>
      </c>
      <c r="K871" s="82" t="s">
        <v>3994</v>
      </c>
      <c r="L871" s="2">
        <v>8.080359847E9</v>
      </c>
      <c r="M871" s="12" t="s">
        <v>1835</v>
      </c>
    </row>
    <row r="872">
      <c r="A872" s="2" t="s">
        <v>1838</v>
      </c>
      <c r="H872" s="2" t="s">
        <v>3995</v>
      </c>
      <c r="I872" s="2" t="s">
        <v>2543</v>
      </c>
      <c r="J872" s="2" t="s">
        <v>3839</v>
      </c>
      <c r="K872" s="82" t="s">
        <v>3996</v>
      </c>
      <c r="L872" s="2">
        <v>8.080359847E9</v>
      </c>
      <c r="M872" s="12" t="s">
        <v>1839</v>
      </c>
    </row>
    <row r="873">
      <c r="A873" s="2" t="s">
        <v>2133</v>
      </c>
      <c r="H873" s="2" t="s">
        <v>3997</v>
      </c>
      <c r="I873" s="2" t="s">
        <v>2547</v>
      </c>
      <c r="J873" s="2" t="s">
        <v>3110</v>
      </c>
      <c r="K873" s="82" t="s">
        <v>3998</v>
      </c>
      <c r="L873" s="2">
        <v>8.080359847E9</v>
      </c>
      <c r="M873" s="12" t="s">
        <v>2258</v>
      </c>
    </row>
    <row r="874">
      <c r="A874" s="2" t="s">
        <v>2183</v>
      </c>
      <c r="H874" s="2" t="s">
        <v>3999</v>
      </c>
      <c r="I874" s="2" t="s">
        <v>2498</v>
      </c>
      <c r="J874" s="2" t="s">
        <v>4000</v>
      </c>
      <c r="K874" s="82" t="s">
        <v>4001</v>
      </c>
      <c r="L874" s="2">
        <v>8.080359847E9</v>
      </c>
      <c r="M874" s="12" t="s">
        <v>2184</v>
      </c>
    </row>
    <row r="875">
      <c r="A875" s="2" t="s">
        <v>134</v>
      </c>
      <c r="H875" s="2" t="s">
        <v>4002</v>
      </c>
      <c r="I875" s="2" t="s">
        <v>2467</v>
      </c>
      <c r="J875" s="2" t="s">
        <v>4003</v>
      </c>
      <c r="K875" s="82" t="s">
        <v>4004</v>
      </c>
      <c r="L875" s="2">
        <v>8.080359847E9</v>
      </c>
      <c r="M875" s="12" t="s">
        <v>2203</v>
      </c>
    </row>
    <row r="876">
      <c r="A876" s="2" t="s">
        <v>1786</v>
      </c>
      <c r="H876" s="2" t="s">
        <v>4005</v>
      </c>
      <c r="I876" s="2" t="s">
        <v>2467</v>
      </c>
      <c r="J876" s="2" t="s">
        <v>2471</v>
      </c>
      <c r="K876" s="82" t="s">
        <v>4006</v>
      </c>
      <c r="L876" s="2">
        <v>8.080359847E9</v>
      </c>
      <c r="M876" s="12" t="s">
        <v>1787</v>
      </c>
    </row>
    <row r="877">
      <c r="A877" s="2" t="s">
        <v>2132</v>
      </c>
      <c r="H877" s="2" t="s">
        <v>4007</v>
      </c>
      <c r="I877" s="2" t="s">
        <v>2478</v>
      </c>
      <c r="J877" s="2" t="s">
        <v>3122</v>
      </c>
      <c r="K877" s="82" t="s">
        <v>4008</v>
      </c>
      <c r="L877" s="2">
        <v>7.085466037E9</v>
      </c>
    </row>
    <row r="878">
      <c r="A878" s="2" t="s">
        <v>150</v>
      </c>
      <c r="H878" s="2" t="s">
        <v>4009</v>
      </c>
      <c r="I878" s="2" t="s">
        <v>2558</v>
      </c>
      <c r="J878" s="2" t="s">
        <v>3021</v>
      </c>
      <c r="K878" s="82" t="s">
        <v>4010</v>
      </c>
      <c r="L878" s="2">
        <v>9.088663979E9</v>
      </c>
      <c r="M878" s="12" t="s">
        <v>2189</v>
      </c>
    </row>
    <row r="879">
      <c r="A879" s="2" t="s">
        <v>851</v>
      </c>
      <c r="H879" s="2" t="s">
        <v>2641</v>
      </c>
      <c r="I879" s="2" t="s">
        <v>2558</v>
      </c>
      <c r="J879" s="2" t="s">
        <v>2642</v>
      </c>
      <c r="K879" s="82" t="s">
        <v>3040</v>
      </c>
      <c r="L879" s="2">
        <v>8.080359847E9</v>
      </c>
      <c r="M879" s="12" t="s">
        <v>2190</v>
      </c>
    </row>
    <row r="880">
      <c r="A880" s="2" t="s">
        <v>1191</v>
      </c>
      <c r="H880" s="2" t="s">
        <v>4011</v>
      </c>
      <c r="I880" s="2" t="s">
        <v>3137</v>
      </c>
      <c r="J880" s="2" t="s">
        <v>4012</v>
      </c>
      <c r="K880" s="82" t="s">
        <v>4013</v>
      </c>
      <c r="L880" s="2">
        <v>8.080359847E9</v>
      </c>
      <c r="M880" s="12" t="s">
        <v>1192</v>
      </c>
    </row>
    <row r="881">
      <c r="A881" s="2" t="s">
        <v>1340</v>
      </c>
      <c r="H881" s="2" t="s">
        <v>4014</v>
      </c>
      <c r="I881" s="2" t="s">
        <v>2463</v>
      </c>
      <c r="J881" s="2" t="s">
        <v>3269</v>
      </c>
      <c r="K881" s="82" t="s">
        <v>4015</v>
      </c>
      <c r="L881" s="2">
        <v>8.080359847E9</v>
      </c>
      <c r="M881" s="12" t="s">
        <v>1341</v>
      </c>
    </row>
    <row r="882">
      <c r="A882" s="2" t="s">
        <v>1596</v>
      </c>
      <c r="H882" s="2" t="s">
        <v>4016</v>
      </c>
      <c r="I882" s="2" t="s">
        <v>2482</v>
      </c>
      <c r="J882" s="2" t="s">
        <v>2790</v>
      </c>
      <c r="K882" s="82" t="s">
        <v>4017</v>
      </c>
      <c r="L882" s="2">
        <v>8.079581302E9</v>
      </c>
      <c r="M882" s="12" t="s">
        <v>1597</v>
      </c>
    </row>
    <row r="883">
      <c r="A883" s="2" t="s">
        <v>1840</v>
      </c>
      <c r="H883" s="2" t="s">
        <v>4018</v>
      </c>
      <c r="I883" s="2" t="s">
        <v>2558</v>
      </c>
      <c r="J883" s="2" t="s">
        <v>3687</v>
      </c>
      <c r="K883" s="82" t="s">
        <v>4019</v>
      </c>
      <c r="L883" s="2">
        <v>7.090842082E9</v>
      </c>
      <c r="M883" s="12" t="s">
        <v>1841</v>
      </c>
    </row>
    <row r="884">
      <c r="A884" s="2" t="s">
        <v>178</v>
      </c>
      <c r="H884" s="2" t="s">
        <v>4020</v>
      </c>
      <c r="I884" s="2" t="s">
        <v>2558</v>
      </c>
      <c r="J884" s="2" t="s">
        <v>3150</v>
      </c>
      <c r="K884" s="82" t="s">
        <v>4021</v>
      </c>
      <c r="L884" s="2">
        <v>8.080359847E9</v>
      </c>
      <c r="M884" s="12" t="s">
        <v>2191</v>
      </c>
    </row>
    <row r="885">
      <c r="A885" s="2" t="s">
        <v>2206</v>
      </c>
      <c r="H885" s="2" t="s">
        <v>4022</v>
      </c>
      <c r="I885" s="2" t="s">
        <v>2478</v>
      </c>
      <c r="J885" s="2" t="s">
        <v>3122</v>
      </c>
      <c r="K885" s="82" t="s">
        <v>4023</v>
      </c>
      <c r="L885" s="2">
        <v>8.030039859E9</v>
      </c>
    </row>
    <row r="886">
      <c r="A886" s="2" t="s">
        <v>2209</v>
      </c>
      <c r="H886" s="2" t="s">
        <v>2494</v>
      </c>
      <c r="I886" s="2" t="s">
        <v>2482</v>
      </c>
      <c r="J886" s="2" t="s">
        <v>2495</v>
      </c>
      <c r="K886" s="82" t="s">
        <v>2496</v>
      </c>
      <c r="L886" s="2">
        <v>8.080359847E9</v>
      </c>
      <c r="M886" s="12" t="s">
        <v>2234</v>
      </c>
    </row>
    <row r="887">
      <c r="A887" s="2" t="s">
        <v>208</v>
      </c>
      <c r="H887" s="2" t="s">
        <v>2593</v>
      </c>
      <c r="I887" s="2" t="s">
        <v>2536</v>
      </c>
      <c r="J887" s="2" t="s">
        <v>2600</v>
      </c>
      <c r="K887" s="82" t="s">
        <v>4024</v>
      </c>
      <c r="L887" s="2">
        <v>9.091973112E9</v>
      </c>
    </row>
    <row r="888">
      <c r="A888" s="2" t="s">
        <v>1456</v>
      </c>
      <c r="H888" s="2" t="s">
        <v>4025</v>
      </c>
      <c r="I888" s="2" t="s">
        <v>2463</v>
      </c>
      <c r="J888" s="2" t="s">
        <v>3119</v>
      </c>
      <c r="K888" s="82" t="s">
        <v>4026</v>
      </c>
      <c r="L888" s="2">
        <v>8.080359847E9</v>
      </c>
      <c r="M888" s="12" t="s">
        <v>1457</v>
      </c>
    </row>
    <row r="889">
      <c r="A889" s="2" t="s">
        <v>1804</v>
      </c>
      <c r="H889" s="2" t="s">
        <v>4027</v>
      </c>
      <c r="I889" s="2" t="s">
        <v>2478</v>
      </c>
      <c r="J889" s="2" t="s">
        <v>3122</v>
      </c>
      <c r="K889" s="82" t="s">
        <v>4028</v>
      </c>
      <c r="L889" s="2">
        <v>8.080359847E9</v>
      </c>
      <c r="M889" s="12" t="s">
        <v>1805</v>
      </c>
    </row>
    <row r="890">
      <c r="A890" s="2" t="s">
        <v>1814</v>
      </c>
      <c r="H890" s="2" t="s">
        <v>4029</v>
      </c>
      <c r="I890" s="2" t="s">
        <v>2474</v>
      </c>
      <c r="J890" s="2" t="s">
        <v>3082</v>
      </c>
      <c r="K890" s="82" t="s">
        <v>4030</v>
      </c>
      <c r="L890" s="2" t="s">
        <v>4031</v>
      </c>
      <c r="M890" s="12" t="s">
        <v>1815</v>
      </c>
    </row>
    <row r="891">
      <c r="A891" s="2" t="s">
        <v>177</v>
      </c>
      <c r="H891" s="2" t="s">
        <v>4032</v>
      </c>
      <c r="I891" s="2" t="s">
        <v>2498</v>
      </c>
      <c r="J891" s="2" t="s">
        <v>3690</v>
      </c>
      <c r="K891" s="82" t="s">
        <v>4033</v>
      </c>
      <c r="L891" s="2">
        <v>8.080359847E9</v>
      </c>
      <c r="M891" s="12" t="s">
        <v>1433</v>
      </c>
    </row>
    <row r="892">
      <c r="A892" s="2" t="s">
        <v>288</v>
      </c>
      <c r="H892" s="2" t="s">
        <v>2604</v>
      </c>
      <c r="I892" s="2" t="s">
        <v>2478</v>
      </c>
      <c r="J892" s="2" t="s">
        <v>2605</v>
      </c>
      <c r="K892" s="82" t="s">
        <v>2606</v>
      </c>
      <c r="L892" s="2" t="s">
        <v>2607</v>
      </c>
      <c r="M892" s="12" t="s">
        <v>1920</v>
      </c>
    </row>
    <row r="893">
      <c r="A893" s="2" t="s">
        <v>941</v>
      </c>
      <c r="H893" s="2" t="s">
        <v>3845</v>
      </c>
      <c r="I893" s="2" t="s">
        <v>2558</v>
      </c>
      <c r="J893" s="2" t="s">
        <v>3846</v>
      </c>
      <c r="K893" s="82" t="s">
        <v>3847</v>
      </c>
      <c r="L893" s="2">
        <v>8.080359847E9</v>
      </c>
      <c r="M893" s="12" t="s">
        <v>2028</v>
      </c>
    </row>
    <row r="894">
      <c r="A894" s="2" t="s">
        <v>1162</v>
      </c>
      <c r="H894" s="2" t="s">
        <v>2574</v>
      </c>
      <c r="I894" s="2" t="s">
        <v>2558</v>
      </c>
      <c r="J894" s="2" t="s">
        <v>2575</v>
      </c>
      <c r="K894" s="82" t="s">
        <v>3243</v>
      </c>
      <c r="L894" s="2">
        <v>8.080359847E9</v>
      </c>
      <c r="M894" s="12" t="s">
        <v>2247</v>
      </c>
    </row>
    <row r="895">
      <c r="A895" s="2" t="s">
        <v>1138</v>
      </c>
      <c r="H895" s="2" t="s">
        <v>2641</v>
      </c>
      <c r="I895" s="2" t="s">
        <v>2558</v>
      </c>
      <c r="J895" s="2" t="s">
        <v>2642</v>
      </c>
      <c r="K895" s="82" t="s">
        <v>3831</v>
      </c>
      <c r="L895" s="2" t="s">
        <v>3832</v>
      </c>
      <c r="M895" s="12" t="s">
        <v>1963</v>
      </c>
    </row>
    <row r="896">
      <c r="A896" s="2" t="s">
        <v>832</v>
      </c>
      <c r="H896" s="2" t="s">
        <v>3278</v>
      </c>
      <c r="I896" s="2" t="s">
        <v>2478</v>
      </c>
      <c r="J896" s="2" t="s">
        <v>2492</v>
      </c>
      <c r="K896" s="82" t="s">
        <v>3279</v>
      </c>
      <c r="L896" s="2">
        <v>8.080359847E9</v>
      </c>
      <c r="M896" s="12" t="s">
        <v>1777</v>
      </c>
    </row>
    <row r="897">
      <c r="A897" s="2" t="s">
        <v>127</v>
      </c>
      <c r="H897" s="2" t="s">
        <v>3696</v>
      </c>
      <c r="I897" s="2" t="s">
        <v>2532</v>
      </c>
      <c r="J897" s="2" t="s">
        <v>3697</v>
      </c>
      <c r="K897" s="82" t="s">
        <v>3698</v>
      </c>
      <c r="L897" s="2">
        <v>8.080359847E9</v>
      </c>
      <c r="M897" s="12" t="s">
        <v>1969</v>
      </c>
    </row>
    <row r="898">
      <c r="A898" s="2" t="s">
        <v>451</v>
      </c>
      <c r="H898" s="2" t="s">
        <v>2761</v>
      </c>
      <c r="I898" s="2" t="s">
        <v>2478</v>
      </c>
      <c r="J898" s="2" t="s">
        <v>2668</v>
      </c>
      <c r="K898" s="82" t="s">
        <v>2762</v>
      </c>
      <c r="L898" s="2">
        <v>8.080359847E9</v>
      </c>
      <c r="M898" s="12" t="s">
        <v>1722</v>
      </c>
    </row>
    <row r="899">
      <c r="A899" s="2" t="s">
        <v>849</v>
      </c>
      <c r="H899" s="2" t="s">
        <v>3537</v>
      </c>
      <c r="I899" s="2" t="s">
        <v>2478</v>
      </c>
      <c r="J899" s="2" t="s">
        <v>2784</v>
      </c>
      <c r="K899" s="82" t="s">
        <v>3538</v>
      </c>
      <c r="L899" s="2">
        <v>8.080359847E9</v>
      </c>
      <c r="M899" s="12" t="s">
        <v>2246</v>
      </c>
    </row>
    <row r="900">
      <c r="A900" s="2" t="s">
        <v>1390</v>
      </c>
      <c r="H900" s="2" t="s">
        <v>4034</v>
      </c>
      <c r="I900" s="2" t="s">
        <v>2498</v>
      </c>
      <c r="J900" s="2" t="s">
        <v>4000</v>
      </c>
      <c r="K900" s="82" t="s">
        <v>4035</v>
      </c>
      <c r="L900" s="2">
        <v>7.084923689E9</v>
      </c>
      <c r="M900" s="12" t="s">
        <v>1391</v>
      </c>
    </row>
    <row r="901">
      <c r="A901" s="2" t="s">
        <v>1151</v>
      </c>
      <c r="H901" s="2" t="s">
        <v>4036</v>
      </c>
      <c r="I901" s="2" t="s">
        <v>2769</v>
      </c>
      <c r="J901" s="2" t="s">
        <v>3795</v>
      </c>
      <c r="K901" s="82" t="s">
        <v>4037</v>
      </c>
      <c r="L901" s="2">
        <v>8.080359847E9</v>
      </c>
      <c r="M901" s="12" t="s">
        <v>1153</v>
      </c>
    </row>
    <row r="902">
      <c r="A902" s="2" t="s">
        <v>1131</v>
      </c>
      <c r="H902" s="2" t="s">
        <v>4038</v>
      </c>
      <c r="I902" s="2" t="s">
        <v>2459</v>
      </c>
      <c r="J902" s="2" t="s">
        <v>4039</v>
      </c>
      <c r="K902" s="82" t="s">
        <v>4040</v>
      </c>
      <c r="L902" s="2" t="s">
        <v>4041</v>
      </c>
      <c r="M902" s="12" t="s">
        <v>1802</v>
      </c>
    </row>
    <row r="903">
      <c r="A903" s="2" t="s">
        <v>1283</v>
      </c>
      <c r="H903" s="2" t="s">
        <v>3063</v>
      </c>
      <c r="I903" s="2" t="s">
        <v>2482</v>
      </c>
      <c r="J903" s="2" t="s">
        <v>3064</v>
      </c>
      <c r="K903" s="82" t="s">
        <v>3065</v>
      </c>
      <c r="L903" s="2">
        <v>9.061148681E9</v>
      </c>
      <c r="M903" s="12" t="s">
        <v>1284</v>
      </c>
    </row>
    <row r="904">
      <c r="A904" s="2" t="s">
        <v>1268</v>
      </c>
      <c r="H904" s="2" t="s">
        <v>3432</v>
      </c>
      <c r="I904" s="2" t="s">
        <v>2478</v>
      </c>
      <c r="J904" s="2" t="s">
        <v>3433</v>
      </c>
      <c r="K904" s="82" t="s">
        <v>4042</v>
      </c>
      <c r="L904" s="2">
        <v>8.080359847E9</v>
      </c>
      <c r="M904" s="12" t="s">
        <v>1269</v>
      </c>
    </row>
    <row r="905">
      <c r="A905" s="2" t="s">
        <v>2178</v>
      </c>
      <c r="H905" s="2" t="s">
        <v>4043</v>
      </c>
      <c r="I905" s="2" t="s">
        <v>2459</v>
      </c>
      <c r="J905" s="2" t="s">
        <v>4044</v>
      </c>
      <c r="K905" s="82" t="s">
        <v>4045</v>
      </c>
      <c r="L905" s="2">
        <v>8.080359847E9</v>
      </c>
      <c r="M905" s="12" t="s">
        <v>2179</v>
      </c>
    </row>
    <row r="906">
      <c r="A906" s="2" t="s">
        <v>1752</v>
      </c>
      <c r="H906" s="2" t="s">
        <v>4046</v>
      </c>
      <c r="I906" s="2" t="s">
        <v>2478</v>
      </c>
      <c r="J906" s="2" t="s">
        <v>3281</v>
      </c>
      <c r="K906" s="82" t="s">
        <v>4047</v>
      </c>
      <c r="L906" s="2">
        <v>8.080359847E9</v>
      </c>
      <c r="M906" s="12" t="s">
        <v>1753</v>
      </c>
    </row>
    <row r="907">
      <c r="A907" s="2" t="s">
        <v>1856</v>
      </c>
      <c r="H907" s="2" t="s">
        <v>4048</v>
      </c>
      <c r="I907" s="2" t="s">
        <v>2558</v>
      </c>
      <c r="J907" s="2" t="s">
        <v>3471</v>
      </c>
      <c r="K907" s="82" t="s">
        <v>4049</v>
      </c>
      <c r="L907" s="2">
        <v>8.080359847E9</v>
      </c>
      <c r="M907" s="12" t="s">
        <v>1857</v>
      </c>
    </row>
    <row r="908">
      <c r="A908" s="2" t="s">
        <v>1452</v>
      </c>
      <c r="H908" s="2" t="s">
        <v>4050</v>
      </c>
      <c r="I908" s="2" t="s">
        <v>2474</v>
      </c>
      <c r="J908" s="2" t="s">
        <v>3323</v>
      </c>
      <c r="K908" s="82" t="s">
        <v>4051</v>
      </c>
      <c r="L908" s="2">
        <v>8.080359847E9</v>
      </c>
    </row>
    <row r="909">
      <c r="A909" s="2" t="s">
        <v>1560</v>
      </c>
      <c r="H909" s="2" t="s">
        <v>4052</v>
      </c>
      <c r="I909" s="2" t="s">
        <v>2547</v>
      </c>
      <c r="J909" s="2" t="s">
        <v>4053</v>
      </c>
      <c r="K909" s="82" t="s">
        <v>4054</v>
      </c>
      <c r="L909" s="2">
        <v>8.080359847E9</v>
      </c>
      <c r="M909" s="12" t="s">
        <v>1561</v>
      </c>
    </row>
    <row r="910">
      <c r="A910" s="2" t="s">
        <v>2281</v>
      </c>
      <c r="H910" s="2" t="s">
        <v>4055</v>
      </c>
      <c r="I910" s="2" t="s">
        <v>2459</v>
      </c>
      <c r="J910" s="2" t="s">
        <v>2460</v>
      </c>
      <c r="K910" s="82" t="s">
        <v>4056</v>
      </c>
      <c r="L910" s="2">
        <v>8.080359847E9</v>
      </c>
    </row>
    <row r="911">
      <c r="A911" s="2" t="s">
        <v>1116</v>
      </c>
      <c r="H911" s="2" t="s">
        <v>4057</v>
      </c>
      <c r="I911" s="2" t="s">
        <v>2558</v>
      </c>
      <c r="J911" s="2" t="s">
        <v>2841</v>
      </c>
      <c r="K911" s="82" t="s">
        <v>4058</v>
      </c>
      <c r="L911" s="2">
        <v>7.083824122E9</v>
      </c>
      <c r="M911" s="12" t="s">
        <v>1117</v>
      </c>
    </row>
    <row r="912">
      <c r="A912" s="2" t="s">
        <v>2193</v>
      </c>
      <c r="H912" s="2" t="s">
        <v>4059</v>
      </c>
      <c r="I912" s="2" t="s">
        <v>2467</v>
      </c>
      <c r="J912" s="2" t="s">
        <v>2850</v>
      </c>
      <c r="K912" s="82" t="s">
        <v>4060</v>
      </c>
      <c r="L912" s="2">
        <v>8.080359847E9</v>
      </c>
      <c r="M912" s="12" t="s">
        <v>2194</v>
      </c>
    </row>
    <row r="913">
      <c r="A913" s="2" t="s">
        <v>32</v>
      </c>
      <c r="H913" s="2" t="s">
        <v>4061</v>
      </c>
      <c r="I913" s="2" t="s">
        <v>2558</v>
      </c>
      <c r="J913" s="2" t="s">
        <v>4062</v>
      </c>
      <c r="K913" s="82" t="s">
        <v>4063</v>
      </c>
      <c r="L913" s="2">
        <v>8.080359847E9</v>
      </c>
      <c r="M913" s="12" t="s">
        <v>2259</v>
      </c>
    </row>
    <row r="914">
      <c r="A914" s="2" t="s">
        <v>56</v>
      </c>
      <c r="H914" s="2" t="s">
        <v>4064</v>
      </c>
      <c r="I914" s="2" t="s">
        <v>2482</v>
      </c>
      <c r="J914" s="2" t="s">
        <v>4065</v>
      </c>
      <c r="K914" s="82" t="s">
        <v>4066</v>
      </c>
      <c r="L914" s="2">
        <v>8.080359847E9</v>
      </c>
      <c r="M914" s="12" t="s">
        <v>1880</v>
      </c>
    </row>
    <row r="915">
      <c r="A915" s="2" t="s">
        <v>1871</v>
      </c>
      <c r="H915" s="2" t="s">
        <v>4067</v>
      </c>
      <c r="I915" s="2" t="s">
        <v>2518</v>
      </c>
      <c r="J915" s="2" t="s">
        <v>2898</v>
      </c>
      <c r="K915" s="82" t="s">
        <v>4068</v>
      </c>
      <c r="L915" s="2">
        <v>8.080359847E9</v>
      </c>
      <c r="M915" s="12" t="s">
        <v>1872</v>
      </c>
    </row>
    <row r="916">
      <c r="A916" s="2" t="s">
        <v>1175</v>
      </c>
      <c r="H916" s="2" t="s">
        <v>4069</v>
      </c>
      <c r="I916" s="2" t="s">
        <v>2463</v>
      </c>
      <c r="J916" s="2" t="s">
        <v>4070</v>
      </c>
      <c r="K916" s="82" t="s">
        <v>4071</v>
      </c>
      <c r="L916" s="2">
        <v>8.080359847E9</v>
      </c>
      <c r="M916" s="12" t="s">
        <v>1177</v>
      </c>
    </row>
    <row r="917">
      <c r="A917" s="2" t="s">
        <v>1397</v>
      </c>
      <c r="H917" s="2" t="s">
        <v>4072</v>
      </c>
      <c r="I917" s="2" t="s">
        <v>2558</v>
      </c>
      <c r="J917" s="2" t="s">
        <v>2602</v>
      </c>
      <c r="K917" s="82" t="s">
        <v>4073</v>
      </c>
      <c r="L917" s="2">
        <v>7.083480667E9</v>
      </c>
      <c r="M917" s="12" t="s">
        <v>1398</v>
      </c>
    </row>
    <row r="918">
      <c r="A918" s="2" t="s">
        <v>1366</v>
      </c>
      <c r="H918" s="2" t="s">
        <v>4074</v>
      </c>
      <c r="I918" s="2" t="s">
        <v>2880</v>
      </c>
      <c r="J918" s="2" t="s">
        <v>4075</v>
      </c>
      <c r="K918" s="82" t="s">
        <v>4076</v>
      </c>
      <c r="L918" s="2">
        <v>8.080359847E9</v>
      </c>
      <c r="M918" s="12" t="s">
        <v>1367</v>
      </c>
    </row>
    <row r="919">
      <c r="A919" s="2" t="s">
        <v>1309</v>
      </c>
      <c r="H919" s="2" t="s">
        <v>4077</v>
      </c>
      <c r="I919" s="2" t="s">
        <v>2558</v>
      </c>
      <c r="J919" s="2" t="s">
        <v>4078</v>
      </c>
      <c r="K919" s="82" t="s">
        <v>4079</v>
      </c>
      <c r="L919" s="2">
        <v>8.080359847E9</v>
      </c>
      <c r="M919" s="12" t="s">
        <v>1310</v>
      </c>
    </row>
    <row r="920">
      <c r="A920" s="2" t="s">
        <v>1703</v>
      </c>
      <c r="H920" s="2" t="s">
        <v>4080</v>
      </c>
      <c r="I920" s="2" t="s">
        <v>2532</v>
      </c>
      <c r="J920" s="2" t="s">
        <v>4081</v>
      </c>
      <c r="K920" s="82" t="s">
        <v>4082</v>
      </c>
      <c r="L920" s="2">
        <v>8.080359847E9</v>
      </c>
      <c r="M920" s="12" t="s">
        <v>1704</v>
      </c>
    </row>
    <row r="921">
      <c r="A921" s="2" t="s">
        <v>1781</v>
      </c>
      <c r="H921" s="2" t="s">
        <v>4083</v>
      </c>
      <c r="I921" s="2" t="s">
        <v>2509</v>
      </c>
      <c r="J921" s="2" t="s">
        <v>4084</v>
      </c>
      <c r="K921" s="82" t="s">
        <v>4085</v>
      </c>
      <c r="L921" s="2">
        <v>8.080359847E9</v>
      </c>
      <c r="M921" s="12" t="s">
        <v>1782</v>
      </c>
    </row>
    <row r="922">
      <c r="A922" s="2" t="s">
        <v>875</v>
      </c>
      <c r="H922" s="2" t="s">
        <v>3289</v>
      </c>
      <c r="I922" s="2" t="s">
        <v>2551</v>
      </c>
      <c r="J922" s="2" t="s">
        <v>3290</v>
      </c>
      <c r="K922" s="82" t="s">
        <v>3291</v>
      </c>
      <c r="L922" s="2">
        <v>8.080359847E9</v>
      </c>
      <c r="M922" s="12" t="s">
        <v>2062</v>
      </c>
    </row>
    <row r="923">
      <c r="A923" s="2" t="s">
        <v>313</v>
      </c>
      <c r="H923" s="2" t="s">
        <v>2491</v>
      </c>
      <c r="I923" s="2" t="s">
        <v>2478</v>
      </c>
      <c r="J923" s="2" t="s">
        <v>2492</v>
      </c>
      <c r="K923" s="82" t="s">
        <v>3641</v>
      </c>
      <c r="L923" s="2">
        <v>8.080359847E9</v>
      </c>
      <c r="M923" s="12" t="s">
        <v>2115</v>
      </c>
    </row>
    <row r="924">
      <c r="A924" s="2" t="s">
        <v>1042</v>
      </c>
      <c r="H924" s="2" t="s">
        <v>3190</v>
      </c>
      <c r="I924" s="2" t="s">
        <v>2551</v>
      </c>
      <c r="J924" s="2" t="s">
        <v>3191</v>
      </c>
      <c r="K924" s="82" t="s">
        <v>3192</v>
      </c>
      <c r="L924" s="2">
        <v>8.080359847E9</v>
      </c>
      <c r="M924" s="12" t="s">
        <v>1941</v>
      </c>
    </row>
    <row r="925">
      <c r="A925" s="2" t="s">
        <v>1083</v>
      </c>
      <c r="H925" s="2" t="s">
        <v>2641</v>
      </c>
      <c r="I925" s="2" t="s">
        <v>2558</v>
      </c>
      <c r="J925" s="2" t="s">
        <v>2642</v>
      </c>
      <c r="K925" s="82" t="s">
        <v>3669</v>
      </c>
      <c r="L925" s="2">
        <v>8.080359847E9</v>
      </c>
      <c r="M925" s="12" t="s">
        <v>1915</v>
      </c>
    </row>
    <row r="926">
      <c r="A926" s="2" t="s">
        <v>921</v>
      </c>
      <c r="H926" s="2" t="s">
        <v>3002</v>
      </c>
      <c r="I926" s="2" t="s">
        <v>2482</v>
      </c>
      <c r="J926" s="2" t="s">
        <v>2737</v>
      </c>
      <c r="K926" s="82" t="s">
        <v>3003</v>
      </c>
      <c r="L926" s="2" t="s">
        <v>3004</v>
      </c>
      <c r="M926" s="12" t="s">
        <v>2218</v>
      </c>
    </row>
    <row r="927">
      <c r="A927" s="2" t="s">
        <v>332</v>
      </c>
      <c r="H927" s="2" t="s">
        <v>2571</v>
      </c>
      <c r="I927" s="2" t="s">
        <v>2478</v>
      </c>
      <c r="J927" s="2" t="s">
        <v>2572</v>
      </c>
      <c r="K927" s="82" t="s">
        <v>4086</v>
      </c>
      <c r="L927" s="2">
        <v>8.080359847E9</v>
      </c>
      <c r="M927" s="12" t="s">
        <v>500</v>
      </c>
    </row>
    <row r="928">
      <c r="A928" s="2" t="s">
        <v>1873</v>
      </c>
      <c r="H928" s="2" t="s">
        <v>4087</v>
      </c>
      <c r="I928" s="2" t="s">
        <v>2769</v>
      </c>
      <c r="J928" s="2" t="s">
        <v>4088</v>
      </c>
      <c r="K928" s="82" t="s">
        <v>4089</v>
      </c>
      <c r="L928" s="2">
        <v>8.080359847E9</v>
      </c>
      <c r="M928" s="12" t="s">
        <v>1874</v>
      </c>
    </row>
    <row r="929">
      <c r="A929" s="2" t="s">
        <v>1794</v>
      </c>
      <c r="H929" s="2" t="s">
        <v>3720</v>
      </c>
      <c r="I929" s="2" t="s">
        <v>3693</v>
      </c>
      <c r="J929" s="2" t="s">
        <v>3721</v>
      </c>
      <c r="K929" s="82" t="s">
        <v>4090</v>
      </c>
      <c r="L929" s="2">
        <v>8.080359847E9</v>
      </c>
      <c r="M929" s="12" t="s">
        <v>1795</v>
      </c>
    </row>
    <row r="930">
      <c r="A930" s="2" t="s">
        <v>1797</v>
      </c>
      <c r="H930" s="2" t="s">
        <v>4091</v>
      </c>
      <c r="I930" s="2" t="s">
        <v>2474</v>
      </c>
      <c r="J930" s="2" t="s">
        <v>4092</v>
      </c>
      <c r="K930" s="82" t="s">
        <v>4093</v>
      </c>
      <c r="L930" s="2">
        <v>8.080359847E9</v>
      </c>
      <c r="M930" s="12" t="s">
        <v>1798</v>
      </c>
    </row>
    <row r="931">
      <c r="A931" s="2" t="s">
        <v>28</v>
      </c>
      <c r="H931" s="2" t="s">
        <v>4094</v>
      </c>
      <c r="I931" s="2" t="s">
        <v>2547</v>
      </c>
      <c r="J931" s="2" t="s">
        <v>3988</v>
      </c>
      <c r="K931" s="82" t="s">
        <v>4095</v>
      </c>
      <c r="L931" s="2">
        <v>8.080359847E9</v>
      </c>
      <c r="M931" s="12" t="s">
        <v>1801</v>
      </c>
    </row>
    <row r="932">
      <c r="A932" s="2" t="s">
        <v>1830</v>
      </c>
      <c r="H932" s="2" t="s">
        <v>4096</v>
      </c>
      <c r="I932" s="2" t="s">
        <v>2502</v>
      </c>
      <c r="J932" s="2" t="s">
        <v>2503</v>
      </c>
      <c r="K932" s="82" t="s">
        <v>4097</v>
      </c>
      <c r="L932" s="2">
        <v>8.080359847E9</v>
      </c>
      <c r="M932" s="12" t="s">
        <v>1831</v>
      </c>
    </row>
    <row r="933">
      <c r="A933" s="2" t="s">
        <v>1933</v>
      </c>
      <c r="H933" s="2" t="s">
        <v>4098</v>
      </c>
      <c r="I933" s="2" t="s">
        <v>2720</v>
      </c>
      <c r="J933" s="2" t="s">
        <v>2721</v>
      </c>
      <c r="K933" s="82" t="s">
        <v>4099</v>
      </c>
      <c r="L933" s="2">
        <v>8.080359847E9</v>
      </c>
      <c r="M933" s="12" t="s">
        <v>1934</v>
      </c>
    </row>
    <row r="934">
      <c r="A934" s="2" t="s">
        <v>2197</v>
      </c>
      <c r="H934" s="2" t="s">
        <v>4100</v>
      </c>
      <c r="I934" s="2" t="s">
        <v>2558</v>
      </c>
      <c r="J934" s="2" t="s">
        <v>2602</v>
      </c>
      <c r="K934" s="82" t="s">
        <v>4101</v>
      </c>
      <c r="L934" s="2">
        <v>8.080359847E9</v>
      </c>
      <c r="M934" s="12" t="s">
        <v>2198</v>
      </c>
    </row>
    <row r="935">
      <c r="A935" s="2" t="s">
        <v>166</v>
      </c>
      <c r="H935" s="2" t="s">
        <v>3897</v>
      </c>
      <c r="I935" s="2" t="s">
        <v>2474</v>
      </c>
      <c r="J935" s="2" t="s">
        <v>2702</v>
      </c>
      <c r="K935" s="82" t="s">
        <v>3898</v>
      </c>
      <c r="L935" s="2">
        <v>8.080359847E9</v>
      </c>
      <c r="M935" s="12" t="s">
        <v>2318</v>
      </c>
    </row>
    <row r="936">
      <c r="A936" s="2" t="s">
        <v>2180</v>
      </c>
      <c r="H936" s="2" t="s">
        <v>2521</v>
      </c>
      <c r="I936" s="2" t="s">
        <v>2467</v>
      </c>
      <c r="J936" s="2" t="s">
        <v>2471</v>
      </c>
      <c r="K936" s="82" t="s">
        <v>4102</v>
      </c>
      <c r="L936" s="2">
        <v>8.080359847E9</v>
      </c>
      <c r="M936" s="12" t="s">
        <v>2181</v>
      </c>
    </row>
    <row r="937">
      <c r="A937" s="2" t="s">
        <v>17</v>
      </c>
      <c r="H937" s="2" t="s">
        <v>2661</v>
      </c>
      <c r="I937" s="2" t="s">
        <v>2662</v>
      </c>
      <c r="J937" s="2" t="s">
        <v>2663</v>
      </c>
      <c r="K937" s="82" t="s">
        <v>4103</v>
      </c>
      <c r="L937" s="2">
        <v>8.080359847E9</v>
      </c>
      <c r="M937" s="12" t="s">
        <v>1742</v>
      </c>
    </row>
    <row r="938">
      <c r="A938" s="2" t="s">
        <v>1836</v>
      </c>
      <c r="H938" s="2" t="s">
        <v>4104</v>
      </c>
      <c r="I938" s="2" t="s">
        <v>2880</v>
      </c>
      <c r="J938" s="2" t="s">
        <v>4105</v>
      </c>
      <c r="K938" s="82" t="s">
        <v>4106</v>
      </c>
      <c r="L938" s="2">
        <v>8.080359847E9</v>
      </c>
    </row>
    <row r="939">
      <c r="A939" s="2" t="s">
        <v>261</v>
      </c>
      <c r="H939" s="2" t="s">
        <v>4107</v>
      </c>
      <c r="I939" s="2" t="s">
        <v>2532</v>
      </c>
      <c r="J939" s="2" t="s">
        <v>3732</v>
      </c>
      <c r="K939" s="82" t="s">
        <v>4108</v>
      </c>
      <c r="L939" s="2">
        <v>8.080359847E9</v>
      </c>
      <c r="M939" s="12" t="s">
        <v>1896</v>
      </c>
    </row>
    <row r="940">
      <c r="A940" s="2" t="s">
        <v>2337</v>
      </c>
      <c r="H940" s="2" t="s">
        <v>4109</v>
      </c>
      <c r="I940" s="2" t="s">
        <v>2616</v>
      </c>
      <c r="J940" s="2" t="s">
        <v>4110</v>
      </c>
      <c r="K940" s="82" t="s">
        <v>4111</v>
      </c>
      <c r="L940" s="2">
        <v>8.080359847E9</v>
      </c>
    </row>
    <row r="941">
      <c r="A941" s="2" t="s">
        <v>2338</v>
      </c>
      <c r="H941" s="2" t="s">
        <v>4112</v>
      </c>
      <c r="I941" s="2" t="s">
        <v>2597</v>
      </c>
      <c r="J941" s="2" t="s">
        <v>4113</v>
      </c>
      <c r="K941" s="82" t="s">
        <v>4114</v>
      </c>
      <c r="L941" s="2">
        <v>8.080359847E9</v>
      </c>
    </row>
    <row r="942">
      <c r="A942" s="2" t="s">
        <v>295</v>
      </c>
      <c r="H942" s="2" t="s">
        <v>4115</v>
      </c>
      <c r="I942" s="2" t="s">
        <v>2558</v>
      </c>
      <c r="J942" s="2" t="s">
        <v>2841</v>
      </c>
      <c r="K942" s="82" t="s">
        <v>4116</v>
      </c>
      <c r="L942" s="2">
        <v>8.080359847E9</v>
      </c>
    </row>
    <row r="943">
      <c r="A943" s="2" t="s">
        <v>2340</v>
      </c>
      <c r="H943" s="2" t="s">
        <v>3825</v>
      </c>
      <c r="I943" s="2" t="s">
        <v>2459</v>
      </c>
      <c r="J943" s="2" t="s">
        <v>2613</v>
      </c>
      <c r="K943" s="82" t="s">
        <v>4117</v>
      </c>
      <c r="L943" s="2">
        <v>8.080359847E9</v>
      </c>
    </row>
    <row r="944">
      <c r="A944" s="2" t="s">
        <v>1903</v>
      </c>
      <c r="H944" s="2" t="s">
        <v>4118</v>
      </c>
      <c r="I944" s="2" t="s">
        <v>2474</v>
      </c>
      <c r="J944" s="2" t="s">
        <v>4119</v>
      </c>
      <c r="K944" s="82" t="s">
        <v>4120</v>
      </c>
      <c r="L944" s="2">
        <v>8.080359847E9</v>
      </c>
      <c r="M944" s="12" t="s">
        <v>1904</v>
      </c>
    </row>
    <row r="945">
      <c r="A945" s="2" t="s">
        <v>2343</v>
      </c>
      <c r="H945" s="2" t="s">
        <v>4121</v>
      </c>
      <c r="I945" s="2" t="s">
        <v>2463</v>
      </c>
      <c r="J945" s="2" t="s">
        <v>4122</v>
      </c>
      <c r="K945" s="82" t="s">
        <v>4123</v>
      </c>
      <c r="L945" s="2">
        <v>8.080359847E9</v>
      </c>
    </row>
    <row r="946">
      <c r="K946" s="83"/>
    </row>
    <row r="947">
      <c r="K947" s="83"/>
    </row>
    <row r="948">
      <c r="K948" s="83"/>
    </row>
    <row r="949">
      <c r="K949" s="83"/>
    </row>
    <row r="950">
      <c r="K950" s="83"/>
    </row>
    <row r="951">
      <c r="K951" s="83"/>
    </row>
    <row r="952">
      <c r="K952" s="83"/>
    </row>
    <row r="953">
      <c r="K953" s="83"/>
    </row>
    <row r="954">
      <c r="K954" s="83"/>
    </row>
    <row r="955">
      <c r="K955" s="83"/>
    </row>
    <row r="956">
      <c r="K956" s="83"/>
    </row>
    <row r="957">
      <c r="K957" s="83"/>
    </row>
    <row r="958">
      <c r="K958" s="83"/>
    </row>
    <row r="959">
      <c r="K959" s="83"/>
    </row>
    <row r="960">
      <c r="K960" s="83"/>
    </row>
    <row r="961">
      <c r="K961" s="83"/>
    </row>
    <row r="962">
      <c r="K962" s="83"/>
    </row>
    <row r="963">
      <c r="K963" s="83"/>
    </row>
    <row r="964">
      <c r="K964" s="83"/>
    </row>
    <row r="965">
      <c r="K965" s="83"/>
    </row>
    <row r="966">
      <c r="K966" s="83"/>
    </row>
    <row r="967">
      <c r="K967" s="83"/>
    </row>
    <row r="968">
      <c r="K968" s="83"/>
    </row>
    <row r="969">
      <c r="K969" s="83"/>
    </row>
    <row r="970">
      <c r="K970" s="83"/>
    </row>
    <row r="971">
      <c r="K971" s="83"/>
    </row>
    <row r="972">
      <c r="K972" s="83"/>
    </row>
    <row r="973">
      <c r="K973" s="83"/>
    </row>
    <row r="974">
      <c r="K974" s="83"/>
    </row>
    <row r="975">
      <c r="K975" s="83"/>
    </row>
    <row r="976">
      <c r="K976" s="83"/>
    </row>
    <row r="977">
      <c r="K977" s="83"/>
    </row>
    <row r="978">
      <c r="K978" s="83"/>
    </row>
    <row r="979">
      <c r="K979" s="83"/>
    </row>
    <row r="980">
      <c r="K980" s="83"/>
    </row>
    <row r="981">
      <c r="K981" s="83"/>
    </row>
    <row r="982">
      <c r="K982" s="83"/>
    </row>
    <row r="983">
      <c r="K983" s="83"/>
    </row>
    <row r="984">
      <c r="K984" s="83"/>
    </row>
    <row r="985">
      <c r="K985" s="83"/>
    </row>
    <row r="986">
      <c r="K986" s="83"/>
    </row>
    <row r="987">
      <c r="K987" s="83"/>
    </row>
    <row r="988">
      <c r="K988" s="83"/>
    </row>
    <row r="989">
      <c r="K989" s="83"/>
    </row>
    <row r="990">
      <c r="K990" s="83"/>
    </row>
    <row r="991">
      <c r="K991" s="83"/>
    </row>
    <row r="992">
      <c r="K992" s="83"/>
    </row>
    <row r="993">
      <c r="K993" s="83"/>
    </row>
    <row r="994">
      <c r="K994" s="83"/>
    </row>
    <row r="995">
      <c r="K995" s="83"/>
    </row>
    <row r="996">
      <c r="K996" s="83"/>
    </row>
    <row r="997">
      <c r="K997" s="83"/>
    </row>
    <row r="998">
      <c r="K998" s="83"/>
    </row>
    <row r="999">
      <c r="K999" s="83"/>
    </row>
    <row r="1000">
      <c r="K1000" s="83"/>
    </row>
  </sheetData>
  <hyperlinks>
    <hyperlink r:id="rId1" ref="M200"/>
    <hyperlink r:id="rId2" ref="M316"/>
    <hyperlink r:id="rId3" ref="M320"/>
    <hyperlink r:id="rId4" ref="M332"/>
    <hyperlink r:id="rId5" ref="M333"/>
    <hyperlink r:id="rId6" ref="M335"/>
    <hyperlink r:id="rId7" ref="M338"/>
    <hyperlink r:id="rId8" ref="M345"/>
    <hyperlink r:id="rId9" ref="M351"/>
    <hyperlink r:id="rId10" ref="M357"/>
    <hyperlink r:id="rId11" ref="M358"/>
    <hyperlink r:id="rId12" ref="M359"/>
    <hyperlink r:id="rId13" ref="M360"/>
    <hyperlink r:id="rId14" ref="M373"/>
    <hyperlink r:id="rId15" ref="M377"/>
    <hyperlink r:id="rId16" ref="M386"/>
    <hyperlink r:id="rId17" ref="M388"/>
    <hyperlink r:id="rId18" ref="M391"/>
    <hyperlink r:id="rId19" ref="M394"/>
    <hyperlink r:id="rId20" ref="M395"/>
    <hyperlink r:id="rId21" ref="M396"/>
    <hyperlink r:id="rId22" ref="M397"/>
    <hyperlink r:id="rId23" ref="M398"/>
    <hyperlink r:id="rId24" ref="M399"/>
    <hyperlink r:id="rId25" ref="M400"/>
    <hyperlink r:id="rId26" ref="M401"/>
    <hyperlink r:id="rId27" ref="M402"/>
    <hyperlink r:id="rId28" ref="M403"/>
    <hyperlink r:id="rId29" ref="M404"/>
    <hyperlink r:id="rId30" ref="M405"/>
    <hyperlink r:id="rId31" ref="M406"/>
    <hyperlink r:id="rId32" ref="M407"/>
    <hyperlink r:id="rId33" ref="M408"/>
    <hyperlink r:id="rId34" ref="M409"/>
    <hyperlink r:id="rId35" ref="M410"/>
    <hyperlink r:id="rId36" ref="M411"/>
    <hyperlink r:id="rId37" ref="M412"/>
    <hyperlink r:id="rId38" ref="M413"/>
    <hyperlink r:id="rId39" ref="M414"/>
    <hyperlink r:id="rId40" ref="M415"/>
    <hyperlink r:id="rId41" ref="M416"/>
    <hyperlink r:id="rId42" ref="M417"/>
    <hyperlink r:id="rId43" ref="M418"/>
    <hyperlink r:id="rId44" ref="M419"/>
    <hyperlink r:id="rId45" ref="M420"/>
    <hyperlink r:id="rId46" ref="M421"/>
    <hyperlink r:id="rId47" ref="M422"/>
    <hyperlink r:id="rId48" ref="M423"/>
    <hyperlink r:id="rId49" ref="M424"/>
    <hyperlink r:id="rId50" ref="M425"/>
    <hyperlink r:id="rId51" ref="M426"/>
    <hyperlink r:id="rId52" ref="M427"/>
    <hyperlink r:id="rId53" ref="M428"/>
    <hyperlink r:id="rId54" ref="M429"/>
    <hyperlink r:id="rId55" ref="M430"/>
    <hyperlink r:id="rId56" ref="M431"/>
    <hyperlink r:id="rId57" ref="M432"/>
    <hyperlink r:id="rId58" ref="M433"/>
    <hyperlink r:id="rId59" ref="M434"/>
    <hyperlink r:id="rId60" ref="M435"/>
    <hyperlink r:id="rId61" ref="M437"/>
    <hyperlink r:id="rId62" ref="M439"/>
    <hyperlink r:id="rId63" ref="M440"/>
    <hyperlink r:id="rId64" ref="M441"/>
    <hyperlink r:id="rId65" ref="M442"/>
    <hyperlink r:id="rId66" ref="M443"/>
    <hyperlink r:id="rId67" ref="M444"/>
    <hyperlink r:id="rId68" ref="M446"/>
    <hyperlink r:id="rId69" ref="M447"/>
    <hyperlink r:id="rId70" ref="M448"/>
    <hyperlink r:id="rId71" ref="M449"/>
    <hyperlink r:id="rId72" ref="M450"/>
    <hyperlink r:id="rId73" ref="M451"/>
    <hyperlink r:id="rId74" ref="M452"/>
    <hyperlink r:id="rId75" ref="M453"/>
    <hyperlink r:id="rId76" ref="M454"/>
    <hyperlink r:id="rId77" ref="M455"/>
    <hyperlink r:id="rId78" ref="M456"/>
    <hyperlink r:id="rId79" ref="M457"/>
    <hyperlink r:id="rId80" ref="M458"/>
    <hyperlink r:id="rId81" ref="M461"/>
    <hyperlink r:id="rId82" ref="M464"/>
    <hyperlink r:id="rId83" ref="M465"/>
    <hyperlink r:id="rId84" ref="M466"/>
    <hyperlink r:id="rId85" ref="M467"/>
    <hyperlink r:id="rId86" ref="M468"/>
    <hyperlink r:id="rId87" ref="M470"/>
    <hyperlink r:id="rId88" ref="M471"/>
    <hyperlink r:id="rId89" ref="M472"/>
    <hyperlink r:id="rId90" ref="M474"/>
    <hyperlink r:id="rId91" ref="M475"/>
    <hyperlink r:id="rId92" ref="M476"/>
    <hyperlink r:id="rId93" ref="M477"/>
    <hyperlink r:id="rId94" ref="M478"/>
    <hyperlink r:id="rId95" ref="M479"/>
    <hyperlink r:id="rId96" ref="M480"/>
    <hyperlink r:id="rId97" ref="M481"/>
    <hyperlink r:id="rId98" ref="M482"/>
    <hyperlink r:id="rId99" ref="M483"/>
    <hyperlink r:id="rId100" ref="M484"/>
    <hyperlink r:id="rId101" ref="M485"/>
    <hyperlink r:id="rId102" ref="M486"/>
    <hyperlink r:id="rId103" ref="M487"/>
    <hyperlink r:id="rId104" ref="M489"/>
    <hyperlink r:id="rId105" ref="M490"/>
    <hyperlink r:id="rId106" ref="M491"/>
    <hyperlink r:id="rId107" ref="M492"/>
    <hyperlink r:id="rId108" ref="M494"/>
    <hyperlink r:id="rId109" ref="M495"/>
    <hyperlink r:id="rId110" ref="M496"/>
    <hyperlink r:id="rId111" ref="M497"/>
    <hyperlink r:id="rId112" ref="M498"/>
    <hyperlink r:id="rId113" ref="M499"/>
    <hyperlink r:id="rId114" ref="M500"/>
    <hyperlink r:id="rId115" ref="M501"/>
    <hyperlink r:id="rId116" ref="M502"/>
    <hyperlink r:id="rId117" ref="M503"/>
    <hyperlink r:id="rId118" ref="M504"/>
    <hyperlink r:id="rId119" ref="M505"/>
    <hyperlink r:id="rId120" ref="M506"/>
    <hyperlink r:id="rId121" ref="M507"/>
    <hyperlink r:id="rId122" ref="M508"/>
    <hyperlink r:id="rId123" ref="M509"/>
    <hyperlink r:id="rId124" ref="M510"/>
    <hyperlink r:id="rId125" ref="M511"/>
    <hyperlink r:id="rId126" ref="M512"/>
    <hyperlink r:id="rId127" ref="M513"/>
    <hyperlink r:id="rId128" ref="M514"/>
    <hyperlink r:id="rId129" ref="M515"/>
    <hyperlink r:id="rId130" ref="M516"/>
    <hyperlink r:id="rId131" ref="M517"/>
    <hyperlink r:id="rId132" ref="M518"/>
    <hyperlink r:id="rId133" ref="M519"/>
    <hyperlink r:id="rId134" ref="M520"/>
    <hyperlink r:id="rId135" ref="M522"/>
    <hyperlink r:id="rId136" ref="M523"/>
    <hyperlink r:id="rId137" ref="M525"/>
    <hyperlink r:id="rId138" ref="M526"/>
    <hyperlink r:id="rId139" ref="M527"/>
    <hyperlink r:id="rId140" ref="M528"/>
    <hyperlink r:id="rId141" ref="M530"/>
    <hyperlink r:id="rId142" ref="M531"/>
    <hyperlink r:id="rId143" ref="M532"/>
    <hyperlink r:id="rId144" ref="M533"/>
    <hyperlink r:id="rId145" ref="M534"/>
    <hyperlink r:id="rId146" ref="M535"/>
    <hyperlink r:id="rId147" ref="M536"/>
    <hyperlink r:id="rId148" ref="M537"/>
    <hyperlink r:id="rId149" ref="M538"/>
    <hyperlink r:id="rId150" ref="M539"/>
    <hyperlink r:id="rId151" ref="M540"/>
    <hyperlink r:id="rId152" ref="M541"/>
    <hyperlink r:id="rId153" ref="M542"/>
    <hyperlink r:id="rId154" ref="M543"/>
    <hyperlink r:id="rId155" ref="M544"/>
    <hyperlink r:id="rId156" ref="M545"/>
    <hyperlink r:id="rId157" ref="M546"/>
    <hyperlink r:id="rId158" ref="M547"/>
    <hyperlink r:id="rId159" ref="M548"/>
    <hyperlink r:id="rId160" ref="M551"/>
    <hyperlink r:id="rId161" ref="M552"/>
    <hyperlink r:id="rId162" ref="M553"/>
    <hyperlink r:id="rId163" ref="M554"/>
    <hyperlink r:id="rId164" ref="M555"/>
    <hyperlink r:id="rId165" ref="M556"/>
    <hyperlink r:id="rId166" ref="M557"/>
    <hyperlink r:id="rId167" ref="M558"/>
    <hyperlink r:id="rId168" ref="M559"/>
    <hyperlink r:id="rId169" ref="M560"/>
    <hyperlink r:id="rId170" ref="M561"/>
    <hyperlink r:id="rId171" ref="M562"/>
    <hyperlink r:id="rId172" ref="M563"/>
    <hyperlink r:id="rId173" ref="M564"/>
    <hyperlink r:id="rId174" ref="M565"/>
    <hyperlink r:id="rId175" ref="M566"/>
    <hyperlink r:id="rId176" ref="M567"/>
    <hyperlink r:id="rId177" ref="M568"/>
    <hyperlink r:id="rId178" ref="M569"/>
    <hyperlink r:id="rId179" ref="M570"/>
    <hyperlink r:id="rId180" ref="M571"/>
    <hyperlink r:id="rId181" ref="M572"/>
    <hyperlink r:id="rId182" ref="M573"/>
    <hyperlink r:id="rId183" ref="M574"/>
    <hyperlink r:id="rId184" ref="M575"/>
    <hyperlink r:id="rId185" ref="M576"/>
    <hyperlink r:id="rId186" ref="M577"/>
    <hyperlink r:id="rId187" ref="M578"/>
    <hyperlink r:id="rId188" ref="M579"/>
    <hyperlink r:id="rId189" ref="M580"/>
    <hyperlink r:id="rId190" ref="M581"/>
    <hyperlink r:id="rId191" ref="M582"/>
    <hyperlink r:id="rId192" ref="M584"/>
    <hyperlink r:id="rId193" ref="M585"/>
    <hyperlink r:id="rId194" ref="M586"/>
    <hyperlink r:id="rId195" ref="M587"/>
    <hyperlink r:id="rId196" ref="M588"/>
    <hyperlink r:id="rId197" ref="M590"/>
    <hyperlink r:id="rId198" ref="M591"/>
    <hyperlink r:id="rId199" ref="M592"/>
    <hyperlink r:id="rId200" ref="M593"/>
    <hyperlink r:id="rId201" ref="M594"/>
    <hyperlink r:id="rId202" ref="M595"/>
    <hyperlink r:id="rId203" ref="M596"/>
    <hyperlink r:id="rId204" ref="M597"/>
    <hyperlink r:id="rId205" ref="M598"/>
    <hyperlink r:id="rId206" ref="M599"/>
    <hyperlink r:id="rId207" ref="M600"/>
    <hyperlink r:id="rId208" ref="M601"/>
    <hyperlink r:id="rId209" ref="M602"/>
    <hyperlink r:id="rId210" ref="M603"/>
    <hyperlink r:id="rId211" ref="M604"/>
    <hyperlink r:id="rId212" ref="M605"/>
    <hyperlink r:id="rId213" ref="M606"/>
    <hyperlink r:id="rId214" ref="M607"/>
    <hyperlink r:id="rId215" ref="M608"/>
    <hyperlink r:id="rId216" ref="M609"/>
    <hyperlink r:id="rId217" ref="M610"/>
    <hyperlink r:id="rId218" ref="M611"/>
    <hyperlink r:id="rId219" ref="M612"/>
    <hyperlink r:id="rId220" ref="M613"/>
    <hyperlink r:id="rId221" ref="M614"/>
    <hyperlink r:id="rId222" ref="M616"/>
    <hyperlink r:id="rId223" ref="M617"/>
    <hyperlink r:id="rId224" ref="M618"/>
    <hyperlink r:id="rId225" ref="M619"/>
    <hyperlink r:id="rId226" ref="M620"/>
    <hyperlink r:id="rId227" ref="M621"/>
    <hyperlink r:id="rId228" ref="M622"/>
    <hyperlink r:id="rId229" ref="M623"/>
    <hyperlink r:id="rId230" ref="M624"/>
    <hyperlink r:id="rId231" ref="M625"/>
    <hyperlink r:id="rId232" ref="M626"/>
    <hyperlink r:id="rId233" ref="M627"/>
    <hyperlink r:id="rId234" ref="M628"/>
    <hyperlink r:id="rId235" ref="M629"/>
    <hyperlink r:id="rId236" ref="M632"/>
    <hyperlink r:id="rId237" ref="M633"/>
    <hyperlink r:id="rId238" ref="M634"/>
    <hyperlink r:id="rId239" ref="M635"/>
    <hyperlink r:id="rId240" ref="M636"/>
    <hyperlink r:id="rId241" ref="M637"/>
    <hyperlink r:id="rId242" ref="M638"/>
    <hyperlink r:id="rId243" ref="M639"/>
    <hyperlink r:id="rId244" ref="M640"/>
    <hyperlink r:id="rId245" ref="M641"/>
    <hyperlink r:id="rId246" ref="M642"/>
    <hyperlink r:id="rId247" ref="M644"/>
    <hyperlink r:id="rId248" ref="M646"/>
    <hyperlink r:id="rId249" ref="M647"/>
    <hyperlink r:id="rId250" ref="M648"/>
    <hyperlink r:id="rId251" ref="M649"/>
    <hyperlink r:id="rId252" ref="M651"/>
    <hyperlink r:id="rId253" ref="M652"/>
    <hyperlink r:id="rId254" ref="M653"/>
    <hyperlink r:id="rId255" ref="M654"/>
    <hyperlink r:id="rId256" ref="M655"/>
    <hyperlink r:id="rId257" ref="M656"/>
    <hyperlink r:id="rId258" ref="M657"/>
    <hyperlink r:id="rId259" ref="M658"/>
    <hyperlink r:id="rId260" ref="M659"/>
    <hyperlink r:id="rId261" ref="M660"/>
    <hyperlink r:id="rId262" ref="M661"/>
    <hyperlink r:id="rId263" ref="M662"/>
    <hyperlink r:id="rId264" ref="M663"/>
    <hyperlink r:id="rId265" ref="M664"/>
    <hyperlink r:id="rId266" ref="M665"/>
    <hyperlink r:id="rId267" ref="M666"/>
    <hyperlink r:id="rId268" ref="M667"/>
    <hyperlink r:id="rId269" ref="M668"/>
    <hyperlink r:id="rId270" ref="M669"/>
    <hyperlink r:id="rId271" ref="M670"/>
    <hyperlink r:id="rId272" ref="M671"/>
    <hyperlink r:id="rId273" ref="M672"/>
    <hyperlink r:id="rId274" ref="M673"/>
    <hyperlink r:id="rId275" ref="M674"/>
    <hyperlink r:id="rId276" ref="M675"/>
    <hyperlink r:id="rId277" ref="M676"/>
    <hyperlink r:id="rId278" ref="M677"/>
    <hyperlink r:id="rId279" ref="M678"/>
    <hyperlink r:id="rId280" ref="M679"/>
    <hyperlink r:id="rId281" ref="M681"/>
    <hyperlink r:id="rId282" ref="M682"/>
    <hyperlink r:id="rId283" ref="M683"/>
    <hyperlink r:id="rId284" ref="M684"/>
    <hyperlink r:id="rId285" ref="M685"/>
    <hyperlink r:id="rId286" ref="M686"/>
    <hyperlink r:id="rId287" ref="M687"/>
    <hyperlink r:id="rId288" ref="M688"/>
    <hyperlink r:id="rId289" ref="M689"/>
    <hyperlink r:id="rId290" ref="M690"/>
    <hyperlink r:id="rId291" ref="M691"/>
    <hyperlink r:id="rId292" ref="M692"/>
    <hyperlink r:id="rId293" ref="M693"/>
    <hyperlink r:id="rId294" ref="M694"/>
    <hyperlink r:id="rId295" ref="M695"/>
    <hyperlink r:id="rId296" ref="M696"/>
    <hyperlink r:id="rId297" ref="M697"/>
    <hyperlink r:id="rId298" ref="M698"/>
    <hyperlink r:id="rId299" ref="M699"/>
    <hyperlink r:id="rId300" ref="M700"/>
    <hyperlink r:id="rId301" ref="M701"/>
    <hyperlink r:id="rId302" ref="M702"/>
    <hyperlink r:id="rId303" ref="M703"/>
    <hyperlink r:id="rId304" ref="M705"/>
    <hyperlink r:id="rId305" ref="M706"/>
    <hyperlink r:id="rId306" ref="M707"/>
    <hyperlink r:id="rId307" ref="M708"/>
    <hyperlink r:id="rId308" ref="M709"/>
    <hyperlink r:id="rId309" ref="M710"/>
    <hyperlink r:id="rId310" ref="M711"/>
    <hyperlink r:id="rId311" ref="M712"/>
    <hyperlink r:id="rId312" ref="M713"/>
    <hyperlink r:id="rId313" ref="M714"/>
    <hyperlink r:id="rId314" ref="M715"/>
    <hyperlink r:id="rId315" ref="M716"/>
    <hyperlink r:id="rId316" ref="M717"/>
    <hyperlink r:id="rId317" ref="M718"/>
    <hyperlink r:id="rId318" ref="M719"/>
    <hyperlink r:id="rId319" ref="M720"/>
    <hyperlink r:id="rId320" ref="M721"/>
    <hyperlink r:id="rId321" ref="M722"/>
    <hyperlink r:id="rId322" ref="M723"/>
    <hyperlink r:id="rId323" ref="M724"/>
    <hyperlink r:id="rId324" ref="M725"/>
    <hyperlink r:id="rId325" ref="M726"/>
    <hyperlink r:id="rId326" ref="M727"/>
    <hyperlink r:id="rId327" ref="M728"/>
    <hyperlink r:id="rId328" ref="M729"/>
    <hyperlink r:id="rId329" ref="M730"/>
    <hyperlink r:id="rId330" ref="M731"/>
    <hyperlink r:id="rId331" ref="M732"/>
    <hyperlink r:id="rId332" ref="M734"/>
    <hyperlink r:id="rId333" ref="M735"/>
    <hyperlink r:id="rId334" ref="M736"/>
    <hyperlink r:id="rId335" ref="M737"/>
    <hyperlink r:id="rId336" ref="M738"/>
    <hyperlink r:id="rId337" ref="M739"/>
    <hyperlink r:id="rId338" ref="M740"/>
    <hyperlink r:id="rId339" ref="M741"/>
    <hyperlink r:id="rId340" ref="M742"/>
    <hyperlink r:id="rId341" ref="M743"/>
    <hyperlink r:id="rId342" ref="M746"/>
    <hyperlink r:id="rId343" ref="M747"/>
    <hyperlink r:id="rId344" ref="M748"/>
    <hyperlink r:id="rId345" ref="M749"/>
    <hyperlink r:id="rId346" ref="M750"/>
    <hyperlink r:id="rId347" ref="M751"/>
    <hyperlink r:id="rId348" ref="M752"/>
    <hyperlink r:id="rId349" ref="M753"/>
    <hyperlink r:id="rId350" ref="M754"/>
    <hyperlink r:id="rId351" ref="M755"/>
    <hyperlink r:id="rId352" ref="M756"/>
    <hyperlink r:id="rId353" ref="M757"/>
    <hyperlink r:id="rId354" ref="M758"/>
    <hyperlink r:id="rId355" ref="M759"/>
    <hyperlink r:id="rId356" ref="M760"/>
    <hyperlink r:id="rId357" ref="M761"/>
    <hyperlink r:id="rId358" ref="M762"/>
    <hyperlink r:id="rId359" ref="M763"/>
    <hyperlink r:id="rId360" ref="M764"/>
    <hyperlink r:id="rId361" ref="M765"/>
    <hyperlink r:id="rId362" ref="M766"/>
    <hyperlink r:id="rId363" ref="M767"/>
    <hyperlink r:id="rId364" ref="M769"/>
    <hyperlink r:id="rId365" ref="M772"/>
    <hyperlink r:id="rId366" ref="M773"/>
    <hyperlink r:id="rId367" ref="M774"/>
    <hyperlink r:id="rId368" ref="M775"/>
    <hyperlink r:id="rId369" ref="M776"/>
    <hyperlink r:id="rId370" ref="M777"/>
    <hyperlink r:id="rId371" ref="M778"/>
    <hyperlink r:id="rId372" ref="M779"/>
    <hyperlink r:id="rId373" ref="M780"/>
    <hyperlink r:id="rId374" ref="M781"/>
    <hyperlink r:id="rId375" ref="M782"/>
    <hyperlink r:id="rId376" ref="M783"/>
    <hyperlink r:id="rId377" ref="M784"/>
    <hyperlink r:id="rId378" ref="M785"/>
    <hyperlink r:id="rId379" ref="M786"/>
    <hyperlink r:id="rId380" ref="M787"/>
    <hyperlink r:id="rId381" ref="M788"/>
    <hyperlink r:id="rId382" ref="M789"/>
    <hyperlink r:id="rId383" ref="M790"/>
    <hyperlink r:id="rId384" ref="M793"/>
    <hyperlink r:id="rId385" ref="M794"/>
    <hyperlink r:id="rId386" ref="M795"/>
    <hyperlink r:id="rId387" ref="M796"/>
    <hyperlink r:id="rId388" ref="M797"/>
    <hyperlink r:id="rId389" ref="M798"/>
    <hyperlink r:id="rId390" ref="M799"/>
    <hyperlink r:id="rId391" ref="M800"/>
    <hyperlink r:id="rId392" ref="M801"/>
    <hyperlink r:id="rId393" ref="M802"/>
    <hyperlink r:id="rId394" ref="M804"/>
    <hyperlink r:id="rId395" ref="M805"/>
    <hyperlink r:id="rId396" ref="M806"/>
    <hyperlink r:id="rId397" ref="M807"/>
    <hyperlink r:id="rId398" ref="M809"/>
    <hyperlink r:id="rId399" ref="M810"/>
    <hyperlink r:id="rId400" ref="M811"/>
    <hyperlink r:id="rId401" ref="M812"/>
    <hyperlink r:id="rId402" ref="M815"/>
    <hyperlink r:id="rId403" ref="M816"/>
    <hyperlink r:id="rId404" ref="M817"/>
    <hyperlink r:id="rId405" ref="M818"/>
    <hyperlink r:id="rId406" ref="M819"/>
    <hyperlink r:id="rId407" ref="M820"/>
    <hyperlink r:id="rId408" ref="M821"/>
    <hyperlink r:id="rId409" ref="M822"/>
    <hyperlink r:id="rId410" ref="M823"/>
    <hyperlink r:id="rId411" ref="M824"/>
    <hyperlink r:id="rId412" ref="M825"/>
    <hyperlink r:id="rId413" ref="M827"/>
    <hyperlink r:id="rId414" ref="M828"/>
    <hyperlink r:id="rId415" ref="M829"/>
    <hyperlink r:id="rId416" ref="M830"/>
    <hyperlink r:id="rId417" ref="M831"/>
    <hyperlink r:id="rId418" ref="M832"/>
    <hyperlink r:id="rId419" ref="M833"/>
    <hyperlink r:id="rId420" ref="M834"/>
    <hyperlink r:id="rId421" ref="M835"/>
    <hyperlink r:id="rId422" ref="M836"/>
    <hyperlink r:id="rId423" ref="M837"/>
    <hyperlink r:id="rId424" ref="M838"/>
    <hyperlink r:id="rId425" ref="M839"/>
    <hyperlink r:id="rId426" ref="M840"/>
    <hyperlink r:id="rId427" ref="M841"/>
    <hyperlink r:id="rId428" ref="M842"/>
    <hyperlink r:id="rId429" ref="M844"/>
    <hyperlink r:id="rId430" ref="M845"/>
    <hyperlink r:id="rId431" ref="M846"/>
    <hyperlink r:id="rId432" ref="M847"/>
    <hyperlink r:id="rId433" ref="M848"/>
    <hyperlink r:id="rId434" ref="M849"/>
    <hyperlink r:id="rId435" ref="M850"/>
    <hyperlink r:id="rId436" ref="M851"/>
    <hyperlink r:id="rId437" ref="M852"/>
    <hyperlink r:id="rId438" ref="M853"/>
    <hyperlink r:id="rId439" ref="M854"/>
    <hyperlink r:id="rId440" ref="M855"/>
    <hyperlink r:id="rId441" ref="M856"/>
    <hyperlink r:id="rId442" ref="M857"/>
    <hyperlink r:id="rId443" ref="M858"/>
    <hyperlink r:id="rId444" ref="M859"/>
    <hyperlink r:id="rId445" ref="M860"/>
    <hyperlink r:id="rId446" ref="M861"/>
    <hyperlink r:id="rId447" ref="M862"/>
    <hyperlink r:id="rId448" ref="M863"/>
    <hyperlink r:id="rId449" ref="M864"/>
    <hyperlink r:id="rId450" ref="M865"/>
    <hyperlink r:id="rId451" ref="M866"/>
    <hyperlink r:id="rId452" ref="M867"/>
    <hyperlink r:id="rId453" ref="M868"/>
    <hyperlink r:id="rId454" ref="M869"/>
    <hyperlink r:id="rId455" ref="M870"/>
    <hyperlink r:id="rId456" ref="M871"/>
    <hyperlink r:id="rId457" ref="M872"/>
    <hyperlink r:id="rId458" ref="M873"/>
    <hyperlink r:id="rId459" ref="M874"/>
    <hyperlink r:id="rId460" ref="M875"/>
    <hyperlink r:id="rId461" ref="M876"/>
    <hyperlink r:id="rId462" ref="M878"/>
    <hyperlink r:id="rId463" ref="M879"/>
    <hyperlink r:id="rId464" ref="M880"/>
    <hyperlink r:id="rId465" ref="M881"/>
    <hyperlink r:id="rId466" ref="M882"/>
    <hyperlink r:id="rId467" ref="M883"/>
    <hyperlink r:id="rId468" ref="M884"/>
    <hyperlink r:id="rId469" ref="M886"/>
    <hyperlink r:id="rId470" ref="M888"/>
    <hyperlink r:id="rId471" ref="M889"/>
    <hyperlink r:id="rId472" ref="M890"/>
    <hyperlink r:id="rId473" ref="M891"/>
    <hyperlink r:id="rId474" ref="M892"/>
    <hyperlink r:id="rId475" ref="M893"/>
    <hyperlink r:id="rId476" ref="M894"/>
    <hyperlink r:id="rId477" ref="M895"/>
    <hyperlink r:id="rId478" ref="M896"/>
    <hyperlink r:id="rId479" ref="M897"/>
    <hyperlink r:id="rId480" ref="M898"/>
    <hyperlink r:id="rId481" ref="M899"/>
    <hyperlink r:id="rId482" ref="M900"/>
    <hyperlink r:id="rId483" ref="M901"/>
    <hyperlink r:id="rId484" ref="M902"/>
    <hyperlink r:id="rId485" ref="M903"/>
    <hyperlink r:id="rId486" ref="M904"/>
    <hyperlink r:id="rId487" ref="M905"/>
    <hyperlink r:id="rId488" ref="M906"/>
    <hyperlink r:id="rId489" ref="M907"/>
    <hyperlink r:id="rId490" ref="M909"/>
    <hyperlink r:id="rId491" ref="M911"/>
    <hyperlink r:id="rId492" ref="M912"/>
    <hyperlink r:id="rId493" ref="M913"/>
    <hyperlink r:id="rId494" ref="M914"/>
    <hyperlink r:id="rId495" ref="M915"/>
    <hyperlink r:id="rId496" ref="M916"/>
    <hyperlink r:id="rId497" ref="M917"/>
    <hyperlink r:id="rId498" ref="M918"/>
    <hyperlink r:id="rId499" ref="M919"/>
    <hyperlink r:id="rId500" ref="M920"/>
    <hyperlink r:id="rId501" ref="M921"/>
    <hyperlink r:id="rId502" ref="M922"/>
    <hyperlink r:id="rId503" ref="M923"/>
    <hyperlink r:id="rId504" ref="M924"/>
    <hyperlink r:id="rId505" ref="M925"/>
    <hyperlink r:id="rId506" ref="M926"/>
    <hyperlink r:id="rId507" ref="M927"/>
    <hyperlink r:id="rId508" ref="M928"/>
    <hyperlink r:id="rId509" ref="M929"/>
    <hyperlink r:id="rId510" ref="M930"/>
    <hyperlink r:id="rId511" ref="M931"/>
    <hyperlink r:id="rId512" ref="M932"/>
    <hyperlink r:id="rId513" ref="M933"/>
    <hyperlink r:id="rId514" ref="M934"/>
    <hyperlink r:id="rId515" ref="M935"/>
    <hyperlink r:id="rId516" ref="M936"/>
    <hyperlink r:id="rId517" ref="M937"/>
    <hyperlink r:id="rId518" ref="M939"/>
    <hyperlink r:id="rId519" ref="M944"/>
  </hyperlinks>
  <drawing r:id="rId5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5" max="5" width="43.88"/>
    <col customWidth="1" min="6" max="6" width="6.38"/>
    <col customWidth="1" min="7" max="7" width="11.38"/>
    <col customWidth="1" min="8" max="8" width="16.38"/>
    <col customWidth="1" min="9" max="9" width="25.13"/>
  </cols>
  <sheetData>
    <row r="1">
      <c r="A1" s="85" t="s">
        <v>4124</v>
      </c>
      <c r="B1" s="85" t="s">
        <v>4125</v>
      </c>
      <c r="C1" s="85" t="s">
        <v>4126</v>
      </c>
      <c r="D1" s="85" t="s">
        <v>2449</v>
      </c>
      <c r="E1" s="85" t="s">
        <v>4127</v>
      </c>
      <c r="F1" s="85" t="s">
        <v>4128</v>
      </c>
      <c r="G1" s="85" t="s">
        <v>4129</v>
      </c>
      <c r="H1" s="85" t="s">
        <v>4130</v>
      </c>
      <c r="I1" s="85" t="s">
        <v>4131</v>
      </c>
    </row>
    <row r="2">
      <c r="A2" s="2" t="s">
        <v>4132</v>
      </c>
      <c r="B2" s="86">
        <v>46130.52777777778</v>
      </c>
      <c r="C2" s="33">
        <v>20.0</v>
      </c>
      <c r="D2" s="33">
        <v>78.0</v>
      </c>
      <c r="E2" s="2" t="s">
        <v>4133</v>
      </c>
      <c r="F2" s="2" t="s">
        <v>4134</v>
      </c>
      <c r="G2" s="2" t="s">
        <v>473</v>
      </c>
      <c r="H2" s="86">
        <v>46130.08819444444</v>
      </c>
      <c r="I2" s="2" t="s">
        <v>4135</v>
      </c>
    </row>
    <row r="3">
      <c r="A3" s="2" t="s">
        <v>4136</v>
      </c>
      <c r="B3" s="86">
        <v>46132.39444444444</v>
      </c>
      <c r="C3" s="33">
        <v>15.0</v>
      </c>
      <c r="D3" s="33">
        <v>97.0</v>
      </c>
      <c r="E3" s="2" t="s">
        <v>4137</v>
      </c>
      <c r="F3" s="2" t="s">
        <v>4138</v>
      </c>
      <c r="G3" s="2" t="s">
        <v>4139</v>
      </c>
    </row>
    <row r="4">
      <c r="A4" s="2" t="s">
        <v>4140</v>
      </c>
      <c r="B4" s="86">
        <v>46137.41875</v>
      </c>
      <c r="C4" s="33">
        <v>24.0</v>
      </c>
      <c r="D4" s="33">
        <v>33.0</v>
      </c>
      <c r="E4" s="2" t="s">
        <v>4141</v>
      </c>
      <c r="F4" s="2" t="s">
        <v>4142</v>
      </c>
      <c r="G4" s="2" t="s">
        <v>4139</v>
      </c>
    </row>
    <row r="5">
      <c r="A5" s="2" t="s">
        <v>4143</v>
      </c>
      <c r="B5" s="86">
        <v>46137.49097222222</v>
      </c>
      <c r="C5" s="33">
        <v>19.0</v>
      </c>
      <c r="D5" s="33">
        <v>51.0</v>
      </c>
      <c r="E5" s="2" t="s">
        <v>4144</v>
      </c>
      <c r="F5" s="2" t="s">
        <v>4145</v>
      </c>
      <c r="G5" s="2" t="s">
        <v>4139</v>
      </c>
    </row>
    <row r="6">
      <c r="A6" s="2" t="s">
        <v>4146</v>
      </c>
      <c r="B6" s="86">
        <v>46137.76944444444</v>
      </c>
      <c r="C6" s="33">
        <v>24.0</v>
      </c>
      <c r="D6" s="33">
        <v>76.0</v>
      </c>
      <c r="E6" s="2" t="s">
        <v>4147</v>
      </c>
      <c r="F6" s="2" t="s">
        <v>4148</v>
      </c>
      <c r="G6" s="2" t="s">
        <v>4139</v>
      </c>
    </row>
    <row r="7">
      <c r="A7" s="2" t="s">
        <v>4149</v>
      </c>
      <c r="B7" s="86">
        <v>46140.4375</v>
      </c>
      <c r="C7" s="33">
        <v>27.0</v>
      </c>
      <c r="D7" s="33">
        <v>42.0</v>
      </c>
      <c r="E7" s="2" t="s">
        <v>4150</v>
      </c>
      <c r="F7" s="2" t="s">
        <v>4151</v>
      </c>
      <c r="G7" s="2" t="s">
        <v>4139</v>
      </c>
    </row>
    <row r="8">
      <c r="A8" s="2" t="s">
        <v>4152</v>
      </c>
      <c r="B8" s="86">
        <v>46141.46666666667</v>
      </c>
      <c r="C8" s="33">
        <v>19.0</v>
      </c>
      <c r="D8" s="33">
        <v>69.0</v>
      </c>
      <c r="E8" s="2" t="s">
        <v>4153</v>
      </c>
      <c r="F8" s="2" t="s">
        <v>4154</v>
      </c>
      <c r="G8" s="2" t="s">
        <v>4139</v>
      </c>
    </row>
    <row r="9">
      <c r="A9" s="2" t="s">
        <v>4155</v>
      </c>
      <c r="B9" s="86">
        <v>46153.44236111111</v>
      </c>
      <c r="C9" s="33">
        <v>29.0</v>
      </c>
      <c r="D9" s="33">
        <v>95.0</v>
      </c>
      <c r="E9" s="2" t="s">
        <v>4156</v>
      </c>
      <c r="F9" s="2" t="s">
        <v>4157</v>
      </c>
      <c r="G9" s="2" t="s">
        <v>4139</v>
      </c>
    </row>
    <row r="10">
      <c r="A10" s="2" t="s">
        <v>4158</v>
      </c>
      <c r="B10" s="86">
        <v>46158.910416666666</v>
      </c>
      <c r="C10" s="33">
        <v>21.0</v>
      </c>
      <c r="D10" s="33">
        <v>82.0</v>
      </c>
      <c r="E10" s="2" t="s">
        <v>4159</v>
      </c>
      <c r="F10" s="2" t="s">
        <v>4160</v>
      </c>
      <c r="G10" s="2" t="s">
        <v>4139</v>
      </c>
    </row>
    <row r="11">
      <c r="A11" s="2" t="s">
        <v>4161</v>
      </c>
      <c r="B11" s="86">
        <v>46158.916666666664</v>
      </c>
      <c r="C11" s="33">
        <v>27.0</v>
      </c>
      <c r="D11" s="33">
        <v>149.0</v>
      </c>
      <c r="E11" s="2" t="s">
        <v>4162</v>
      </c>
      <c r="F11" s="2" t="s">
        <v>4163</v>
      </c>
      <c r="G11" s="2" t="s">
        <v>4139</v>
      </c>
    </row>
    <row r="12">
      <c r="A12" s="2" t="s">
        <v>4164</v>
      </c>
      <c r="B12" s="86">
        <v>46163.46597222222</v>
      </c>
      <c r="C12" s="33">
        <v>31.0</v>
      </c>
      <c r="D12" s="33">
        <v>24538.0</v>
      </c>
      <c r="E12" s="2" t="s">
        <v>4165</v>
      </c>
      <c r="F12" s="2" t="s">
        <v>4166</v>
      </c>
      <c r="G12" s="2" t="s">
        <v>4139</v>
      </c>
    </row>
    <row r="13">
      <c r="A13" s="2" t="s">
        <v>4167</v>
      </c>
      <c r="B13" s="86">
        <v>46163.51736111111</v>
      </c>
      <c r="C13" s="33">
        <v>22.0</v>
      </c>
      <c r="D13" s="33">
        <v>91.0</v>
      </c>
      <c r="E13" s="2" t="s">
        <v>4168</v>
      </c>
      <c r="F13" s="2" t="s">
        <v>4169</v>
      </c>
      <c r="G13" s="2" t="s">
        <v>4139</v>
      </c>
    </row>
    <row r="14">
      <c r="A14" s="2" t="s">
        <v>4170</v>
      </c>
      <c r="B14" s="86">
        <v>46166.425</v>
      </c>
      <c r="C14" s="33">
        <v>43.0</v>
      </c>
      <c r="D14" s="33">
        <v>90.0</v>
      </c>
      <c r="E14" s="2" t="s">
        <v>4171</v>
      </c>
      <c r="F14" s="2" t="s">
        <v>4172</v>
      </c>
      <c r="G14" s="2" t="s">
        <v>4139</v>
      </c>
    </row>
    <row r="15">
      <c r="A15" s="2" t="s">
        <v>4173</v>
      </c>
      <c r="B15" s="86">
        <v>46166.433333333334</v>
      </c>
      <c r="C15" s="33">
        <v>23.0</v>
      </c>
      <c r="D15" s="33">
        <v>30.0</v>
      </c>
      <c r="E15" s="2" t="s">
        <v>4174</v>
      </c>
      <c r="F15" s="2" t="s">
        <v>4175</v>
      </c>
      <c r="G15" s="2" t="s">
        <v>4139</v>
      </c>
    </row>
    <row r="16">
      <c r="A16" s="2" t="s">
        <v>4176</v>
      </c>
      <c r="B16" s="86">
        <v>46168.552083333336</v>
      </c>
      <c r="C16" s="33">
        <v>32.0</v>
      </c>
      <c r="D16" s="33">
        <v>63.0</v>
      </c>
      <c r="E16" s="2" t="s">
        <v>4177</v>
      </c>
      <c r="F16" s="2" t="s">
        <v>4178</v>
      </c>
      <c r="G16" s="2" t="s">
        <v>4139</v>
      </c>
    </row>
    <row r="17">
      <c r="A17" s="2" t="s">
        <v>4179</v>
      </c>
      <c r="B17" s="86">
        <v>46176.563888888886</v>
      </c>
      <c r="C17" s="33">
        <v>39.0</v>
      </c>
      <c r="D17" s="33">
        <v>95.0</v>
      </c>
      <c r="E17" s="2" t="s">
        <v>4180</v>
      </c>
      <c r="F17" s="2" t="s">
        <v>4181</v>
      </c>
      <c r="G17" s="2" t="s">
        <v>4139</v>
      </c>
    </row>
    <row r="18">
      <c r="A18" s="2" t="s">
        <v>4182</v>
      </c>
      <c r="B18" s="86">
        <v>46182.44930555556</v>
      </c>
      <c r="C18" s="33">
        <v>37.0</v>
      </c>
      <c r="D18" s="33">
        <v>77.0</v>
      </c>
      <c r="E18" s="2" t="s">
        <v>4183</v>
      </c>
      <c r="F18" s="2" t="s">
        <v>4184</v>
      </c>
      <c r="G18" s="2" t="s">
        <v>4139</v>
      </c>
    </row>
    <row r="19">
      <c r="A19" s="2" t="s">
        <v>4185</v>
      </c>
      <c r="B19" s="86">
        <v>46184.41875</v>
      </c>
      <c r="C19" s="33">
        <v>16.0</v>
      </c>
      <c r="D19" s="33">
        <v>29.0</v>
      </c>
      <c r="E19" s="2" t="s">
        <v>4186</v>
      </c>
      <c r="F19" s="2" t="s">
        <v>4187</v>
      </c>
      <c r="G19" s="2" t="s">
        <v>4139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tr">
        <f>IFERROR(__xludf.DUMMYFUNCTION("QUERY({ARRAYFORMULA(TO_TEXT('NHẬP ĐƠN'!C2:C1580)),'NHẬP ĐƠN'!D2:D1580,'NHẬP ĐƠN'!E2:E1580,'NHẬP ĐƠN'!F2:F1580},""SELECT Col1,Col2,Col3,SUM(Col4) WHERE Col1&lt;&gt;'' GROUP BY Col1,Col2,Col3 LABEL SUM(Col4) 'Tổng số lượng cần đặt'"",0)"),"")</f>
        <v/>
      </c>
      <c r="B1" s="38" t="str">
        <f>IFERROR(__xludf.DUMMYFUNCTION("""COMPUTED_VALUE"""),"")</f>
        <v/>
      </c>
      <c r="C1" s="38" t="str">
        <f>IFERROR(__xludf.DUMMYFUNCTION("""COMPUTED_VALUE"""),"")</f>
        <v/>
      </c>
      <c r="D1" s="38" t="str">
        <f>IFERROR(__xludf.DUMMYFUNCTION("""COMPUTED_VALUE"""),"Tổng số lượng cần đặt")</f>
        <v>Tổng số lượng cần đặt</v>
      </c>
      <c r="E1" s="2"/>
      <c r="F1" s="2"/>
      <c r="G1" s="2" t="s">
        <v>4188</v>
      </c>
      <c r="H1" s="2" t="s">
        <v>2442</v>
      </c>
    </row>
    <row r="2">
      <c r="A2" s="38" t="str">
        <f>IFERROR(__xludf.DUMMYFUNCTION("""COMPUTED_VALUE""")," P651W13112C")</f>
        <v> P651W13112C</v>
      </c>
      <c r="B2" s="38" t="str">
        <f>IFERROR(__xludf.DUMMYFUNCTION("""COMPUTED_VALUE"""),"39")</f>
        <v>39</v>
      </c>
      <c r="C2" s="38" t="str">
        <f>IFERROR(__xludf.DUMMYFUNCTION("""COMPUTED_VALUE"""),"BE")</f>
        <v>BE</v>
      </c>
      <c r="D2" s="38">
        <f>IFERROR(__xludf.DUMMYFUNCTION("""COMPUTED_VALUE"""),1.0)</f>
        <v>1</v>
      </c>
      <c r="G2" s="38">
        <f t="array" ref="G2:G1580">MAP(A2:A1580,B2:B1580,C2:C1580,LAMBDA(m,s,c,IF(m="","",IFERROR(SUMIFS('DATA_ĐÃ_ĐẶT'!D:D,'DATA_ĐÃ_ĐẶT'!A:A,m,'DATA_ĐÃ_ĐẶT'!B:B,s,'DATA_ĐÃ_ĐẶT'!C:C,c),0))))</f>
        <v>0</v>
      </c>
      <c r="H2" s="38">
        <f t="shared" ref="H2:H135" si="1">(D2-G2)</f>
        <v>1</v>
      </c>
    </row>
    <row r="3">
      <c r="A3" s="38" t="str">
        <f>IFERROR(__xludf.DUMMYFUNCTION("""COMPUTED_VALUE"""),"1302")</f>
        <v>1302</v>
      </c>
      <c r="B3" s="38" t="str">
        <f>IFERROR(__xludf.DUMMYFUNCTION("""COMPUTED_VALUE"""),"FZ")</f>
        <v>FZ</v>
      </c>
      <c r="C3" s="38" t="str">
        <f>IFERROR(__xludf.DUMMYFUNCTION("""COMPUTED_VALUE"""),"1")</f>
        <v>1</v>
      </c>
      <c r="D3" s="38">
        <f>IFERROR(__xludf.DUMMYFUNCTION("""COMPUTED_VALUE"""),2.0)</f>
        <v>2</v>
      </c>
      <c r="G3" s="38">
        <v>0.0</v>
      </c>
      <c r="H3" s="38">
        <f t="shared" si="1"/>
        <v>2</v>
      </c>
    </row>
    <row r="4">
      <c r="A4" s="38" t="str">
        <f>IFERROR(__xludf.DUMMYFUNCTION("""COMPUTED_VALUE"""),"1302")</f>
        <v>1302</v>
      </c>
      <c r="B4" s="38" t="str">
        <f>IFERROR(__xludf.DUMMYFUNCTION("""COMPUTED_VALUE"""),"FZ")</f>
        <v>FZ</v>
      </c>
      <c r="C4" s="38" t="str">
        <f>IFERROR(__xludf.DUMMYFUNCTION("""COMPUTED_VALUE"""),"2")</f>
        <v>2</v>
      </c>
      <c r="D4" s="38">
        <f>IFERROR(__xludf.DUMMYFUNCTION("""COMPUTED_VALUE"""),1.0)</f>
        <v>1</v>
      </c>
      <c r="G4" s="38">
        <v>0.0</v>
      </c>
      <c r="H4" s="38">
        <f t="shared" si="1"/>
        <v>1</v>
      </c>
    </row>
    <row r="5">
      <c r="A5" s="38" t="str">
        <f>IFERROR(__xludf.DUMMYFUNCTION("""COMPUTED_VALUE"""),"1302")</f>
        <v>1302</v>
      </c>
      <c r="B5" s="38" t="str">
        <f>IFERROR(__xludf.DUMMYFUNCTION("""COMPUTED_VALUE"""),"FZ")</f>
        <v>FZ</v>
      </c>
      <c r="C5" s="38" t="str">
        <f>IFERROR(__xludf.DUMMYFUNCTION("""COMPUTED_VALUE"""),"3")</f>
        <v>3</v>
      </c>
      <c r="D5" s="38">
        <f>IFERROR(__xludf.DUMMYFUNCTION("""COMPUTED_VALUE"""),3.0)</f>
        <v>3</v>
      </c>
      <c r="G5" s="38">
        <v>0.0</v>
      </c>
      <c r="H5" s="38">
        <f t="shared" si="1"/>
        <v>3</v>
      </c>
    </row>
    <row r="6">
      <c r="A6" s="38" t="str">
        <f>IFERROR(__xludf.DUMMYFUNCTION("""COMPUTED_VALUE"""),"1302")</f>
        <v>1302</v>
      </c>
      <c r="B6" s="38" t="str">
        <f>IFERROR(__xludf.DUMMYFUNCTION("""COMPUTED_VALUE"""),"FZ")</f>
        <v>FZ</v>
      </c>
      <c r="C6" s="38" t="str">
        <f>IFERROR(__xludf.DUMMYFUNCTION("""COMPUTED_VALUE"""),"5")</f>
        <v>5</v>
      </c>
      <c r="D6" s="38">
        <f>IFERROR(__xludf.DUMMYFUNCTION("""COMPUTED_VALUE"""),1.0)</f>
        <v>1</v>
      </c>
      <c r="G6" s="38">
        <v>0.0</v>
      </c>
      <c r="H6" s="38">
        <f t="shared" si="1"/>
        <v>1</v>
      </c>
    </row>
    <row r="7">
      <c r="A7" s="38" t="str">
        <f>IFERROR(__xludf.DUMMYFUNCTION("""COMPUTED_VALUE"""),"1302")</f>
        <v>1302</v>
      </c>
      <c r="B7" s="38" t="str">
        <f>IFERROR(__xludf.DUMMYFUNCTION("""COMPUTED_VALUE"""),"FZ")</f>
        <v>FZ</v>
      </c>
      <c r="C7" s="38" t="str">
        <f>IFERROR(__xludf.DUMMYFUNCTION("""COMPUTED_VALUE"""),"6")</f>
        <v>6</v>
      </c>
      <c r="D7" s="38">
        <f>IFERROR(__xludf.DUMMYFUNCTION("""COMPUTED_VALUE"""),6.0)</f>
        <v>6</v>
      </c>
      <c r="G7" s="38">
        <v>0.0</v>
      </c>
      <c r="H7" s="38">
        <f t="shared" si="1"/>
        <v>6</v>
      </c>
    </row>
    <row r="8">
      <c r="A8" s="38" t="str">
        <f>IFERROR(__xludf.DUMMYFUNCTION("""COMPUTED_VALUE"""),"1302")</f>
        <v>1302</v>
      </c>
      <c r="B8" s="38" t="str">
        <f>IFERROR(__xludf.DUMMYFUNCTION("""COMPUTED_VALUE"""),"FZ")</f>
        <v>FZ</v>
      </c>
      <c r="C8" s="38" t="str">
        <f>IFERROR(__xludf.DUMMYFUNCTION("""COMPUTED_VALUE"""),"8")</f>
        <v>8</v>
      </c>
      <c r="D8" s="38">
        <f>IFERROR(__xludf.DUMMYFUNCTION("""COMPUTED_VALUE"""),1.0)</f>
        <v>1</v>
      </c>
      <c r="G8" s="38">
        <v>0.0</v>
      </c>
      <c r="H8" s="38">
        <f t="shared" si="1"/>
        <v>1</v>
      </c>
    </row>
    <row r="9">
      <c r="A9" s="38" t="str">
        <f>IFERROR(__xludf.DUMMYFUNCTION("""COMPUTED_VALUE"""),"1302")</f>
        <v>1302</v>
      </c>
      <c r="B9" s="38" t="str">
        <f>IFERROR(__xludf.DUMMYFUNCTION("""COMPUTED_VALUE"""),"FZ")</f>
        <v>FZ</v>
      </c>
      <c r="C9" s="38" t="str">
        <f>IFERROR(__xludf.DUMMYFUNCTION("""COMPUTED_VALUE"""),"9")</f>
        <v>9</v>
      </c>
      <c r="D9" s="38">
        <f>IFERROR(__xludf.DUMMYFUNCTION("""COMPUTED_VALUE"""),2.0)</f>
        <v>2</v>
      </c>
      <c r="G9" s="38">
        <v>0.0</v>
      </c>
      <c r="H9" s="38">
        <f t="shared" si="1"/>
        <v>2</v>
      </c>
    </row>
    <row r="10">
      <c r="A10" s="38" t="str">
        <f>IFERROR(__xludf.DUMMYFUNCTION("""COMPUTED_VALUE"""),"1302")</f>
        <v>1302</v>
      </c>
      <c r="B10" s="38" t="str">
        <f>IFERROR(__xludf.DUMMYFUNCTION("""COMPUTED_VALUE"""),"FZ")</f>
        <v>FZ</v>
      </c>
      <c r="C10" s="38" t="str">
        <f>IFERROR(__xludf.DUMMYFUNCTION("""COMPUTED_VALUE"""),"SỌC XANH")</f>
        <v>SỌC XANH</v>
      </c>
      <c r="D10" s="38">
        <f>IFERROR(__xludf.DUMMYFUNCTION("""COMPUTED_VALUE"""),1.0)</f>
        <v>1</v>
      </c>
      <c r="G10" s="38">
        <v>0.0</v>
      </c>
      <c r="H10" s="38">
        <f t="shared" si="1"/>
        <v>1</v>
      </c>
    </row>
    <row r="11">
      <c r="A11" s="38" t="str">
        <f>IFERROR(__xludf.DUMMYFUNCTION("""COMPUTED_VALUE"""),"1639")</f>
        <v>1639</v>
      </c>
      <c r="B11" s="38" t="str">
        <f>IFERROR(__xludf.DUMMYFUNCTION("""COMPUTED_VALUE"""),"M")</f>
        <v>M</v>
      </c>
      <c r="C11" s="38" t="str">
        <f>IFERROR(__xludf.DUMMYFUNCTION("""COMPUTED_VALUE"""),"CAM")</f>
        <v>CAM</v>
      </c>
      <c r="D11" s="38">
        <f>IFERROR(__xludf.DUMMYFUNCTION("""COMPUTED_VALUE"""),1.0)</f>
        <v>1</v>
      </c>
      <c r="G11" s="38">
        <v>0.0</v>
      </c>
      <c r="H11" s="38">
        <f t="shared" si="1"/>
        <v>1</v>
      </c>
    </row>
    <row r="12">
      <c r="A12" s="38" t="str">
        <f>IFERROR(__xludf.DUMMYFUNCTION("""COMPUTED_VALUE"""),"1639")</f>
        <v>1639</v>
      </c>
      <c r="B12" s="38" t="str">
        <f>IFERROR(__xludf.DUMMYFUNCTION("""COMPUTED_VALUE"""),"S")</f>
        <v>S</v>
      </c>
      <c r="C12" s="38" t="str">
        <f>IFERROR(__xludf.DUMMYFUNCTION("""COMPUTED_VALUE"""),"CAM")</f>
        <v>CAM</v>
      </c>
      <c r="D12" s="38">
        <f>IFERROR(__xludf.DUMMYFUNCTION("""COMPUTED_VALUE"""),2.0)</f>
        <v>2</v>
      </c>
      <c r="G12" s="38">
        <v>0.0</v>
      </c>
      <c r="H12" s="38">
        <f t="shared" si="1"/>
        <v>2</v>
      </c>
    </row>
    <row r="13">
      <c r="A13" s="38" t="str">
        <f>IFERROR(__xludf.DUMMYFUNCTION("""COMPUTED_VALUE"""),"1653")</f>
        <v>1653</v>
      </c>
      <c r="B13" s="38" t="str">
        <f>IFERROR(__xludf.DUMMYFUNCTION("""COMPUTED_VALUE"""),"M")</f>
        <v>M</v>
      </c>
      <c r="C13" s="38" t="str">
        <f>IFERROR(__xludf.DUMMYFUNCTION("""COMPUTED_VALUE"""),"TRẮNG")</f>
        <v>TRẮNG</v>
      </c>
      <c r="D13" s="38">
        <f>IFERROR(__xludf.DUMMYFUNCTION("""COMPUTED_VALUE"""),10.0)</f>
        <v>10</v>
      </c>
      <c r="G13" s="38">
        <v>0.0</v>
      </c>
      <c r="H13" s="38">
        <f t="shared" si="1"/>
        <v>10</v>
      </c>
    </row>
    <row r="14">
      <c r="A14" s="38" t="str">
        <f>IFERROR(__xludf.DUMMYFUNCTION("""COMPUTED_VALUE"""),"1653")</f>
        <v>1653</v>
      </c>
      <c r="B14" s="38" t="str">
        <f>IFERROR(__xludf.DUMMYFUNCTION("""COMPUTED_VALUE"""),"S")</f>
        <v>S</v>
      </c>
      <c r="C14" s="38" t="str">
        <f>IFERROR(__xludf.DUMMYFUNCTION("""COMPUTED_VALUE"""),"TRẮNG")</f>
        <v>TRẮNG</v>
      </c>
      <c r="D14" s="38">
        <f>IFERROR(__xludf.DUMMYFUNCTION("""COMPUTED_VALUE"""),10.0)</f>
        <v>10</v>
      </c>
      <c r="G14" s="38">
        <v>0.0</v>
      </c>
      <c r="H14" s="38">
        <f t="shared" si="1"/>
        <v>10</v>
      </c>
    </row>
    <row r="15">
      <c r="A15" s="38" t="str">
        <f>IFERROR(__xludf.DUMMYFUNCTION("""COMPUTED_VALUE"""),"3225")</f>
        <v>3225</v>
      </c>
      <c r="B15" s="38" t="str">
        <f>IFERROR(__xludf.DUMMYFUNCTION("""COMPUTED_VALUE"""),"L")</f>
        <v>L</v>
      </c>
      <c r="C15" s="38" t="str">
        <f>IFERROR(__xludf.DUMMYFUNCTION("""COMPUTED_VALUE"""),"XANH THAN")</f>
        <v>XANH THAN</v>
      </c>
      <c r="D15" s="38">
        <f>IFERROR(__xludf.DUMMYFUNCTION("""COMPUTED_VALUE"""),2.0)</f>
        <v>2</v>
      </c>
      <c r="G15" s="38">
        <v>0.0</v>
      </c>
      <c r="H15" s="38">
        <f t="shared" si="1"/>
        <v>2</v>
      </c>
    </row>
    <row r="16">
      <c r="A16" s="38" t="str">
        <f>IFERROR(__xludf.DUMMYFUNCTION("""COMPUTED_VALUE"""),"3225")</f>
        <v>3225</v>
      </c>
      <c r="B16" s="38" t="str">
        <f>IFERROR(__xludf.DUMMYFUNCTION("""COMPUTED_VALUE"""),"M")</f>
        <v>M</v>
      </c>
      <c r="C16" s="38" t="str">
        <f>IFERROR(__xludf.DUMMYFUNCTION("""COMPUTED_VALUE"""),"XANH THAN")</f>
        <v>XANH THAN</v>
      </c>
      <c r="D16" s="38">
        <f>IFERROR(__xludf.DUMMYFUNCTION("""COMPUTED_VALUE"""),2.0)</f>
        <v>2</v>
      </c>
      <c r="G16" s="38">
        <v>0.0</v>
      </c>
      <c r="H16" s="38">
        <f t="shared" si="1"/>
        <v>2</v>
      </c>
    </row>
    <row r="17">
      <c r="A17" s="38" t="str">
        <f>IFERROR(__xludf.DUMMYFUNCTION("""COMPUTED_VALUE"""),"3225")</f>
        <v>3225</v>
      </c>
      <c r="B17" s="38" t="str">
        <f>IFERROR(__xludf.DUMMYFUNCTION("""COMPUTED_VALUE"""),"S")</f>
        <v>S</v>
      </c>
      <c r="C17" s="38" t="str">
        <f>IFERROR(__xludf.DUMMYFUNCTION("""COMPUTED_VALUE"""),"BE")</f>
        <v>BE</v>
      </c>
      <c r="D17" s="38">
        <f>IFERROR(__xludf.DUMMYFUNCTION("""COMPUTED_VALUE"""),2.0)</f>
        <v>2</v>
      </c>
      <c r="G17" s="38">
        <v>0.0</v>
      </c>
      <c r="H17" s="38">
        <f t="shared" si="1"/>
        <v>2</v>
      </c>
    </row>
    <row r="18">
      <c r="A18" s="38" t="str">
        <f>IFERROR(__xludf.DUMMYFUNCTION("""COMPUTED_VALUE"""),"3225")</f>
        <v>3225</v>
      </c>
      <c r="B18" s="38" t="str">
        <f>IFERROR(__xludf.DUMMYFUNCTION("""COMPUTED_VALUE"""),"S")</f>
        <v>S</v>
      </c>
      <c r="C18" s="38" t="str">
        <f>IFERROR(__xludf.DUMMYFUNCTION("""COMPUTED_VALUE"""),"XANH THAN")</f>
        <v>XANH THAN</v>
      </c>
      <c r="D18" s="38">
        <f>IFERROR(__xludf.DUMMYFUNCTION("""COMPUTED_VALUE"""),4.0)</f>
        <v>4</v>
      </c>
      <c r="G18" s="38">
        <v>0.0</v>
      </c>
      <c r="H18" s="38">
        <f t="shared" si="1"/>
        <v>4</v>
      </c>
    </row>
    <row r="19">
      <c r="A19" s="38" t="str">
        <f>IFERROR(__xludf.DUMMYFUNCTION("""COMPUTED_VALUE"""),"5007")</f>
        <v>5007</v>
      </c>
      <c r="B19" s="38" t="str">
        <f>IFERROR(__xludf.DUMMYFUNCTION("""COMPUTED_VALUE"""),"M")</f>
        <v>M</v>
      </c>
      <c r="C19" s="38" t="str">
        <f>IFERROR(__xludf.DUMMYFUNCTION("""COMPUTED_VALUE"""),"TRẮNG")</f>
        <v>TRẮNG</v>
      </c>
      <c r="D19" s="38">
        <f>IFERROR(__xludf.DUMMYFUNCTION("""COMPUTED_VALUE"""),3.0)</f>
        <v>3</v>
      </c>
      <c r="G19" s="38">
        <v>0.0</v>
      </c>
      <c r="H19" s="38">
        <f t="shared" si="1"/>
        <v>3</v>
      </c>
    </row>
    <row r="20">
      <c r="A20" s="38" t="str">
        <f>IFERROR(__xludf.DUMMYFUNCTION("""COMPUTED_VALUE"""),"5007")</f>
        <v>5007</v>
      </c>
      <c r="B20" s="38" t="str">
        <f>IFERROR(__xludf.DUMMYFUNCTION("""COMPUTED_VALUE"""),"M")</f>
        <v>M</v>
      </c>
      <c r="C20" s="38" t="str">
        <f>IFERROR(__xludf.DUMMYFUNCTION("""COMPUTED_VALUE"""),"ĐEN")</f>
        <v>ĐEN</v>
      </c>
      <c r="D20" s="38">
        <f>IFERROR(__xludf.DUMMYFUNCTION("""COMPUTED_VALUE"""),3.0)</f>
        <v>3</v>
      </c>
      <c r="G20" s="38">
        <v>0.0</v>
      </c>
      <c r="H20" s="38">
        <f t="shared" si="1"/>
        <v>3</v>
      </c>
    </row>
    <row r="21">
      <c r="A21" s="38" t="str">
        <f>IFERROR(__xludf.DUMMYFUNCTION("""COMPUTED_VALUE"""),"5007")</f>
        <v>5007</v>
      </c>
      <c r="B21" s="38" t="str">
        <f>IFERROR(__xludf.DUMMYFUNCTION("""COMPUTED_VALUE"""),"S")</f>
        <v>S</v>
      </c>
      <c r="C21" s="38" t="str">
        <f>IFERROR(__xludf.DUMMYFUNCTION("""COMPUTED_VALUE"""),"TRẮNG")</f>
        <v>TRẮNG</v>
      </c>
      <c r="D21" s="38">
        <f>IFERROR(__xludf.DUMMYFUNCTION("""COMPUTED_VALUE"""),1.0)</f>
        <v>1</v>
      </c>
      <c r="G21" s="38">
        <v>0.0</v>
      </c>
      <c r="H21" s="38">
        <f t="shared" si="1"/>
        <v>1</v>
      </c>
    </row>
    <row r="22">
      <c r="A22" s="38" t="str">
        <f>IFERROR(__xludf.DUMMYFUNCTION("""COMPUTED_VALUE"""),"5344")</f>
        <v>5344</v>
      </c>
      <c r="B22" s="38" t="str">
        <f>IFERROR(__xludf.DUMMYFUNCTION("""COMPUTED_VALUE"""),"L")</f>
        <v>L</v>
      </c>
      <c r="C22" s="38" t="str">
        <f>IFERROR(__xludf.DUMMYFUNCTION("""COMPUTED_VALUE"""),"XANH THAN")</f>
        <v>XANH THAN</v>
      </c>
      <c r="D22" s="38">
        <f>IFERROR(__xludf.DUMMYFUNCTION("""COMPUTED_VALUE"""),1.0)</f>
        <v>1</v>
      </c>
      <c r="G22" s="38">
        <v>1.0</v>
      </c>
      <c r="H22" s="38">
        <f t="shared" si="1"/>
        <v>0</v>
      </c>
    </row>
    <row r="23">
      <c r="A23" s="38" t="str">
        <f>IFERROR(__xludf.DUMMYFUNCTION("""COMPUTED_VALUE"""),"5344")</f>
        <v>5344</v>
      </c>
      <c r="B23" s="38" t="str">
        <f>IFERROR(__xludf.DUMMYFUNCTION("""COMPUTED_VALUE"""),"M")</f>
        <v>M</v>
      </c>
      <c r="C23" s="38" t="str">
        <f>IFERROR(__xludf.DUMMYFUNCTION("""COMPUTED_VALUE"""),"XANH THAN")</f>
        <v>XANH THAN</v>
      </c>
      <c r="D23" s="38">
        <f>IFERROR(__xludf.DUMMYFUNCTION("""COMPUTED_VALUE"""),2.0)</f>
        <v>2</v>
      </c>
      <c r="G23" s="38">
        <v>2.0</v>
      </c>
      <c r="H23" s="38">
        <f t="shared" si="1"/>
        <v>0</v>
      </c>
    </row>
    <row r="24">
      <c r="A24" s="38" t="str">
        <f>IFERROR(__xludf.DUMMYFUNCTION("""COMPUTED_VALUE"""),"5344")</f>
        <v>5344</v>
      </c>
      <c r="B24" s="38" t="str">
        <f>IFERROR(__xludf.DUMMYFUNCTION("""COMPUTED_VALUE"""),"S")</f>
        <v>S</v>
      </c>
      <c r="C24" s="38" t="str">
        <f>IFERROR(__xludf.DUMMYFUNCTION("""COMPUTED_VALUE"""),"XANH THAN")</f>
        <v>XANH THAN</v>
      </c>
      <c r="D24" s="38">
        <f>IFERROR(__xludf.DUMMYFUNCTION("""COMPUTED_VALUE"""),6.0)</f>
        <v>6</v>
      </c>
      <c r="G24" s="38">
        <v>6.0</v>
      </c>
      <c r="H24" s="38">
        <f t="shared" si="1"/>
        <v>0</v>
      </c>
    </row>
    <row r="25">
      <c r="A25" s="38" t="str">
        <f>IFERROR(__xludf.DUMMYFUNCTION("""COMPUTED_VALUE"""),"5670")</f>
        <v>5670</v>
      </c>
      <c r="B25" s="38" t="str">
        <f>IFERROR(__xludf.DUMMYFUNCTION("""COMPUTED_VALUE"""),"M")</f>
        <v>M</v>
      </c>
      <c r="C25" s="38" t="str">
        <f>IFERROR(__xludf.DUMMYFUNCTION("""COMPUTED_VALUE"""),"TRẮNG")</f>
        <v>TRẮNG</v>
      </c>
      <c r="D25" s="38">
        <f>IFERROR(__xludf.DUMMYFUNCTION("""COMPUTED_VALUE"""),7.0)</f>
        <v>7</v>
      </c>
      <c r="G25" s="38">
        <v>0.0</v>
      </c>
      <c r="H25" s="38">
        <f t="shared" si="1"/>
        <v>7</v>
      </c>
    </row>
    <row r="26">
      <c r="A26" s="38" t="str">
        <f>IFERROR(__xludf.DUMMYFUNCTION("""COMPUTED_VALUE"""),"5670")</f>
        <v>5670</v>
      </c>
      <c r="B26" s="38" t="str">
        <f>IFERROR(__xludf.DUMMYFUNCTION("""COMPUTED_VALUE"""),"S")</f>
        <v>S</v>
      </c>
      <c r="C26" s="38" t="str">
        <f>IFERROR(__xludf.DUMMYFUNCTION("""COMPUTED_VALUE"""),"TRẮNG")</f>
        <v>TRẮNG</v>
      </c>
      <c r="D26" s="38">
        <f>IFERROR(__xludf.DUMMYFUNCTION("""COMPUTED_VALUE"""),7.0)</f>
        <v>7</v>
      </c>
      <c r="G26" s="38">
        <v>0.0</v>
      </c>
      <c r="H26" s="38">
        <f t="shared" si="1"/>
        <v>7</v>
      </c>
    </row>
    <row r="27">
      <c r="A27" s="38" t="str">
        <f>IFERROR(__xludf.DUMMYFUNCTION("""COMPUTED_VALUE"""),"5709")</f>
        <v>5709</v>
      </c>
      <c r="B27" s="38" t="str">
        <f>IFERROR(__xludf.DUMMYFUNCTION("""COMPUTED_VALUE"""),"L")</f>
        <v>L</v>
      </c>
      <c r="C27" s="38" t="str">
        <f>IFERROR(__xludf.DUMMYFUNCTION("""COMPUTED_VALUE"""),"XANH NHẠT")</f>
        <v>XANH NHẠT</v>
      </c>
      <c r="D27" s="38">
        <f>IFERROR(__xludf.DUMMYFUNCTION("""COMPUTED_VALUE"""),2.0)</f>
        <v>2</v>
      </c>
      <c r="G27" s="38">
        <v>2.0</v>
      </c>
      <c r="H27" s="38">
        <f t="shared" si="1"/>
        <v>0</v>
      </c>
    </row>
    <row r="28">
      <c r="A28" s="38" t="str">
        <f>IFERROR(__xludf.DUMMYFUNCTION("""COMPUTED_VALUE"""),"5709")</f>
        <v>5709</v>
      </c>
      <c r="B28" s="38" t="str">
        <f>IFERROR(__xludf.DUMMYFUNCTION("""COMPUTED_VALUE"""),"M")</f>
        <v>M</v>
      </c>
      <c r="C28" s="38" t="str">
        <f>IFERROR(__xludf.DUMMYFUNCTION("""COMPUTED_VALUE"""),"XANH NHẠT")</f>
        <v>XANH NHẠT</v>
      </c>
      <c r="D28" s="38">
        <f>IFERROR(__xludf.DUMMYFUNCTION("""COMPUTED_VALUE"""),11.0)</f>
        <v>11</v>
      </c>
      <c r="G28" s="38">
        <v>5.0</v>
      </c>
      <c r="H28" s="38">
        <f t="shared" si="1"/>
        <v>6</v>
      </c>
    </row>
    <row r="29">
      <c r="A29" s="38" t="str">
        <f>IFERROR(__xludf.DUMMYFUNCTION("""COMPUTED_VALUE"""),"5709")</f>
        <v>5709</v>
      </c>
      <c r="B29" s="38" t="str">
        <f>IFERROR(__xludf.DUMMYFUNCTION("""COMPUTED_VALUE"""),"S")</f>
        <v>S</v>
      </c>
      <c r="C29" s="38" t="str">
        <f>IFERROR(__xludf.DUMMYFUNCTION("""COMPUTED_VALUE"""),"XANH NHẠT")</f>
        <v>XANH NHẠT</v>
      </c>
      <c r="D29" s="38">
        <f>IFERROR(__xludf.DUMMYFUNCTION("""COMPUTED_VALUE"""),13.0)</f>
        <v>13</v>
      </c>
      <c r="G29" s="38">
        <v>5.0</v>
      </c>
      <c r="H29" s="38">
        <f t="shared" si="1"/>
        <v>8</v>
      </c>
    </row>
    <row r="30">
      <c r="A30" s="38" t="str">
        <f>IFERROR(__xludf.DUMMYFUNCTION("""COMPUTED_VALUE"""),"5709")</f>
        <v>5709</v>
      </c>
      <c r="B30" s="38" t="str">
        <f>IFERROR(__xludf.DUMMYFUNCTION("""COMPUTED_VALUE"""),"XL")</f>
        <v>XL</v>
      </c>
      <c r="C30" s="38" t="str">
        <f>IFERROR(__xludf.DUMMYFUNCTION("""COMPUTED_VALUE"""),"XANH NHẠT")</f>
        <v>XANH NHẠT</v>
      </c>
      <c r="D30" s="38">
        <f>IFERROR(__xludf.DUMMYFUNCTION("""COMPUTED_VALUE"""),1.0)</f>
        <v>1</v>
      </c>
      <c r="G30" s="38">
        <v>0.0</v>
      </c>
      <c r="H30" s="38">
        <f t="shared" si="1"/>
        <v>1</v>
      </c>
    </row>
    <row r="31">
      <c r="A31" s="38" t="str">
        <f>IFERROR(__xludf.DUMMYFUNCTION("""COMPUTED_VALUE"""),"627")</f>
        <v>627</v>
      </c>
      <c r="B31" s="38" t="str">
        <f>IFERROR(__xludf.DUMMYFUNCTION("""COMPUTED_VALUE"""),"FZ")</f>
        <v>FZ</v>
      </c>
      <c r="C31" s="38" t="str">
        <f>IFERROR(__xludf.DUMMYFUNCTION("""COMPUTED_VALUE"""),"BE")</f>
        <v>BE</v>
      </c>
      <c r="D31" s="38">
        <f>IFERROR(__xludf.DUMMYFUNCTION("""COMPUTED_VALUE"""),2.0)</f>
        <v>2</v>
      </c>
      <c r="G31" s="38">
        <v>0.0</v>
      </c>
      <c r="H31" s="38">
        <f t="shared" si="1"/>
        <v>2</v>
      </c>
    </row>
    <row r="32">
      <c r="A32" s="38" t="str">
        <f>IFERROR(__xludf.DUMMYFUNCTION("""COMPUTED_VALUE"""),"627")</f>
        <v>627</v>
      </c>
      <c r="B32" s="38" t="str">
        <f>IFERROR(__xludf.DUMMYFUNCTION("""COMPUTED_VALUE"""),"FZ")</f>
        <v>FZ</v>
      </c>
      <c r="C32" s="38" t="str">
        <f>IFERROR(__xludf.DUMMYFUNCTION("""COMPUTED_VALUE"""),"NÂU")</f>
        <v>NÂU</v>
      </c>
      <c r="D32" s="38">
        <f>IFERROR(__xludf.DUMMYFUNCTION("""COMPUTED_VALUE"""),3.0)</f>
        <v>3</v>
      </c>
      <c r="G32" s="38">
        <v>0.0</v>
      </c>
      <c r="H32" s="38">
        <f t="shared" si="1"/>
        <v>3</v>
      </c>
    </row>
    <row r="33">
      <c r="A33" s="38" t="str">
        <f>IFERROR(__xludf.DUMMYFUNCTION("""COMPUTED_VALUE"""),"627")</f>
        <v>627</v>
      </c>
      <c r="B33" s="38" t="str">
        <f>IFERROR(__xludf.DUMMYFUNCTION("""COMPUTED_VALUE"""),"FZ")</f>
        <v>FZ</v>
      </c>
      <c r="C33" s="38" t="str">
        <f>IFERROR(__xludf.DUMMYFUNCTION("""COMPUTED_VALUE"""),"TRẮNG")</f>
        <v>TRẮNG</v>
      </c>
      <c r="D33" s="38">
        <f>IFERROR(__xludf.DUMMYFUNCTION("""COMPUTED_VALUE"""),5.0)</f>
        <v>5</v>
      </c>
      <c r="G33" s="38">
        <v>0.0</v>
      </c>
      <c r="H33" s="38">
        <f t="shared" si="1"/>
        <v>5</v>
      </c>
    </row>
    <row r="34">
      <c r="A34" s="38" t="str">
        <f>IFERROR(__xludf.DUMMYFUNCTION("""COMPUTED_VALUE"""),"627")</f>
        <v>627</v>
      </c>
      <c r="B34" s="38" t="str">
        <f>IFERROR(__xludf.DUMMYFUNCTION("""COMPUTED_VALUE"""),"FZ")</f>
        <v>FZ</v>
      </c>
      <c r="C34" s="38" t="str">
        <f>IFERROR(__xludf.DUMMYFUNCTION("""COMPUTED_VALUE"""),"XÁM")</f>
        <v>XÁM</v>
      </c>
      <c r="D34" s="38">
        <f>IFERROR(__xludf.DUMMYFUNCTION("""COMPUTED_VALUE"""),2.0)</f>
        <v>2</v>
      </c>
      <c r="G34" s="38">
        <v>0.0</v>
      </c>
      <c r="H34" s="38">
        <f t="shared" si="1"/>
        <v>2</v>
      </c>
    </row>
    <row r="35">
      <c r="A35" s="38" t="str">
        <f>IFERROR(__xludf.DUMMYFUNCTION("""COMPUTED_VALUE"""),"627")</f>
        <v>627</v>
      </c>
      <c r="B35" s="38" t="str">
        <f>IFERROR(__xludf.DUMMYFUNCTION("""COMPUTED_VALUE"""),"FZ")</f>
        <v>FZ</v>
      </c>
      <c r="C35" s="38" t="str">
        <f>IFERROR(__xludf.DUMMYFUNCTION("""COMPUTED_VALUE"""),"ĐEN")</f>
        <v>ĐEN</v>
      </c>
      <c r="D35" s="38">
        <f>IFERROR(__xludf.DUMMYFUNCTION("""COMPUTED_VALUE"""),8.0)</f>
        <v>8</v>
      </c>
      <c r="G35" s="38">
        <v>0.0</v>
      </c>
      <c r="H35" s="38">
        <f t="shared" si="1"/>
        <v>8</v>
      </c>
    </row>
    <row r="36">
      <c r="A36" s="38" t="str">
        <f>IFERROR(__xludf.DUMMYFUNCTION("""COMPUTED_VALUE"""),"6612")</f>
        <v>6612</v>
      </c>
      <c r="B36" s="38" t="str">
        <f>IFERROR(__xludf.DUMMYFUNCTION("""COMPUTED_VALUE"""),"FZ")</f>
        <v>FZ</v>
      </c>
      <c r="C36" s="38" t="str">
        <f>IFERROR(__xludf.DUMMYFUNCTION("""COMPUTED_VALUE"""),"1")</f>
        <v>1</v>
      </c>
      <c r="D36" s="38">
        <f>IFERROR(__xludf.DUMMYFUNCTION("""COMPUTED_VALUE"""),2.0)</f>
        <v>2</v>
      </c>
      <c r="G36" s="38">
        <v>0.0</v>
      </c>
      <c r="H36" s="38">
        <f t="shared" si="1"/>
        <v>2</v>
      </c>
    </row>
    <row r="37">
      <c r="A37" s="38" t="str">
        <f>IFERROR(__xludf.DUMMYFUNCTION("""COMPUTED_VALUE"""),"6612")</f>
        <v>6612</v>
      </c>
      <c r="B37" s="38" t="str">
        <f>IFERROR(__xludf.DUMMYFUNCTION("""COMPUTED_VALUE"""),"FZ")</f>
        <v>FZ</v>
      </c>
      <c r="C37" s="38" t="str">
        <f>IFERROR(__xludf.DUMMYFUNCTION("""COMPUTED_VALUE"""),"2")</f>
        <v>2</v>
      </c>
      <c r="D37" s="38">
        <f>IFERROR(__xludf.DUMMYFUNCTION("""COMPUTED_VALUE"""),36.0)</f>
        <v>36</v>
      </c>
      <c r="G37" s="38">
        <v>0.0</v>
      </c>
      <c r="H37" s="38">
        <f t="shared" si="1"/>
        <v>36</v>
      </c>
    </row>
    <row r="38">
      <c r="A38" s="38" t="str">
        <f>IFERROR(__xludf.DUMMYFUNCTION("""COMPUTED_VALUE"""),"6612")</f>
        <v>6612</v>
      </c>
      <c r="B38" s="38" t="str">
        <f>IFERROR(__xludf.DUMMYFUNCTION("""COMPUTED_VALUE"""),"FZ")</f>
        <v>FZ</v>
      </c>
      <c r="C38" s="38" t="str">
        <f>IFERROR(__xludf.DUMMYFUNCTION("""COMPUTED_VALUE"""),"3")</f>
        <v>3</v>
      </c>
      <c r="D38" s="38">
        <f>IFERROR(__xludf.DUMMYFUNCTION("""COMPUTED_VALUE"""),14.0)</f>
        <v>14</v>
      </c>
      <c r="G38" s="38">
        <v>0.0</v>
      </c>
      <c r="H38" s="38">
        <f t="shared" si="1"/>
        <v>14</v>
      </c>
    </row>
    <row r="39">
      <c r="A39" s="38" t="str">
        <f>IFERROR(__xludf.DUMMYFUNCTION("""COMPUTED_VALUE"""),"6612")</f>
        <v>6612</v>
      </c>
      <c r="B39" s="38" t="str">
        <f>IFERROR(__xludf.DUMMYFUNCTION("""COMPUTED_VALUE"""),"FZ")</f>
        <v>FZ</v>
      </c>
      <c r="C39" s="38" t="str">
        <f>IFERROR(__xludf.DUMMYFUNCTION("""COMPUTED_VALUE"""),"4")</f>
        <v>4</v>
      </c>
      <c r="D39" s="38">
        <f>IFERROR(__xludf.DUMMYFUNCTION("""COMPUTED_VALUE"""),11.0)</f>
        <v>11</v>
      </c>
      <c r="G39" s="38">
        <v>0.0</v>
      </c>
      <c r="H39" s="38">
        <f t="shared" si="1"/>
        <v>11</v>
      </c>
    </row>
    <row r="40">
      <c r="A40" s="38" t="str">
        <f>IFERROR(__xludf.DUMMYFUNCTION("""COMPUTED_VALUE"""),"6612")</f>
        <v>6612</v>
      </c>
      <c r="B40" s="38" t="str">
        <f>IFERROR(__xludf.DUMMYFUNCTION("""COMPUTED_VALUE"""),"FZ")</f>
        <v>FZ</v>
      </c>
      <c r="C40" s="38" t="str">
        <f>IFERROR(__xludf.DUMMYFUNCTION("""COMPUTED_VALUE"""),"5")</f>
        <v>5</v>
      </c>
      <c r="D40" s="38">
        <f>IFERROR(__xludf.DUMMYFUNCTION("""COMPUTED_VALUE"""),44.0)</f>
        <v>44</v>
      </c>
      <c r="G40" s="38">
        <v>0.0</v>
      </c>
      <c r="H40" s="38">
        <f t="shared" si="1"/>
        <v>44</v>
      </c>
    </row>
    <row r="41">
      <c r="A41" s="38" t="str">
        <f>IFERROR(__xludf.DUMMYFUNCTION("""COMPUTED_VALUE"""),"6612")</f>
        <v>6612</v>
      </c>
      <c r="B41" s="38" t="str">
        <f>IFERROR(__xludf.DUMMYFUNCTION("""COMPUTED_VALUE"""),"FZ")</f>
        <v>FZ</v>
      </c>
      <c r="C41" s="38" t="str">
        <f>IFERROR(__xludf.DUMMYFUNCTION("""COMPUTED_VALUE"""),"6")</f>
        <v>6</v>
      </c>
      <c r="D41" s="38">
        <f>IFERROR(__xludf.DUMMYFUNCTION("""COMPUTED_VALUE"""),2.0)</f>
        <v>2</v>
      </c>
      <c r="G41" s="38">
        <v>0.0</v>
      </c>
      <c r="H41" s="38">
        <f t="shared" si="1"/>
        <v>2</v>
      </c>
    </row>
    <row r="42">
      <c r="A42" s="38" t="str">
        <f>IFERROR(__xludf.DUMMYFUNCTION("""COMPUTED_VALUE"""),"6612")</f>
        <v>6612</v>
      </c>
      <c r="B42" s="38" t="str">
        <f>IFERROR(__xludf.DUMMYFUNCTION("""COMPUTED_VALUE"""),"FZ")</f>
        <v>FZ</v>
      </c>
      <c r="C42" s="38" t="str">
        <f>IFERROR(__xludf.DUMMYFUNCTION("""COMPUTED_VALUE"""),"8")</f>
        <v>8</v>
      </c>
      <c r="D42" s="38">
        <f>IFERROR(__xludf.DUMMYFUNCTION("""COMPUTED_VALUE"""),1.0)</f>
        <v>1</v>
      </c>
      <c r="G42" s="38">
        <v>0.0</v>
      </c>
      <c r="H42" s="38">
        <f t="shared" si="1"/>
        <v>1</v>
      </c>
    </row>
    <row r="43">
      <c r="A43" s="38" t="str">
        <f>IFERROR(__xludf.DUMMYFUNCTION("""COMPUTED_VALUE"""),"6612")</f>
        <v>6612</v>
      </c>
      <c r="B43" s="38" t="str">
        <f>IFERROR(__xludf.DUMMYFUNCTION("""COMPUTED_VALUE"""),"FZ")</f>
        <v>FZ</v>
      </c>
      <c r="C43" s="38" t="str">
        <f>IFERROR(__xludf.DUMMYFUNCTION("""COMPUTED_VALUE"""),"9")</f>
        <v>9</v>
      </c>
      <c r="D43" s="38">
        <f>IFERROR(__xludf.DUMMYFUNCTION("""COMPUTED_VALUE"""),18.0)</f>
        <v>18</v>
      </c>
      <c r="G43" s="38">
        <v>0.0</v>
      </c>
      <c r="H43" s="38">
        <f t="shared" si="1"/>
        <v>18</v>
      </c>
    </row>
    <row r="44">
      <c r="A44" s="38" t="str">
        <f>IFERROR(__xludf.DUMMYFUNCTION("""COMPUTED_VALUE"""),"6612")</f>
        <v>6612</v>
      </c>
      <c r="B44" s="38" t="str">
        <f>IFERROR(__xludf.DUMMYFUNCTION("""COMPUTED_VALUE"""),"FZ")</f>
        <v>FZ</v>
      </c>
      <c r="C44" s="38" t="str">
        <f>IFERROR(__xludf.DUMMYFUNCTION("""COMPUTED_VALUE"""),"ĐEN")</f>
        <v>ĐEN</v>
      </c>
      <c r="D44" s="38">
        <f>IFERROR(__xludf.DUMMYFUNCTION("""COMPUTED_VALUE"""),1.0)</f>
        <v>1</v>
      </c>
      <c r="G44" s="38">
        <v>0.0</v>
      </c>
      <c r="H44" s="38">
        <f t="shared" si="1"/>
        <v>1</v>
      </c>
    </row>
    <row r="45">
      <c r="A45" s="38" t="str">
        <f>IFERROR(__xludf.DUMMYFUNCTION("""COMPUTED_VALUE"""),"6866")</f>
        <v>6866</v>
      </c>
      <c r="B45" s="38" t="str">
        <f>IFERROR(__xludf.DUMMYFUNCTION("""COMPUTED_VALUE"""),"FZ")</f>
        <v>FZ</v>
      </c>
      <c r="C45" s="38" t="str">
        <f>IFERROR(__xludf.DUMMYFUNCTION("""COMPUTED_VALUE"""),"XANH")</f>
        <v>XANH</v>
      </c>
      <c r="D45" s="38">
        <f>IFERROR(__xludf.DUMMYFUNCTION("""COMPUTED_VALUE"""),18.0)</f>
        <v>18</v>
      </c>
      <c r="G45" s="38">
        <v>0.0</v>
      </c>
      <c r="H45" s="38">
        <f t="shared" si="1"/>
        <v>18</v>
      </c>
    </row>
    <row r="46">
      <c r="A46" s="38" t="str">
        <f>IFERROR(__xludf.DUMMYFUNCTION("""COMPUTED_VALUE"""),"7137")</f>
        <v>7137</v>
      </c>
      <c r="B46" s="38" t="str">
        <f>IFERROR(__xludf.DUMMYFUNCTION("""COMPUTED_VALUE"""),"S")</f>
        <v>S</v>
      </c>
      <c r="C46" s="38" t="str">
        <f>IFERROR(__xludf.DUMMYFUNCTION("""COMPUTED_VALUE"""),"XANH THAN")</f>
        <v>XANH THAN</v>
      </c>
      <c r="D46" s="38">
        <f>IFERROR(__xludf.DUMMYFUNCTION("""COMPUTED_VALUE"""),2.0)</f>
        <v>2</v>
      </c>
      <c r="G46" s="38">
        <v>2.0</v>
      </c>
      <c r="H46" s="38">
        <f t="shared" si="1"/>
        <v>0</v>
      </c>
    </row>
    <row r="47">
      <c r="A47" s="38" t="str">
        <f>IFERROR(__xludf.DUMMYFUNCTION("""COMPUTED_VALUE"""),"7249")</f>
        <v>7249</v>
      </c>
      <c r="B47" s="38" t="str">
        <f>IFERROR(__xludf.DUMMYFUNCTION("""COMPUTED_VALUE"""),"M")</f>
        <v>M</v>
      </c>
      <c r="C47" s="38" t="str">
        <f>IFERROR(__xludf.DUMMYFUNCTION("""COMPUTED_VALUE"""),"XANH NHẠT")</f>
        <v>XANH NHẠT</v>
      </c>
      <c r="D47" s="38">
        <f>IFERROR(__xludf.DUMMYFUNCTION("""COMPUTED_VALUE"""),2.0)</f>
        <v>2</v>
      </c>
      <c r="G47" s="38">
        <v>0.0</v>
      </c>
      <c r="H47" s="38">
        <f t="shared" si="1"/>
        <v>2</v>
      </c>
    </row>
    <row r="48">
      <c r="A48" s="38" t="str">
        <f>IFERROR(__xludf.DUMMYFUNCTION("""COMPUTED_VALUE"""),"7249")</f>
        <v>7249</v>
      </c>
      <c r="B48" s="38" t="str">
        <f>IFERROR(__xludf.DUMMYFUNCTION("""COMPUTED_VALUE"""),"M")</f>
        <v>M</v>
      </c>
      <c r="C48" s="38" t="str">
        <f>IFERROR(__xludf.DUMMYFUNCTION("""COMPUTED_VALUE"""),"XANH THAN")</f>
        <v>XANH THAN</v>
      </c>
      <c r="D48" s="38">
        <f>IFERROR(__xludf.DUMMYFUNCTION("""COMPUTED_VALUE"""),4.0)</f>
        <v>4</v>
      </c>
      <c r="G48" s="38">
        <v>5.0</v>
      </c>
      <c r="H48" s="38">
        <f t="shared" si="1"/>
        <v>-1</v>
      </c>
    </row>
    <row r="49">
      <c r="A49" s="38" t="str">
        <f>IFERROR(__xludf.DUMMYFUNCTION("""COMPUTED_VALUE"""),"7249")</f>
        <v>7249</v>
      </c>
      <c r="B49" s="38" t="str">
        <f>IFERROR(__xludf.DUMMYFUNCTION("""COMPUTED_VALUE"""),"S")</f>
        <v>S</v>
      </c>
      <c r="C49" s="38" t="str">
        <f>IFERROR(__xludf.DUMMYFUNCTION("""COMPUTED_VALUE"""),"XANH THAN")</f>
        <v>XANH THAN</v>
      </c>
      <c r="D49" s="38">
        <f>IFERROR(__xludf.DUMMYFUNCTION("""COMPUTED_VALUE"""),5.0)</f>
        <v>5</v>
      </c>
      <c r="G49" s="38">
        <v>4.0</v>
      </c>
      <c r="H49" s="38">
        <f t="shared" si="1"/>
        <v>1</v>
      </c>
    </row>
    <row r="50">
      <c r="A50" s="38" t="str">
        <f>IFERROR(__xludf.DUMMYFUNCTION("""COMPUTED_VALUE"""),"7307")</f>
        <v>7307</v>
      </c>
      <c r="B50" s="38" t="str">
        <f>IFERROR(__xludf.DUMMYFUNCTION("""COMPUTED_VALUE"""),"M")</f>
        <v>M</v>
      </c>
      <c r="C50" s="38" t="str">
        <f>IFERROR(__xludf.DUMMYFUNCTION("""COMPUTED_VALUE"""),"NÂU")</f>
        <v>NÂU</v>
      </c>
      <c r="D50" s="38">
        <f>IFERROR(__xludf.DUMMYFUNCTION("""COMPUTED_VALUE"""),1.0)</f>
        <v>1</v>
      </c>
      <c r="G50" s="38">
        <v>1.0</v>
      </c>
      <c r="H50" s="38">
        <f t="shared" si="1"/>
        <v>0</v>
      </c>
    </row>
    <row r="51">
      <c r="A51" s="38" t="str">
        <f>IFERROR(__xludf.DUMMYFUNCTION("""COMPUTED_VALUE"""),"7307")</f>
        <v>7307</v>
      </c>
      <c r="B51" s="38" t="str">
        <f>IFERROR(__xludf.DUMMYFUNCTION("""COMPUTED_VALUE"""),"S")</f>
        <v>S</v>
      </c>
      <c r="C51" s="38" t="str">
        <f>IFERROR(__xludf.DUMMYFUNCTION("""COMPUTED_VALUE"""),"BE")</f>
        <v>BE</v>
      </c>
      <c r="D51" s="38">
        <f>IFERROR(__xludf.DUMMYFUNCTION("""COMPUTED_VALUE"""),1.0)</f>
        <v>1</v>
      </c>
      <c r="G51" s="38">
        <v>1.0</v>
      </c>
      <c r="H51" s="38">
        <f t="shared" si="1"/>
        <v>0</v>
      </c>
    </row>
    <row r="52">
      <c r="A52" s="38" t="str">
        <f>IFERROR(__xludf.DUMMYFUNCTION("""COMPUTED_VALUE"""),"7322")</f>
        <v>7322</v>
      </c>
      <c r="B52" s="38" t="str">
        <f>IFERROR(__xludf.DUMMYFUNCTION("""COMPUTED_VALUE"""),"L")</f>
        <v>L</v>
      </c>
      <c r="C52" s="38" t="str">
        <f>IFERROR(__xludf.DUMMYFUNCTION("""COMPUTED_VALUE"""),"XANH THAN")</f>
        <v>XANH THAN</v>
      </c>
      <c r="D52" s="38">
        <f>IFERROR(__xludf.DUMMYFUNCTION("""COMPUTED_VALUE"""),2.0)</f>
        <v>2</v>
      </c>
      <c r="G52" s="38">
        <v>2.0</v>
      </c>
      <c r="H52" s="38">
        <f t="shared" si="1"/>
        <v>0</v>
      </c>
    </row>
    <row r="53">
      <c r="A53" s="38" t="str">
        <f>IFERROR(__xludf.DUMMYFUNCTION("""COMPUTED_VALUE"""),"7322")</f>
        <v>7322</v>
      </c>
      <c r="B53" s="38" t="str">
        <f>IFERROR(__xludf.DUMMYFUNCTION("""COMPUTED_VALUE"""),"M")</f>
        <v>M</v>
      </c>
      <c r="C53" s="38" t="str">
        <f>IFERROR(__xludf.DUMMYFUNCTION("""COMPUTED_VALUE"""),"XANH THAN")</f>
        <v>XANH THAN</v>
      </c>
      <c r="D53" s="38">
        <f>IFERROR(__xludf.DUMMYFUNCTION("""COMPUTED_VALUE"""),3.0)</f>
        <v>3</v>
      </c>
      <c r="G53" s="38">
        <v>3.0</v>
      </c>
      <c r="H53" s="38">
        <f t="shared" si="1"/>
        <v>0</v>
      </c>
    </row>
    <row r="54">
      <c r="A54" s="38" t="str">
        <f>IFERROR(__xludf.DUMMYFUNCTION("""COMPUTED_VALUE"""),"7322")</f>
        <v>7322</v>
      </c>
      <c r="B54" s="38" t="str">
        <f>IFERROR(__xludf.DUMMYFUNCTION("""COMPUTED_VALUE"""),"S")</f>
        <v>S</v>
      </c>
      <c r="C54" s="38" t="str">
        <f>IFERROR(__xludf.DUMMYFUNCTION("""COMPUTED_VALUE"""),"XANH THAN")</f>
        <v>XANH THAN</v>
      </c>
      <c r="D54" s="38">
        <f>IFERROR(__xludf.DUMMYFUNCTION("""COMPUTED_VALUE"""),5.0)</f>
        <v>5</v>
      </c>
      <c r="G54" s="38">
        <v>5.0</v>
      </c>
      <c r="H54" s="38">
        <f t="shared" si="1"/>
        <v>0</v>
      </c>
    </row>
    <row r="55">
      <c r="A55" s="38" t="str">
        <f>IFERROR(__xludf.DUMMYFUNCTION("""COMPUTED_VALUE"""),"7367")</f>
        <v>7367</v>
      </c>
      <c r="B55" s="38" t="str">
        <f>IFERROR(__xludf.DUMMYFUNCTION("""COMPUTED_VALUE"""),"S")</f>
        <v>S</v>
      </c>
      <c r="C55" s="38" t="str">
        <f>IFERROR(__xludf.DUMMYFUNCTION("""COMPUTED_VALUE"""),"NÂU")</f>
        <v>NÂU</v>
      </c>
      <c r="D55" s="38">
        <f>IFERROR(__xludf.DUMMYFUNCTION("""COMPUTED_VALUE"""),1.0)</f>
        <v>1</v>
      </c>
      <c r="G55" s="38">
        <v>0.0</v>
      </c>
      <c r="H55" s="38">
        <f t="shared" si="1"/>
        <v>1</v>
      </c>
    </row>
    <row r="56">
      <c r="A56" s="38" t="str">
        <f>IFERROR(__xludf.DUMMYFUNCTION("""COMPUTED_VALUE"""),"7367")</f>
        <v>7367</v>
      </c>
      <c r="B56" s="38" t="str">
        <f>IFERROR(__xludf.DUMMYFUNCTION("""COMPUTED_VALUE"""),"S")</f>
        <v>S</v>
      </c>
      <c r="C56" s="38" t="str">
        <f>IFERROR(__xludf.DUMMYFUNCTION("""COMPUTED_VALUE"""),"TRẮNG")</f>
        <v>TRẮNG</v>
      </c>
      <c r="D56" s="38">
        <f>IFERROR(__xludf.DUMMYFUNCTION("""COMPUTED_VALUE"""),2.0)</f>
        <v>2</v>
      </c>
      <c r="G56" s="38">
        <v>0.0</v>
      </c>
      <c r="H56" s="38">
        <f t="shared" si="1"/>
        <v>2</v>
      </c>
    </row>
    <row r="57">
      <c r="A57" s="38" t="str">
        <f>IFERROR(__xludf.DUMMYFUNCTION("""COMPUTED_VALUE"""),"7398")</f>
        <v>7398</v>
      </c>
      <c r="B57" s="38" t="str">
        <f>IFERROR(__xludf.DUMMYFUNCTION("""COMPUTED_VALUE"""),"S")</f>
        <v>S</v>
      </c>
      <c r="C57" s="38" t="str">
        <f>IFERROR(__xludf.DUMMYFUNCTION("""COMPUTED_VALUE"""),"HỒNG")</f>
        <v>HỒNG</v>
      </c>
      <c r="D57" s="38">
        <f>IFERROR(__xludf.DUMMYFUNCTION("""COMPUTED_VALUE"""),2.0)</f>
        <v>2</v>
      </c>
      <c r="G57" s="38">
        <v>2.0</v>
      </c>
      <c r="H57" s="38">
        <f t="shared" si="1"/>
        <v>0</v>
      </c>
    </row>
    <row r="58">
      <c r="A58" s="38" t="str">
        <f>IFERROR(__xludf.DUMMYFUNCTION("""COMPUTED_VALUE"""),"7398")</f>
        <v>7398</v>
      </c>
      <c r="B58" s="38" t="str">
        <f>IFERROR(__xludf.DUMMYFUNCTION("""COMPUTED_VALUE"""),"S")</f>
        <v>S</v>
      </c>
      <c r="C58" s="38" t="str">
        <f>IFERROR(__xludf.DUMMYFUNCTION("""COMPUTED_VALUE"""),"TRẮNG")</f>
        <v>TRẮNG</v>
      </c>
      <c r="D58" s="38">
        <f>IFERROR(__xludf.DUMMYFUNCTION("""COMPUTED_VALUE"""),1.0)</f>
        <v>1</v>
      </c>
      <c r="G58" s="38">
        <v>1.0</v>
      </c>
      <c r="H58" s="38">
        <f t="shared" si="1"/>
        <v>0</v>
      </c>
    </row>
    <row r="59">
      <c r="A59" s="38" t="str">
        <f>IFERROR(__xludf.DUMMYFUNCTION("""COMPUTED_VALUE"""),"7398")</f>
        <v>7398</v>
      </c>
      <c r="B59" s="38" t="str">
        <f>IFERROR(__xludf.DUMMYFUNCTION("""COMPUTED_VALUE"""),"S")</f>
        <v>S</v>
      </c>
      <c r="C59" s="38" t="str">
        <f>IFERROR(__xludf.DUMMYFUNCTION("""COMPUTED_VALUE"""),"XÁM")</f>
        <v>XÁM</v>
      </c>
      <c r="D59" s="38">
        <f>IFERROR(__xludf.DUMMYFUNCTION("""COMPUTED_VALUE"""),1.0)</f>
        <v>1</v>
      </c>
      <c r="G59" s="38">
        <v>1.0</v>
      </c>
      <c r="H59" s="38">
        <f t="shared" si="1"/>
        <v>0</v>
      </c>
    </row>
    <row r="60">
      <c r="A60" s="38" t="str">
        <f>IFERROR(__xludf.DUMMYFUNCTION("""COMPUTED_VALUE"""),"7398")</f>
        <v>7398</v>
      </c>
      <c r="B60" s="38" t="str">
        <f>IFERROR(__xludf.DUMMYFUNCTION("""COMPUTED_VALUE"""),"S")</f>
        <v>S</v>
      </c>
      <c r="C60" s="38" t="str">
        <f>IFERROR(__xludf.DUMMYFUNCTION("""COMPUTED_VALUE"""),"ĐEN")</f>
        <v>ĐEN</v>
      </c>
      <c r="D60" s="38">
        <f>IFERROR(__xludf.DUMMYFUNCTION("""COMPUTED_VALUE"""),2.0)</f>
        <v>2</v>
      </c>
      <c r="G60" s="38">
        <v>2.0</v>
      </c>
      <c r="H60" s="38">
        <f t="shared" si="1"/>
        <v>0</v>
      </c>
    </row>
    <row r="61">
      <c r="A61" s="38" t="str">
        <f>IFERROR(__xludf.DUMMYFUNCTION("""COMPUTED_VALUE"""),"7436")</f>
        <v>7436</v>
      </c>
      <c r="B61" s="38" t="str">
        <f>IFERROR(__xludf.DUMMYFUNCTION("""COMPUTED_VALUE"""),"M")</f>
        <v>M</v>
      </c>
      <c r="C61" s="38" t="str">
        <f>IFERROR(__xludf.DUMMYFUNCTION("""COMPUTED_VALUE"""),"XANH THAN")</f>
        <v>XANH THAN</v>
      </c>
      <c r="D61" s="38">
        <f>IFERROR(__xludf.DUMMYFUNCTION("""COMPUTED_VALUE"""),3.0)</f>
        <v>3</v>
      </c>
      <c r="G61" s="38">
        <v>3.0</v>
      </c>
      <c r="H61" s="38">
        <f t="shared" si="1"/>
        <v>0</v>
      </c>
    </row>
    <row r="62">
      <c r="A62" s="38" t="str">
        <f>IFERROR(__xludf.DUMMYFUNCTION("""COMPUTED_VALUE"""),"7436")</f>
        <v>7436</v>
      </c>
      <c r="B62" s="38" t="str">
        <f>IFERROR(__xludf.DUMMYFUNCTION("""COMPUTED_VALUE"""),"S")</f>
        <v>S</v>
      </c>
      <c r="C62" s="38" t="str">
        <f>IFERROR(__xludf.DUMMYFUNCTION("""COMPUTED_VALUE"""),"XANH THAN")</f>
        <v>XANH THAN</v>
      </c>
      <c r="D62" s="38">
        <f>IFERROR(__xludf.DUMMYFUNCTION("""COMPUTED_VALUE"""),3.0)</f>
        <v>3</v>
      </c>
      <c r="G62" s="38">
        <v>3.0</v>
      </c>
      <c r="H62" s="38">
        <f t="shared" si="1"/>
        <v>0</v>
      </c>
    </row>
    <row r="63">
      <c r="A63" s="38" t="str">
        <f>IFERROR(__xludf.DUMMYFUNCTION("""COMPUTED_VALUE"""),"7458")</f>
        <v>7458</v>
      </c>
      <c r="B63" s="38" t="str">
        <f>IFERROR(__xludf.DUMMYFUNCTION("""COMPUTED_VALUE"""),"M")</f>
        <v>M</v>
      </c>
      <c r="C63" s="38" t="str">
        <f>IFERROR(__xludf.DUMMYFUNCTION("""COMPUTED_VALUE"""),"ĐEN")</f>
        <v>ĐEN</v>
      </c>
      <c r="D63" s="38">
        <f>IFERROR(__xludf.DUMMYFUNCTION("""COMPUTED_VALUE"""),3.0)</f>
        <v>3</v>
      </c>
      <c r="G63" s="38">
        <v>3.0</v>
      </c>
      <c r="H63" s="38">
        <f t="shared" si="1"/>
        <v>0</v>
      </c>
    </row>
    <row r="64">
      <c r="A64" s="38" t="str">
        <f>IFERROR(__xludf.DUMMYFUNCTION("""COMPUTED_VALUE"""),"7458")</f>
        <v>7458</v>
      </c>
      <c r="B64" s="38" t="str">
        <f>IFERROR(__xludf.DUMMYFUNCTION("""COMPUTED_VALUE"""),"S")</f>
        <v>S</v>
      </c>
      <c r="C64" s="38" t="str">
        <f>IFERROR(__xludf.DUMMYFUNCTION("""COMPUTED_VALUE"""),"ĐEN")</f>
        <v>ĐEN</v>
      </c>
      <c r="D64" s="38">
        <f>IFERROR(__xludf.DUMMYFUNCTION("""COMPUTED_VALUE"""),1.0)</f>
        <v>1</v>
      </c>
      <c r="G64" s="38">
        <v>1.0</v>
      </c>
      <c r="H64" s="38">
        <f t="shared" si="1"/>
        <v>0</v>
      </c>
    </row>
    <row r="65">
      <c r="A65" s="38" t="str">
        <f>IFERROR(__xludf.DUMMYFUNCTION("""COMPUTED_VALUE"""),"7739")</f>
        <v>7739</v>
      </c>
      <c r="B65" s="38" t="str">
        <f>IFERROR(__xludf.DUMMYFUNCTION("""COMPUTED_VALUE"""),"M")</f>
        <v>M</v>
      </c>
      <c r="C65" s="38" t="str">
        <f>IFERROR(__xludf.DUMMYFUNCTION("""COMPUTED_VALUE"""),"NÂU")</f>
        <v>NÂU</v>
      </c>
      <c r="D65" s="38">
        <f>IFERROR(__xludf.DUMMYFUNCTION("""COMPUTED_VALUE"""),3.0)</f>
        <v>3</v>
      </c>
      <c r="G65" s="38">
        <v>3.0</v>
      </c>
      <c r="H65" s="38">
        <f t="shared" si="1"/>
        <v>0</v>
      </c>
    </row>
    <row r="66">
      <c r="A66" s="38" t="str">
        <f>IFERROR(__xludf.DUMMYFUNCTION("""COMPUTED_VALUE"""),"7739")</f>
        <v>7739</v>
      </c>
      <c r="B66" s="38" t="str">
        <f>IFERROR(__xludf.DUMMYFUNCTION("""COMPUTED_VALUE"""),"S")</f>
        <v>S</v>
      </c>
      <c r="C66" s="38" t="str">
        <f>IFERROR(__xludf.DUMMYFUNCTION("""COMPUTED_VALUE"""),"NÂU")</f>
        <v>NÂU</v>
      </c>
      <c r="D66" s="38">
        <f>IFERROR(__xludf.DUMMYFUNCTION("""COMPUTED_VALUE"""),3.0)</f>
        <v>3</v>
      </c>
      <c r="G66" s="38">
        <v>3.0</v>
      </c>
      <c r="H66" s="38">
        <f t="shared" si="1"/>
        <v>0</v>
      </c>
    </row>
    <row r="67">
      <c r="A67" s="38" t="str">
        <f>IFERROR(__xludf.DUMMYFUNCTION("""COMPUTED_VALUE"""),"7739")</f>
        <v>7739</v>
      </c>
      <c r="B67" s="38" t="str">
        <f>IFERROR(__xludf.DUMMYFUNCTION("""COMPUTED_VALUE"""),"S")</f>
        <v>S</v>
      </c>
      <c r="C67" s="38" t="str">
        <f>IFERROR(__xludf.DUMMYFUNCTION("""COMPUTED_VALUE"""),"ĐEN")</f>
        <v>ĐEN</v>
      </c>
      <c r="D67" s="38">
        <f>IFERROR(__xludf.DUMMYFUNCTION("""COMPUTED_VALUE"""),1.0)</f>
        <v>1</v>
      </c>
      <c r="G67" s="38">
        <v>1.0</v>
      </c>
      <c r="H67" s="38">
        <f t="shared" si="1"/>
        <v>0</v>
      </c>
    </row>
    <row r="68">
      <c r="A68" s="38" t="str">
        <f>IFERROR(__xludf.DUMMYFUNCTION("""COMPUTED_VALUE"""),"7859")</f>
        <v>7859</v>
      </c>
      <c r="B68" s="38" t="str">
        <f>IFERROR(__xludf.DUMMYFUNCTION("""COMPUTED_VALUE"""),"FZ")</f>
        <v>FZ</v>
      </c>
      <c r="C68" s="38" t="str">
        <f>IFERROR(__xludf.DUMMYFUNCTION("""COMPUTED_VALUE"""),"BE")</f>
        <v>BE</v>
      </c>
      <c r="D68" s="38">
        <f>IFERROR(__xludf.DUMMYFUNCTION("""COMPUTED_VALUE"""),5.0)</f>
        <v>5</v>
      </c>
      <c r="G68" s="38">
        <v>5.0</v>
      </c>
      <c r="H68" s="38">
        <f t="shared" si="1"/>
        <v>0</v>
      </c>
    </row>
    <row r="69">
      <c r="A69" s="38" t="str">
        <f>IFERROR(__xludf.DUMMYFUNCTION("""COMPUTED_VALUE"""),"7859")</f>
        <v>7859</v>
      </c>
      <c r="B69" s="38" t="str">
        <f>IFERROR(__xludf.DUMMYFUNCTION("""COMPUTED_VALUE"""),"FZ")</f>
        <v>FZ</v>
      </c>
      <c r="C69" s="38" t="str">
        <f>IFERROR(__xludf.DUMMYFUNCTION("""COMPUTED_VALUE"""),"HỒNG")</f>
        <v>HỒNG</v>
      </c>
      <c r="D69" s="38">
        <f>IFERROR(__xludf.DUMMYFUNCTION("""COMPUTED_VALUE"""),7.0)</f>
        <v>7</v>
      </c>
      <c r="G69" s="38">
        <v>7.0</v>
      </c>
      <c r="H69" s="38">
        <f t="shared" si="1"/>
        <v>0</v>
      </c>
    </row>
    <row r="70">
      <c r="A70" s="38" t="str">
        <f>IFERROR(__xludf.DUMMYFUNCTION("""COMPUTED_VALUE"""),"7910")</f>
        <v>7910</v>
      </c>
      <c r="B70" s="38" t="str">
        <f>IFERROR(__xludf.DUMMYFUNCTION("""COMPUTED_VALUE"""),"M")</f>
        <v>M</v>
      </c>
      <c r="C70" s="38" t="str">
        <f>IFERROR(__xludf.DUMMYFUNCTION("""COMPUTED_VALUE"""),"TRẮNG")</f>
        <v>TRẮNG</v>
      </c>
      <c r="D70" s="38">
        <f>IFERROR(__xludf.DUMMYFUNCTION("""COMPUTED_VALUE"""),1.0)</f>
        <v>1</v>
      </c>
      <c r="G70" s="38">
        <v>1.0</v>
      </c>
      <c r="H70" s="38">
        <f t="shared" si="1"/>
        <v>0</v>
      </c>
    </row>
    <row r="71">
      <c r="A71" s="38" t="str">
        <f>IFERROR(__xludf.DUMMYFUNCTION("""COMPUTED_VALUE"""),"7910")</f>
        <v>7910</v>
      </c>
      <c r="B71" s="38" t="str">
        <f>IFERROR(__xludf.DUMMYFUNCTION("""COMPUTED_VALUE"""),"S")</f>
        <v>S</v>
      </c>
      <c r="C71" s="38" t="str">
        <f>IFERROR(__xludf.DUMMYFUNCTION("""COMPUTED_VALUE"""),"NÂU")</f>
        <v>NÂU</v>
      </c>
      <c r="D71" s="38">
        <f>IFERROR(__xludf.DUMMYFUNCTION("""COMPUTED_VALUE"""),1.0)</f>
        <v>1</v>
      </c>
      <c r="G71" s="38">
        <v>1.0</v>
      </c>
      <c r="H71" s="38">
        <f t="shared" si="1"/>
        <v>0</v>
      </c>
    </row>
    <row r="72">
      <c r="A72" s="38" t="str">
        <f>IFERROR(__xludf.DUMMYFUNCTION("""COMPUTED_VALUE"""),"7910")</f>
        <v>7910</v>
      </c>
      <c r="B72" s="38" t="str">
        <f>IFERROR(__xludf.DUMMYFUNCTION("""COMPUTED_VALUE"""),"S")</f>
        <v>S</v>
      </c>
      <c r="C72" s="38" t="str">
        <f>IFERROR(__xludf.DUMMYFUNCTION("""COMPUTED_VALUE"""),"ĐEN")</f>
        <v>ĐEN</v>
      </c>
      <c r="D72" s="38">
        <f>IFERROR(__xludf.DUMMYFUNCTION("""COMPUTED_VALUE"""),1.0)</f>
        <v>1</v>
      </c>
      <c r="G72" s="38">
        <v>1.0</v>
      </c>
      <c r="H72" s="38">
        <f t="shared" si="1"/>
        <v>0</v>
      </c>
    </row>
    <row r="73">
      <c r="A73" s="38" t="str">
        <f>IFERROR(__xludf.DUMMYFUNCTION("""COMPUTED_VALUE"""),"7957")</f>
        <v>7957</v>
      </c>
      <c r="B73" s="38" t="str">
        <f>IFERROR(__xludf.DUMMYFUNCTION("""COMPUTED_VALUE"""),"M")</f>
        <v>M</v>
      </c>
      <c r="C73" s="38" t="str">
        <f>IFERROR(__xludf.DUMMYFUNCTION("""COMPUTED_VALUE"""),"TRẮNG")</f>
        <v>TRẮNG</v>
      </c>
      <c r="D73" s="38">
        <f>IFERROR(__xludf.DUMMYFUNCTION("""COMPUTED_VALUE"""),1.0)</f>
        <v>1</v>
      </c>
      <c r="G73" s="38">
        <v>0.0</v>
      </c>
      <c r="H73" s="38">
        <f t="shared" si="1"/>
        <v>1</v>
      </c>
    </row>
    <row r="74">
      <c r="A74" s="38" t="str">
        <f>IFERROR(__xludf.DUMMYFUNCTION("""COMPUTED_VALUE"""),"7957")</f>
        <v>7957</v>
      </c>
      <c r="B74" s="38" t="str">
        <f>IFERROR(__xludf.DUMMYFUNCTION("""COMPUTED_VALUE"""),"M")</f>
        <v>M</v>
      </c>
      <c r="C74" s="38" t="str">
        <f>IFERROR(__xludf.DUMMYFUNCTION("""COMPUTED_VALUE"""),"XÁM")</f>
        <v>XÁM</v>
      </c>
      <c r="D74" s="38">
        <f>IFERROR(__xludf.DUMMYFUNCTION("""COMPUTED_VALUE"""),4.0)</f>
        <v>4</v>
      </c>
      <c r="G74" s="38">
        <v>2.0</v>
      </c>
      <c r="H74" s="38">
        <f t="shared" si="1"/>
        <v>2</v>
      </c>
    </row>
    <row r="75">
      <c r="A75" s="38" t="str">
        <f>IFERROR(__xludf.DUMMYFUNCTION("""COMPUTED_VALUE"""),"7957")</f>
        <v>7957</v>
      </c>
      <c r="B75" s="38" t="str">
        <f>IFERROR(__xludf.DUMMYFUNCTION("""COMPUTED_VALUE"""),"M")</f>
        <v>M</v>
      </c>
      <c r="C75" s="38" t="str">
        <f>IFERROR(__xludf.DUMMYFUNCTION("""COMPUTED_VALUE"""),"ĐEN")</f>
        <v>ĐEN</v>
      </c>
      <c r="D75" s="38">
        <f>IFERROR(__xludf.DUMMYFUNCTION("""COMPUTED_VALUE"""),6.0)</f>
        <v>6</v>
      </c>
      <c r="G75" s="38">
        <v>4.0</v>
      </c>
      <c r="H75" s="38">
        <f t="shared" si="1"/>
        <v>2</v>
      </c>
    </row>
    <row r="76">
      <c r="A76" s="38" t="str">
        <f>IFERROR(__xludf.DUMMYFUNCTION("""COMPUTED_VALUE"""),"7957")</f>
        <v>7957</v>
      </c>
      <c r="B76" s="38" t="str">
        <f>IFERROR(__xludf.DUMMYFUNCTION("""COMPUTED_VALUE"""),"S")</f>
        <v>S</v>
      </c>
      <c r="C76" s="38" t="str">
        <f>IFERROR(__xludf.DUMMYFUNCTION("""COMPUTED_VALUE"""),"BE")</f>
        <v>BE</v>
      </c>
      <c r="D76" s="38">
        <f>IFERROR(__xludf.DUMMYFUNCTION("""COMPUTED_VALUE"""),2.0)</f>
        <v>2</v>
      </c>
      <c r="G76" s="38">
        <v>0.0</v>
      </c>
      <c r="H76" s="38">
        <f t="shared" si="1"/>
        <v>2</v>
      </c>
    </row>
    <row r="77">
      <c r="A77" s="38" t="str">
        <f>IFERROR(__xludf.DUMMYFUNCTION("""COMPUTED_VALUE"""),"7957")</f>
        <v>7957</v>
      </c>
      <c r="B77" s="38" t="str">
        <f>IFERROR(__xludf.DUMMYFUNCTION("""COMPUTED_VALUE"""),"S")</f>
        <v>S</v>
      </c>
      <c r="C77" s="38" t="str">
        <f>IFERROR(__xludf.DUMMYFUNCTION("""COMPUTED_VALUE"""),"TRẮNG")</f>
        <v>TRẮNG</v>
      </c>
      <c r="D77" s="38">
        <f>IFERROR(__xludf.DUMMYFUNCTION("""COMPUTED_VALUE"""),2.0)</f>
        <v>2</v>
      </c>
      <c r="G77" s="38">
        <v>2.0</v>
      </c>
      <c r="H77" s="38">
        <f t="shared" si="1"/>
        <v>0</v>
      </c>
    </row>
    <row r="78">
      <c r="A78" s="38" t="str">
        <f>IFERROR(__xludf.DUMMYFUNCTION("""COMPUTED_VALUE"""),"7957")</f>
        <v>7957</v>
      </c>
      <c r="B78" s="38" t="str">
        <f>IFERROR(__xludf.DUMMYFUNCTION("""COMPUTED_VALUE"""),"S")</f>
        <v>S</v>
      </c>
      <c r="C78" s="38" t="str">
        <f>IFERROR(__xludf.DUMMYFUNCTION("""COMPUTED_VALUE"""),"XÁM")</f>
        <v>XÁM</v>
      </c>
      <c r="D78" s="38">
        <f>IFERROR(__xludf.DUMMYFUNCTION("""COMPUTED_VALUE"""),2.0)</f>
        <v>2</v>
      </c>
      <c r="G78" s="38">
        <v>1.0</v>
      </c>
      <c r="H78" s="38">
        <f t="shared" si="1"/>
        <v>1</v>
      </c>
    </row>
    <row r="79">
      <c r="A79" s="38" t="str">
        <f>IFERROR(__xludf.DUMMYFUNCTION("""COMPUTED_VALUE"""),"7957")</f>
        <v>7957</v>
      </c>
      <c r="B79" s="38" t="str">
        <f>IFERROR(__xludf.DUMMYFUNCTION("""COMPUTED_VALUE"""),"S")</f>
        <v>S</v>
      </c>
      <c r="C79" s="38" t="str">
        <f>IFERROR(__xludf.DUMMYFUNCTION("""COMPUTED_VALUE"""),"ĐEN")</f>
        <v>ĐEN</v>
      </c>
      <c r="D79" s="38">
        <f>IFERROR(__xludf.DUMMYFUNCTION("""COMPUTED_VALUE"""),5.0)</f>
        <v>5</v>
      </c>
      <c r="G79" s="38">
        <v>4.0</v>
      </c>
      <c r="H79" s="38">
        <f t="shared" si="1"/>
        <v>1</v>
      </c>
    </row>
    <row r="80">
      <c r="A80" s="38" t="str">
        <f>IFERROR(__xludf.DUMMYFUNCTION("""COMPUTED_VALUE"""),"8012")</f>
        <v>8012</v>
      </c>
      <c r="B80" s="38" t="str">
        <f>IFERROR(__xludf.DUMMYFUNCTION("""COMPUTED_VALUE"""),"FZ")</f>
        <v>FZ</v>
      </c>
      <c r="C80" s="38" t="str">
        <f>IFERROR(__xludf.DUMMYFUNCTION("""COMPUTED_VALUE"""),"NÂU")</f>
        <v>NÂU</v>
      </c>
      <c r="D80" s="38">
        <f>IFERROR(__xludf.DUMMYFUNCTION("""COMPUTED_VALUE"""),4.0)</f>
        <v>4</v>
      </c>
      <c r="G80" s="38">
        <v>0.0</v>
      </c>
      <c r="H80" s="38">
        <f t="shared" si="1"/>
        <v>4</v>
      </c>
    </row>
    <row r="81">
      <c r="A81" s="38" t="str">
        <f>IFERROR(__xludf.DUMMYFUNCTION("""COMPUTED_VALUE"""),"8012")</f>
        <v>8012</v>
      </c>
      <c r="B81" s="38" t="str">
        <f>IFERROR(__xludf.DUMMYFUNCTION("""COMPUTED_VALUE"""),"FZ")</f>
        <v>FZ</v>
      </c>
      <c r="C81" s="38" t="str">
        <f>IFERROR(__xludf.DUMMYFUNCTION("""COMPUTED_VALUE"""),"XANH")</f>
        <v>XANH</v>
      </c>
      <c r="D81" s="38">
        <f>IFERROR(__xludf.DUMMYFUNCTION("""COMPUTED_VALUE"""),5.0)</f>
        <v>5</v>
      </c>
      <c r="G81" s="38">
        <v>0.0</v>
      </c>
      <c r="H81" s="38">
        <f t="shared" si="1"/>
        <v>5</v>
      </c>
    </row>
    <row r="82">
      <c r="A82" s="38" t="str">
        <f>IFERROR(__xludf.DUMMYFUNCTION("""COMPUTED_VALUE"""),"8012")</f>
        <v>8012</v>
      </c>
      <c r="B82" s="38" t="str">
        <f>IFERROR(__xludf.DUMMYFUNCTION("""COMPUTED_VALUE"""),"FZ")</f>
        <v>FZ</v>
      </c>
      <c r="C82" s="38" t="str">
        <f>IFERROR(__xludf.DUMMYFUNCTION("""COMPUTED_VALUE"""),"XANH THAN")</f>
        <v>XANH THAN</v>
      </c>
      <c r="D82" s="38">
        <f>IFERROR(__xludf.DUMMYFUNCTION("""COMPUTED_VALUE"""),1.0)</f>
        <v>1</v>
      </c>
      <c r="G82" s="38">
        <v>0.0</v>
      </c>
      <c r="H82" s="38">
        <f t="shared" si="1"/>
        <v>1</v>
      </c>
    </row>
    <row r="83">
      <c r="A83" s="38" t="str">
        <f>IFERROR(__xludf.DUMMYFUNCTION("""COMPUTED_VALUE"""),"8116")</f>
        <v>8116</v>
      </c>
      <c r="B83" s="38" t="str">
        <f>IFERROR(__xludf.DUMMYFUNCTION("""COMPUTED_VALUE"""),"L")</f>
        <v>L</v>
      </c>
      <c r="C83" s="38" t="str">
        <f>IFERROR(__xludf.DUMMYFUNCTION("""COMPUTED_VALUE"""),"XANH THAN")</f>
        <v>XANH THAN</v>
      </c>
      <c r="D83" s="38">
        <f>IFERROR(__xludf.DUMMYFUNCTION("""COMPUTED_VALUE"""),1.0)</f>
        <v>1</v>
      </c>
      <c r="G83" s="38">
        <v>0.0</v>
      </c>
      <c r="H83" s="38">
        <f t="shared" si="1"/>
        <v>1</v>
      </c>
    </row>
    <row r="84">
      <c r="A84" s="38" t="str">
        <f>IFERROR(__xludf.DUMMYFUNCTION("""COMPUTED_VALUE"""),"8116")</f>
        <v>8116</v>
      </c>
      <c r="B84" s="38" t="str">
        <f>IFERROR(__xludf.DUMMYFUNCTION("""COMPUTED_VALUE"""),"M")</f>
        <v>M</v>
      </c>
      <c r="C84" s="38" t="str">
        <f>IFERROR(__xludf.DUMMYFUNCTION("""COMPUTED_VALUE"""),"XANH THAN")</f>
        <v>XANH THAN</v>
      </c>
      <c r="D84" s="38">
        <f>IFERROR(__xludf.DUMMYFUNCTION("""COMPUTED_VALUE"""),2.0)</f>
        <v>2</v>
      </c>
      <c r="G84" s="38">
        <v>0.0</v>
      </c>
      <c r="H84" s="38">
        <f t="shared" si="1"/>
        <v>2</v>
      </c>
    </row>
    <row r="85">
      <c r="A85" s="38" t="str">
        <f>IFERROR(__xludf.DUMMYFUNCTION("""COMPUTED_VALUE"""),"8116")</f>
        <v>8116</v>
      </c>
      <c r="B85" s="38" t="str">
        <f>IFERROR(__xludf.DUMMYFUNCTION("""COMPUTED_VALUE"""),"S")</f>
        <v>S</v>
      </c>
      <c r="C85" s="38" t="str">
        <f>IFERROR(__xludf.DUMMYFUNCTION("""COMPUTED_VALUE"""),"TRẮNG")</f>
        <v>TRẮNG</v>
      </c>
      <c r="D85" s="38">
        <f>IFERROR(__xludf.DUMMYFUNCTION("""COMPUTED_VALUE"""),4.0)</f>
        <v>4</v>
      </c>
      <c r="G85" s="38">
        <v>0.0</v>
      </c>
      <c r="H85" s="38">
        <f t="shared" si="1"/>
        <v>4</v>
      </c>
    </row>
    <row r="86">
      <c r="A86" s="38" t="str">
        <f>IFERROR(__xludf.DUMMYFUNCTION("""COMPUTED_VALUE"""),"8116")</f>
        <v>8116</v>
      </c>
      <c r="B86" s="38" t="str">
        <f>IFERROR(__xludf.DUMMYFUNCTION("""COMPUTED_VALUE"""),"S")</f>
        <v>S</v>
      </c>
      <c r="C86" s="38" t="str">
        <f>IFERROR(__xludf.DUMMYFUNCTION("""COMPUTED_VALUE"""),"XANH THAN")</f>
        <v>XANH THAN</v>
      </c>
      <c r="D86" s="38">
        <f>IFERROR(__xludf.DUMMYFUNCTION("""COMPUTED_VALUE"""),2.0)</f>
        <v>2</v>
      </c>
      <c r="G86" s="38">
        <v>0.0</v>
      </c>
      <c r="H86" s="38">
        <f t="shared" si="1"/>
        <v>2</v>
      </c>
    </row>
    <row r="87">
      <c r="A87" s="38" t="str">
        <f>IFERROR(__xludf.DUMMYFUNCTION("""COMPUTED_VALUE"""),"81813")</f>
        <v>81813</v>
      </c>
      <c r="B87" s="38" t="str">
        <f>IFERROR(__xludf.DUMMYFUNCTION("""COMPUTED_VALUE"""),"FZ")</f>
        <v>FZ</v>
      </c>
      <c r="C87" s="38" t="str">
        <f>IFERROR(__xludf.DUMMYFUNCTION("""COMPUTED_VALUE"""),"HỒNG")</f>
        <v>HỒNG</v>
      </c>
      <c r="D87" s="38">
        <f>IFERROR(__xludf.DUMMYFUNCTION("""COMPUTED_VALUE"""),16.0)</f>
        <v>16</v>
      </c>
      <c r="G87" s="38">
        <v>14.0</v>
      </c>
      <c r="H87" s="38">
        <f t="shared" si="1"/>
        <v>2</v>
      </c>
    </row>
    <row r="88">
      <c r="A88" s="38" t="str">
        <f>IFERROR(__xludf.DUMMYFUNCTION("""COMPUTED_VALUE"""),"81813")</f>
        <v>81813</v>
      </c>
      <c r="B88" s="38" t="str">
        <f>IFERROR(__xludf.DUMMYFUNCTION("""COMPUTED_VALUE"""),"FZ")</f>
        <v>FZ</v>
      </c>
      <c r="C88" s="38" t="str">
        <f>IFERROR(__xludf.DUMMYFUNCTION("""COMPUTED_VALUE"""),"TRẮNG")</f>
        <v>TRẮNG</v>
      </c>
      <c r="D88" s="38">
        <f>IFERROR(__xludf.DUMMYFUNCTION("""COMPUTED_VALUE"""),10.0)</f>
        <v>10</v>
      </c>
      <c r="G88" s="38">
        <v>6.0</v>
      </c>
      <c r="H88" s="38">
        <f t="shared" si="1"/>
        <v>4</v>
      </c>
    </row>
    <row r="89">
      <c r="A89" s="38" t="str">
        <f>IFERROR(__xludf.DUMMYFUNCTION("""COMPUTED_VALUE"""),"81813")</f>
        <v>81813</v>
      </c>
      <c r="B89" s="38" t="str">
        <f>IFERROR(__xludf.DUMMYFUNCTION("""COMPUTED_VALUE"""),"FZ")</f>
        <v>FZ</v>
      </c>
      <c r="C89" s="38" t="str">
        <f>IFERROR(__xludf.DUMMYFUNCTION("""COMPUTED_VALUE"""),"VÀNG")</f>
        <v>VÀNG</v>
      </c>
      <c r="D89" s="38">
        <f>IFERROR(__xludf.DUMMYFUNCTION("""COMPUTED_VALUE"""),6.0)</f>
        <v>6</v>
      </c>
      <c r="G89" s="38">
        <v>4.0</v>
      </c>
      <c r="H89" s="38">
        <f t="shared" si="1"/>
        <v>2</v>
      </c>
    </row>
    <row r="90">
      <c r="A90" s="38" t="str">
        <f>IFERROR(__xludf.DUMMYFUNCTION("""COMPUTED_VALUE"""),"81813")</f>
        <v>81813</v>
      </c>
      <c r="B90" s="38" t="str">
        <f>IFERROR(__xludf.DUMMYFUNCTION("""COMPUTED_VALUE"""),"FZ")</f>
        <v>FZ</v>
      </c>
      <c r="C90" s="38" t="str">
        <f>IFERROR(__xludf.DUMMYFUNCTION("""COMPUTED_VALUE"""),"XANH NHẠT")</f>
        <v>XANH NHẠT</v>
      </c>
      <c r="D90" s="38">
        <f>IFERROR(__xludf.DUMMYFUNCTION("""COMPUTED_VALUE"""),3.0)</f>
        <v>3</v>
      </c>
      <c r="G90" s="38">
        <v>1.0</v>
      </c>
      <c r="H90" s="38">
        <f t="shared" si="1"/>
        <v>2</v>
      </c>
    </row>
    <row r="91">
      <c r="A91" s="38" t="str">
        <f>IFERROR(__xludf.DUMMYFUNCTION("""COMPUTED_VALUE"""),"81813")</f>
        <v>81813</v>
      </c>
      <c r="B91" s="38" t="str">
        <f>IFERROR(__xludf.DUMMYFUNCTION("""COMPUTED_VALUE"""),"FZ")</f>
        <v>FZ</v>
      </c>
      <c r="C91" s="38" t="str">
        <f>IFERROR(__xludf.DUMMYFUNCTION("""COMPUTED_VALUE"""),"XÁM")</f>
        <v>XÁM</v>
      </c>
      <c r="D91" s="38">
        <f>IFERROR(__xludf.DUMMYFUNCTION("""COMPUTED_VALUE"""),3.0)</f>
        <v>3</v>
      </c>
      <c r="G91" s="38">
        <v>3.0</v>
      </c>
      <c r="H91" s="38">
        <f t="shared" si="1"/>
        <v>0</v>
      </c>
    </row>
    <row r="92">
      <c r="A92" s="38" t="str">
        <f>IFERROR(__xludf.DUMMYFUNCTION("""COMPUTED_VALUE"""),"81813")</f>
        <v>81813</v>
      </c>
      <c r="B92" s="38" t="str">
        <f>IFERROR(__xludf.DUMMYFUNCTION("""COMPUTED_VALUE"""),"FZ")</f>
        <v>FZ</v>
      </c>
      <c r="C92" s="38" t="str">
        <f>IFERROR(__xludf.DUMMYFUNCTION("""COMPUTED_VALUE"""),"ĐEN")</f>
        <v>ĐEN</v>
      </c>
      <c r="D92" s="38">
        <f>IFERROR(__xludf.DUMMYFUNCTION("""COMPUTED_VALUE"""),6.0)</f>
        <v>6</v>
      </c>
      <c r="G92" s="38">
        <v>4.0</v>
      </c>
      <c r="H92" s="38">
        <f t="shared" si="1"/>
        <v>2</v>
      </c>
    </row>
    <row r="93">
      <c r="A93" s="38" t="str">
        <f>IFERROR(__xludf.DUMMYFUNCTION("""COMPUTED_VALUE"""),"81813")</f>
        <v>81813</v>
      </c>
      <c r="B93" s="38" t="str">
        <f>IFERROR(__xludf.DUMMYFUNCTION("""COMPUTED_VALUE"""),"FZ")</f>
        <v>FZ</v>
      </c>
      <c r="C93" s="38" t="str">
        <f>IFERROR(__xludf.DUMMYFUNCTION("""COMPUTED_VALUE"""),"ĐỎ")</f>
        <v>ĐỎ</v>
      </c>
      <c r="D93" s="38">
        <f>IFERROR(__xludf.DUMMYFUNCTION("""COMPUTED_VALUE"""),1.0)</f>
        <v>1</v>
      </c>
      <c r="G93" s="38">
        <v>1.0</v>
      </c>
      <c r="H93" s="38">
        <f t="shared" si="1"/>
        <v>0</v>
      </c>
    </row>
    <row r="94">
      <c r="A94" s="38" t="str">
        <f>IFERROR(__xludf.DUMMYFUNCTION("""COMPUTED_VALUE"""),"8319")</f>
        <v>8319</v>
      </c>
      <c r="B94" s="38" t="str">
        <f>IFERROR(__xludf.DUMMYFUNCTION("""COMPUTED_VALUE"""),"L")</f>
        <v>L</v>
      </c>
      <c r="C94" s="38" t="str">
        <f>IFERROR(__xludf.DUMMYFUNCTION("""COMPUTED_VALUE"""),"XANH THAN")</f>
        <v>XANH THAN</v>
      </c>
      <c r="D94" s="38">
        <f>IFERROR(__xludf.DUMMYFUNCTION("""COMPUTED_VALUE"""),1.0)</f>
        <v>1</v>
      </c>
      <c r="G94" s="38">
        <v>0.0</v>
      </c>
      <c r="H94" s="38">
        <f t="shared" si="1"/>
        <v>1</v>
      </c>
    </row>
    <row r="95">
      <c r="A95" s="38" t="str">
        <f>IFERROR(__xludf.DUMMYFUNCTION("""COMPUTED_VALUE"""),"8319")</f>
        <v>8319</v>
      </c>
      <c r="B95" s="38" t="str">
        <f>IFERROR(__xludf.DUMMYFUNCTION("""COMPUTED_VALUE"""),"M")</f>
        <v>M</v>
      </c>
      <c r="C95" s="38" t="str">
        <f>IFERROR(__xludf.DUMMYFUNCTION("""COMPUTED_VALUE"""),"XANH THAN")</f>
        <v>XANH THAN</v>
      </c>
      <c r="D95" s="38">
        <f>IFERROR(__xludf.DUMMYFUNCTION("""COMPUTED_VALUE"""),12.0)</f>
        <v>12</v>
      </c>
      <c r="G95" s="38">
        <v>5.0</v>
      </c>
      <c r="H95" s="38">
        <f t="shared" si="1"/>
        <v>7</v>
      </c>
    </row>
    <row r="96">
      <c r="A96" s="38" t="str">
        <f>IFERROR(__xludf.DUMMYFUNCTION("""COMPUTED_VALUE"""),"8319")</f>
        <v>8319</v>
      </c>
      <c r="B96" s="38" t="str">
        <f>IFERROR(__xludf.DUMMYFUNCTION("""COMPUTED_VALUE"""),"S")</f>
        <v>S</v>
      </c>
      <c r="C96" s="38" t="str">
        <f>IFERROR(__xludf.DUMMYFUNCTION("""COMPUTED_VALUE"""),"XANH THAN")</f>
        <v>XANH THAN</v>
      </c>
      <c r="D96" s="38">
        <f>IFERROR(__xludf.DUMMYFUNCTION("""COMPUTED_VALUE"""),19.0)</f>
        <v>19</v>
      </c>
      <c r="G96" s="38">
        <v>10.0</v>
      </c>
      <c r="H96" s="38">
        <f t="shared" si="1"/>
        <v>9</v>
      </c>
    </row>
    <row r="97">
      <c r="A97" s="38" t="str">
        <f>IFERROR(__xludf.DUMMYFUNCTION("""COMPUTED_VALUE"""),"8321")</f>
        <v>8321</v>
      </c>
      <c r="B97" s="38" t="str">
        <f>IFERROR(__xludf.DUMMYFUNCTION("""COMPUTED_VALUE"""),"FZ")</f>
        <v>FZ</v>
      </c>
      <c r="C97" s="38" t="str">
        <f>IFERROR(__xludf.DUMMYFUNCTION("""COMPUTED_VALUE"""),"NÂU")</f>
        <v>NÂU</v>
      </c>
      <c r="D97" s="38">
        <f>IFERROR(__xludf.DUMMYFUNCTION("""COMPUTED_VALUE"""),18.0)</f>
        <v>18</v>
      </c>
      <c r="G97" s="38">
        <v>0.0</v>
      </c>
      <c r="H97" s="38">
        <f t="shared" si="1"/>
        <v>18</v>
      </c>
    </row>
    <row r="98">
      <c r="A98" s="38" t="str">
        <f>IFERROR(__xludf.DUMMYFUNCTION("""COMPUTED_VALUE"""),"8321")</f>
        <v>8321</v>
      </c>
      <c r="B98" s="38" t="str">
        <f>IFERROR(__xludf.DUMMYFUNCTION("""COMPUTED_VALUE"""),"FZ")</f>
        <v>FZ</v>
      </c>
      <c r="C98" s="38" t="str">
        <f>IFERROR(__xludf.DUMMYFUNCTION("""COMPUTED_VALUE"""),"NÂU NHẠT")</f>
        <v>NÂU NHẠT</v>
      </c>
      <c r="D98" s="38">
        <f>IFERROR(__xludf.DUMMYFUNCTION("""COMPUTED_VALUE"""),7.0)</f>
        <v>7</v>
      </c>
      <c r="G98" s="38">
        <v>0.0</v>
      </c>
      <c r="H98" s="38">
        <f t="shared" si="1"/>
        <v>7</v>
      </c>
    </row>
    <row r="99">
      <c r="A99" s="38" t="str">
        <f>IFERROR(__xludf.DUMMYFUNCTION("""COMPUTED_VALUE"""),"8321")</f>
        <v>8321</v>
      </c>
      <c r="B99" s="38" t="str">
        <f>IFERROR(__xludf.DUMMYFUNCTION("""COMPUTED_VALUE"""),"FZ")</f>
        <v>FZ</v>
      </c>
      <c r="C99" s="38" t="str">
        <f>IFERROR(__xludf.DUMMYFUNCTION("""COMPUTED_VALUE"""),"XANH THAN")</f>
        <v>XANH THAN</v>
      </c>
      <c r="D99" s="38">
        <f>IFERROR(__xludf.DUMMYFUNCTION("""COMPUTED_VALUE"""),11.0)</f>
        <v>11</v>
      </c>
      <c r="G99" s="38">
        <v>0.0</v>
      </c>
      <c r="H99" s="38">
        <f t="shared" si="1"/>
        <v>11</v>
      </c>
    </row>
    <row r="100">
      <c r="A100" s="38" t="str">
        <f>IFERROR(__xludf.DUMMYFUNCTION("""COMPUTED_VALUE"""),"8436")</f>
        <v>8436</v>
      </c>
      <c r="B100" s="38" t="str">
        <f>IFERROR(__xludf.DUMMYFUNCTION("""COMPUTED_VALUE"""),"M")</f>
        <v>M</v>
      </c>
      <c r="C100" s="38" t="str">
        <f>IFERROR(__xludf.DUMMYFUNCTION("""COMPUTED_VALUE"""),"TRẮNG")</f>
        <v>TRẮNG</v>
      </c>
      <c r="D100" s="38">
        <f>IFERROR(__xludf.DUMMYFUNCTION("""COMPUTED_VALUE"""),7.0)</f>
        <v>7</v>
      </c>
      <c r="G100" s="38">
        <v>0.0</v>
      </c>
      <c r="H100" s="38">
        <f t="shared" si="1"/>
        <v>7</v>
      </c>
    </row>
    <row r="101">
      <c r="A101" s="38" t="str">
        <f>IFERROR(__xludf.DUMMYFUNCTION("""COMPUTED_VALUE"""),"8436")</f>
        <v>8436</v>
      </c>
      <c r="B101" s="38" t="str">
        <f>IFERROR(__xludf.DUMMYFUNCTION("""COMPUTED_VALUE"""),"S")</f>
        <v>S</v>
      </c>
      <c r="C101" s="38" t="str">
        <f>IFERROR(__xludf.DUMMYFUNCTION("""COMPUTED_VALUE"""),"TRẮNG")</f>
        <v>TRẮNG</v>
      </c>
      <c r="D101" s="38">
        <f>IFERROR(__xludf.DUMMYFUNCTION("""COMPUTED_VALUE"""),5.0)</f>
        <v>5</v>
      </c>
      <c r="G101" s="38">
        <v>0.0</v>
      </c>
      <c r="H101" s="38">
        <f t="shared" si="1"/>
        <v>5</v>
      </c>
    </row>
    <row r="102">
      <c r="A102" s="38" t="str">
        <f>IFERROR(__xludf.DUMMYFUNCTION("""COMPUTED_VALUE"""),"8514")</f>
        <v>8514</v>
      </c>
      <c r="B102" s="38" t="str">
        <f>IFERROR(__xludf.DUMMYFUNCTION("""COMPUTED_VALUE"""),"M")</f>
        <v>M</v>
      </c>
      <c r="C102" s="38" t="str">
        <f>IFERROR(__xludf.DUMMYFUNCTION("""COMPUTED_VALUE"""),"BE")</f>
        <v>BE</v>
      </c>
      <c r="D102" s="38">
        <f>IFERROR(__xludf.DUMMYFUNCTION("""COMPUTED_VALUE"""),1.0)</f>
        <v>1</v>
      </c>
      <c r="G102" s="38">
        <v>1.0</v>
      </c>
      <c r="H102" s="38">
        <f t="shared" si="1"/>
        <v>0</v>
      </c>
    </row>
    <row r="103">
      <c r="A103" s="38" t="str">
        <f>IFERROR(__xludf.DUMMYFUNCTION("""COMPUTED_VALUE"""),"8514")</f>
        <v>8514</v>
      </c>
      <c r="B103" s="38" t="str">
        <f>IFERROR(__xludf.DUMMYFUNCTION("""COMPUTED_VALUE"""),"S")</f>
        <v>S</v>
      </c>
      <c r="C103" s="38" t="str">
        <f>IFERROR(__xludf.DUMMYFUNCTION("""COMPUTED_VALUE"""),"BE")</f>
        <v>BE</v>
      </c>
      <c r="D103" s="38">
        <f>IFERROR(__xludf.DUMMYFUNCTION("""COMPUTED_VALUE"""),2.0)</f>
        <v>2</v>
      </c>
      <c r="G103" s="38">
        <v>2.0</v>
      </c>
      <c r="H103" s="38">
        <f t="shared" si="1"/>
        <v>0</v>
      </c>
    </row>
    <row r="104">
      <c r="A104" s="38" t="str">
        <f>IFERROR(__xludf.DUMMYFUNCTION("""COMPUTED_VALUE"""),"8521")</f>
        <v>8521</v>
      </c>
      <c r="B104" s="38" t="str">
        <f>IFERROR(__xludf.DUMMYFUNCTION("""COMPUTED_VALUE"""),"M")</f>
        <v>M</v>
      </c>
      <c r="C104" s="38" t="str">
        <f>IFERROR(__xludf.DUMMYFUNCTION("""COMPUTED_VALUE"""),"NÂU")</f>
        <v>NÂU</v>
      </c>
      <c r="D104" s="38">
        <f>IFERROR(__xludf.DUMMYFUNCTION("""COMPUTED_VALUE"""),1.0)</f>
        <v>1</v>
      </c>
      <c r="G104" s="38">
        <v>1.0</v>
      </c>
      <c r="H104" s="38">
        <f t="shared" si="1"/>
        <v>0</v>
      </c>
    </row>
    <row r="105">
      <c r="A105" s="38" t="str">
        <f>IFERROR(__xludf.DUMMYFUNCTION("""COMPUTED_VALUE"""),"8521")</f>
        <v>8521</v>
      </c>
      <c r="B105" s="38" t="str">
        <f>IFERROR(__xludf.DUMMYFUNCTION("""COMPUTED_VALUE"""),"S")</f>
        <v>S</v>
      </c>
      <c r="C105" s="38" t="str">
        <f>IFERROR(__xludf.DUMMYFUNCTION("""COMPUTED_VALUE"""),"NÂU")</f>
        <v>NÂU</v>
      </c>
      <c r="D105" s="38">
        <f>IFERROR(__xludf.DUMMYFUNCTION("""COMPUTED_VALUE"""),1.0)</f>
        <v>1</v>
      </c>
      <c r="G105" s="38">
        <v>1.0</v>
      </c>
      <c r="H105" s="38">
        <f t="shared" si="1"/>
        <v>0</v>
      </c>
    </row>
    <row r="106">
      <c r="A106" s="38" t="str">
        <f>IFERROR(__xludf.DUMMYFUNCTION("""COMPUTED_VALUE"""),"8558")</f>
        <v>8558</v>
      </c>
      <c r="B106" s="38" t="str">
        <f>IFERROR(__xludf.DUMMYFUNCTION("""COMPUTED_VALUE"""),"M")</f>
        <v>M</v>
      </c>
      <c r="C106" s="38" t="str">
        <f>IFERROR(__xludf.DUMMYFUNCTION("""COMPUTED_VALUE"""),"CAM")</f>
        <v>CAM</v>
      </c>
      <c r="D106" s="38">
        <f>IFERROR(__xludf.DUMMYFUNCTION("""COMPUTED_VALUE"""),5.0)</f>
        <v>5</v>
      </c>
      <c r="G106" s="38">
        <v>0.0</v>
      </c>
      <c r="H106" s="38">
        <f t="shared" si="1"/>
        <v>5</v>
      </c>
    </row>
    <row r="107">
      <c r="A107" s="38" t="str">
        <f>IFERROR(__xludf.DUMMYFUNCTION("""COMPUTED_VALUE"""),"8558")</f>
        <v>8558</v>
      </c>
      <c r="B107" s="38" t="str">
        <f>IFERROR(__xludf.DUMMYFUNCTION("""COMPUTED_VALUE"""),"M")</f>
        <v>M</v>
      </c>
      <c r="C107" s="38" t="str">
        <f>IFERROR(__xludf.DUMMYFUNCTION("""COMPUTED_VALUE"""),"HỒNG")</f>
        <v>HỒNG</v>
      </c>
      <c r="D107" s="38">
        <f>IFERROR(__xludf.DUMMYFUNCTION("""COMPUTED_VALUE"""),8.0)</f>
        <v>8</v>
      </c>
      <c r="G107" s="38">
        <v>0.0</v>
      </c>
      <c r="H107" s="38">
        <f t="shared" si="1"/>
        <v>8</v>
      </c>
    </row>
    <row r="108">
      <c r="A108" s="38" t="str">
        <f>IFERROR(__xludf.DUMMYFUNCTION("""COMPUTED_VALUE"""),"8558")</f>
        <v>8558</v>
      </c>
      <c r="B108" s="38" t="str">
        <f>IFERROR(__xludf.DUMMYFUNCTION("""COMPUTED_VALUE"""),"M")</f>
        <v>M</v>
      </c>
      <c r="C108" s="38" t="str">
        <f>IFERROR(__xludf.DUMMYFUNCTION("""COMPUTED_VALUE"""),"TRẮNG")</f>
        <v>TRẮNG</v>
      </c>
      <c r="D108" s="38">
        <f>IFERROR(__xludf.DUMMYFUNCTION("""COMPUTED_VALUE"""),9.0)</f>
        <v>9</v>
      </c>
      <c r="G108" s="38">
        <v>0.0</v>
      </c>
      <c r="H108" s="38">
        <f t="shared" si="1"/>
        <v>9</v>
      </c>
    </row>
    <row r="109">
      <c r="A109" s="38" t="str">
        <f>IFERROR(__xludf.DUMMYFUNCTION("""COMPUTED_VALUE"""),"8558")</f>
        <v>8558</v>
      </c>
      <c r="B109" s="38" t="str">
        <f>IFERROR(__xludf.DUMMYFUNCTION("""COMPUTED_VALUE"""),"M")</f>
        <v>M</v>
      </c>
      <c r="C109" s="38" t="str">
        <f>IFERROR(__xludf.DUMMYFUNCTION("""COMPUTED_VALUE"""),"XANH NÕN")</f>
        <v>XANH NÕN</v>
      </c>
      <c r="D109" s="38">
        <f>IFERROR(__xludf.DUMMYFUNCTION("""COMPUTED_VALUE"""),7.0)</f>
        <v>7</v>
      </c>
      <c r="G109" s="38">
        <v>0.0</v>
      </c>
      <c r="H109" s="38">
        <f t="shared" si="1"/>
        <v>7</v>
      </c>
    </row>
    <row r="110">
      <c r="A110" s="38" t="str">
        <f>IFERROR(__xludf.DUMMYFUNCTION("""COMPUTED_VALUE"""),"8558")</f>
        <v>8558</v>
      </c>
      <c r="B110" s="38" t="str">
        <f>IFERROR(__xludf.DUMMYFUNCTION("""COMPUTED_VALUE"""),"M")</f>
        <v>M</v>
      </c>
      <c r="C110" s="38" t="str">
        <f>IFERROR(__xludf.DUMMYFUNCTION("""COMPUTED_VALUE"""),"XANH THAN")</f>
        <v>XANH THAN</v>
      </c>
      <c r="D110" s="38">
        <f>IFERROR(__xludf.DUMMYFUNCTION("""COMPUTED_VALUE"""),2.0)</f>
        <v>2</v>
      </c>
      <c r="G110" s="38">
        <v>0.0</v>
      </c>
      <c r="H110" s="38">
        <f t="shared" si="1"/>
        <v>2</v>
      </c>
    </row>
    <row r="111">
      <c r="A111" s="38" t="str">
        <f>IFERROR(__xludf.DUMMYFUNCTION("""COMPUTED_VALUE"""),"8558")</f>
        <v>8558</v>
      </c>
      <c r="B111" s="38" t="str">
        <f>IFERROR(__xludf.DUMMYFUNCTION("""COMPUTED_VALUE"""),"M")</f>
        <v>M</v>
      </c>
      <c r="C111" s="38" t="str">
        <f>IFERROR(__xludf.DUMMYFUNCTION("""COMPUTED_VALUE"""),"XÁM")</f>
        <v>XÁM</v>
      </c>
      <c r="D111" s="38">
        <f>IFERROR(__xludf.DUMMYFUNCTION("""COMPUTED_VALUE"""),2.0)</f>
        <v>2</v>
      </c>
      <c r="G111" s="38">
        <v>0.0</v>
      </c>
      <c r="H111" s="38">
        <f t="shared" si="1"/>
        <v>2</v>
      </c>
    </row>
    <row r="112">
      <c r="A112" s="38" t="str">
        <f>IFERROR(__xludf.DUMMYFUNCTION("""COMPUTED_VALUE"""),"8558")</f>
        <v>8558</v>
      </c>
      <c r="B112" s="38" t="str">
        <f>IFERROR(__xludf.DUMMYFUNCTION("""COMPUTED_VALUE"""),"M")</f>
        <v>M</v>
      </c>
      <c r="C112" s="38" t="str">
        <f>IFERROR(__xludf.DUMMYFUNCTION("""COMPUTED_VALUE"""),"ĐEN")</f>
        <v>ĐEN</v>
      </c>
      <c r="D112" s="38">
        <f>IFERROR(__xludf.DUMMYFUNCTION("""COMPUTED_VALUE"""),7.0)</f>
        <v>7</v>
      </c>
      <c r="G112" s="38">
        <v>0.0</v>
      </c>
      <c r="H112" s="38">
        <f t="shared" si="1"/>
        <v>7</v>
      </c>
    </row>
    <row r="113">
      <c r="A113" s="38" t="str">
        <f>IFERROR(__xludf.DUMMYFUNCTION("""COMPUTED_VALUE"""),"8558")</f>
        <v>8558</v>
      </c>
      <c r="B113" s="38" t="str">
        <f>IFERROR(__xludf.DUMMYFUNCTION("""COMPUTED_VALUE"""),"S")</f>
        <v>S</v>
      </c>
      <c r="C113" s="38" t="str">
        <f>IFERROR(__xludf.DUMMYFUNCTION("""COMPUTED_VALUE"""),"CAM")</f>
        <v>CAM</v>
      </c>
      <c r="D113" s="38">
        <f>IFERROR(__xludf.DUMMYFUNCTION("""COMPUTED_VALUE"""),2.0)</f>
        <v>2</v>
      </c>
      <c r="G113" s="38">
        <v>0.0</v>
      </c>
      <c r="H113" s="38">
        <f t="shared" si="1"/>
        <v>2</v>
      </c>
    </row>
    <row r="114">
      <c r="A114" s="38" t="str">
        <f>IFERROR(__xludf.DUMMYFUNCTION("""COMPUTED_VALUE"""),"8558")</f>
        <v>8558</v>
      </c>
      <c r="B114" s="38" t="str">
        <f>IFERROR(__xludf.DUMMYFUNCTION("""COMPUTED_VALUE"""),"S")</f>
        <v>S</v>
      </c>
      <c r="C114" s="38" t="str">
        <f>IFERROR(__xludf.DUMMYFUNCTION("""COMPUTED_VALUE"""),"HỒNG")</f>
        <v>HỒNG</v>
      </c>
      <c r="D114" s="38">
        <f>IFERROR(__xludf.DUMMYFUNCTION("""COMPUTED_VALUE"""),3.0)</f>
        <v>3</v>
      </c>
      <c r="G114" s="38">
        <v>0.0</v>
      </c>
      <c r="H114" s="38">
        <f t="shared" si="1"/>
        <v>3</v>
      </c>
    </row>
    <row r="115">
      <c r="A115" s="38" t="str">
        <f>IFERROR(__xludf.DUMMYFUNCTION("""COMPUTED_VALUE"""),"8558")</f>
        <v>8558</v>
      </c>
      <c r="B115" s="38" t="str">
        <f>IFERROR(__xludf.DUMMYFUNCTION("""COMPUTED_VALUE"""),"S")</f>
        <v>S</v>
      </c>
      <c r="C115" s="38" t="str">
        <f>IFERROR(__xludf.DUMMYFUNCTION("""COMPUTED_VALUE"""),"TRẮNG")</f>
        <v>TRẮNG</v>
      </c>
      <c r="D115" s="38">
        <f>IFERROR(__xludf.DUMMYFUNCTION("""COMPUTED_VALUE"""),10.0)</f>
        <v>10</v>
      </c>
      <c r="G115" s="38">
        <v>0.0</v>
      </c>
      <c r="H115" s="38">
        <f t="shared" si="1"/>
        <v>10</v>
      </c>
    </row>
    <row r="116">
      <c r="A116" s="38" t="str">
        <f>IFERROR(__xludf.DUMMYFUNCTION("""COMPUTED_VALUE"""),"8558")</f>
        <v>8558</v>
      </c>
      <c r="B116" s="38" t="str">
        <f>IFERROR(__xludf.DUMMYFUNCTION("""COMPUTED_VALUE"""),"S")</f>
        <v>S</v>
      </c>
      <c r="C116" s="38" t="str">
        <f>IFERROR(__xludf.DUMMYFUNCTION("""COMPUTED_VALUE"""),"XANH NÕN")</f>
        <v>XANH NÕN</v>
      </c>
      <c r="D116" s="38">
        <f>IFERROR(__xludf.DUMMYFUNCTION("""COMPUTED_VALUE"""),3.0)</f>
        <v>3</v>
      </c>
      <c r="G116" s="38">
        <v>0.0</v>
      </c>
      <c r="H116" s="38">
        <f t="shared" si="1"/>
        <v>3</v>
      </c>
    </row>
    <row r="117">
      <c r="A117" s="38" t="str">
        <f>IFERROR(__xludf.DUMMYFUNCTION("""COMPUTED_VALUE"""),"8558")</f>
        <v>8558</v>
      </c>
      <c r="B117" s="38" t="str">
        <f>IFERROR(__xludf.DUMMYFUNCTION("""COMPUTED_VALUE"""),"S")</f>
        <v>S</v>
      </c>
      <c r="C117" s="38" t="str">
        <f>IFERROR(__xludf.DUMMYFUNCTION("""COMPUTED_VALUE"""),"ĐEN")</f>
        <v>ĐEN</v>
      </c>
      <c r="D117" s="38">
        <f>IFERROR(__xludf.DUMMYFUNCTION("""COMPUTED_VALUE"""),4.0)</f>
        <v>4</v>
      </c>
      <c r="G117" s="38">
        <v>0.0</v>
      </c>
      <c r="H117" s="38">
        <f t="shared" si="1"/>
        <v>4</v>
      </c>
    </row>
    <row r="118">
      <c r="A118" s="38" t="str">
        <f>IFERROR(__xludf.DUMMYFUNCTION("""COMPUTED_VALUE"""),"8610")</f>
        <v>8610</v>
      </c>
      <c r="B118" s="38" t="str">
        <f>IFERROR(__xludf.DUMMYFUNCTION("""COMPUTED_VALUE"""),"M")</f>
        <v>M</v>
      </c>
      <c r="C118" s="38" t="str">
        <f>IFERROR(__xludf.DUMMYFUNCTION("""COMPUTED_VALUE"""),"HỒNG")</f>
        <v>HỒNG</v>
      </c>
      <c r="D118" s="38">
        <f>IFERROR(__xludf.DUMMYFUNCTION("""COMPUTED_VALUE"""),1.0)</f>
        <v>1</v>
      </c>
      <c r="G118" s="38">
        <v>0.0</v>
      </c>
      <c r="H118" s="38">
        <f t="shared" si="1"/>
        <v>1</v>
      </c>
    </row>
    <row r="119">
      <c r="A119" s="38" t="str">
        <f>IFERROR(__xludf.DUMMYFUNCTION("""COMPUTED_VALUE"""),"8610")</f>
        <v>8610</v>
      </c>
      <c r="B119" s="38" t="str">
        <f>IFERROR(__xludf.DUMMYFUNCTION("""COMPUTED_VALUE"""),"M")</f>
        <v>M</v>
      </c>
      <c r="C119" s="38" t="str">
        <f>IFERROR(__xludf.DUMMYFUNCTION("""COMPUTED_VALUE"""),"NÂU")</f>
        <v>NÂU</v>
      </c>
      <c r="D119" s="38">
        <f>IFERROR(__xludf.DUMMYFUNCTION("""COMPUTED_VALUE"""),4.0)</f>
        <v>4</v>
      </c>
      <c r="G119" s="38">
        <v>0.0</v>
      </c>
      <c r="H119" s="38">
        <f t="shared" si="1"/>
        <v>4</v>
      </c>
    </row>
    <row r="120">
      <c r="A120" s="38" t="str">
        <f>IFERROR(__xludf.DUMMYFUNCTION("""COMPUTED_VALUE"""),"8610")</f>
        <v>8610</v>
      </c>
      <c r="B120" s="38" t="str">
        <f>IFERROR(__xludf.DUMMYFUNCTION("""COMPUTED_VALUE"""),"M")</f>
        <v>M</v>
      </c>
      <c r="C120" s="38" t="str">
        <f>IFERROR(__xludf.DUMMYFUNCTION("""COMPUTED_VALUE"""),"TRẮNG")</f>
        <v>TRẮNG</v>
      </c>
      <c r="D120" s="38">
        <f>IFERROR(__xludf.DUMMYFUNCTION("""COMPUTED_VALUE"""),9.0)</f>
        <v>9</v>
      </c>
      <c r="G120" s="38">
        <v>0.0</v>
      </c>
      <c r="H120" s="38">
        <f t="shared" si="1"/>
        <v>9</v>
      </c>
    </row>
    <row r="121">
      <c r="A121" s="38" t="str">
        <f>IFERROR(__xludf.DUMMYFUNCTION("""COMPUTED_VALUE"""),"8610")</f>
        <v>8610</v>
      </c>
      <c r="B121" s="38" t="str">
        <f>IFERROR(__xludf.DUMMYFUNCTION("""COMPUTED_VALUE"""),"M")</f>
        <v>M</v>
      </c>
      <c r="C121" s="38" t="str">
        <f>IFERROR(__xludf.DUMMYFUNCTION("""COMPUTED_VALUE"""),"XANH THAN")</f>
        <v>XANH THAN</v>
      </c>
      <c r="D121" s="38">
        <f>IFERROR(__xludf.DUMMYFUNCTION("""COMPUTED_VALUE"""),2.0)</f>
        <v>2</v>
      </c>
      <c r="G121" s="38">
        <v>0.0</v>
      </c>
      <c r="H121" s="38">
        <f t="shared" si="1"/>
        <v>2</v>
      </c>
    </row>
    <row r="122">
      <c r="A122" s="38" t="str">
        <f>IFERROR(__xludf.DUMMYFUNCTION("""COMPUTED_VALUE"""),"8610")</f>
        <v>8610</v>
      </c>
      <c r="B122" s="38" t="str">
        <f>IFERROR(__xludf.DUMMYFUNCTION("""COMPUTED_VALUE"""),"M")</f>
        <v>M</v>
      </c>
      <c r="C122" s="38" t="str">
        <f>IFERROR(__xludf.DUMMYFUNCTION("""COMPUTED_VALUE"""),"ĐEN")</f>
        <v>ĐEN</v>
      </c>
      <c r="D122" s="38">
        <f>IFERROR(__xludf.DUMMYFUNCTION("""COMPUTED_VALUE"""),4.0)</f>
        <v>4</v>
      </c>
      <c r="G122" s="38">
        <v>0.0</v>
      </c>
      <c r="H122" s="38">
        <f t="shared" si="1"/>
        <v>4</v>
      </c>
    </row>
    <row r="123">
      <c r="A123" s="38" t="str">
        <f>IFERROR(__xludf.DUMMYFUNCTION("""COMPUTED_VALUE"""),"8610")</f>
        <v>8610</v>
      </c>
      <c r="B123" s="38" t="str">
        <f>IFERROR(__xludf.DUMMYFUNCTION("""COMPUTED_VALUE"""),"S")</f>
        <v>S</v>
      </c>
      <c r="C123" s="38" t="str">
        <f>IFERROR(__xludf.DUMMYFUNCTION("""COMPUTED_VALUE"""),"HỒNG")</f>
        <v>HỒNG</v>
      </c>
      <c r="D123" s="38">
        <f>IFERROR(__xludf.DUMMYFUNCTION("""COMPUTED_VALUE"""),2.0)</f>
        <v>2</v>
      </c>
      <c r="G123" s="38">
        <v>0.0</v>
      </c>
      <c r="H123" s="38">
        <f t="shared" si="1"/>
        <v>2</v>
      </c>
    </row>
    <row r="124">
      <c r="A124" s="38" t="str">
        <f>IFERROR(__xludf.DUMMYFUNCTION("""COMPUTED_VALUE"""),"8610")</f>
        <v>8610</v>
      </c>
      <c r="B124" s="38" t="str">
        <f>IFERROR(__xludf.DUMMYFUNCTION("""COMPUTED_VALUE"""),"S")</f>
        <v>S</v>
      </c>
      <c r="C124" s="38" t="str">
        <f>IFERROR(__xludf.DUMMYFUNCTION("""COMPUTED_VALUE"""),"NÂU")</f>
        <v>NÂU</v>
      </c>
      <c r="D124" s="38">
        <f>IFERROR(__xludf.DUMMYFUNCTION("""COMPUTED_VALUE"""),1.0)</f>
        <v>1</v>
      </c>
      <c r="G124" s="38">
        <v>0.0</v>
      </c>
      <c r="H124" s="38">
        <f t="shared" si="1"/>
        <v>1</v>
      </c>
    </row>
    <row r="125">
      <c r="A125" s="38" t="str">
        <f>IFERROR(__xludf.DUMMYFUNCTION("""COMPUTED_VALUE"""),"8610")</f>
        <v>8610</v>
      </c>
      <c r="B125" s="38" t="str">
        <f>IFERROR(__xludf.DUMMYFUNCTION("""COMPUTED_VALUE"""),"S")</f>
        <v>S</v>
      </c>
      <c r="C125" s="38" t="str">
        <f>IFERROR(__xludf.DUMMYFUNCTION("""COMPUTED_VALUE"""),"TRẮNG")</f>
        <v>TRẮNG</v>
      </c>
      <c r="D125" s="38">
        <f>IFERROR(__xludf.DUMMYFUNCTION("""COMPUTED_VALUE"""),12.0)</f>
        <v>12</v>
      </c>
      <c r="G125" s="38">
        <v>0.0</v>
      </c>
      <c r="H125" s="38">
        <f t="shared" si="1"/>
        <v>12</v>
      </c>
    </row>
    <row r="126">
      <c r="A126" s="38" t="str">
        <f>IFERROR(__xludf.DUMMYFUNCTION("""COMPUTED_VALUE"""),"8610")</f>
        <v>8610</v>
      </c>
      <c r="B126" s="38" t="str">
        <f>IFERROR(__xludf.DUMMYFUNCTION("""COMPUTED_VALUE"""),"S")</f>
        <v>S</v>
      </c>
      <c r="C126" s="38" t="str">
        <f>IFERROR(__xludf.DUMMYFUNCTION("""COMPUTED_VALUE"""),"XANH THAN")</f>
        <v>XANH THAN</v>
      </c>
      <c r="D126" s="38">
        <f>IFERROR(__xludf.DUMMYFUNCTION("""COMPUTED_VALUE"""),2.0)</f>
        <v>2</v>
      </c>
      <c r="G126" s="38">
        <v>0.0</v>
      </c>
      <c r="H126" s="38">
        <f t="shared" si="1"/>
        <v>2</v>
      </c>
    </row>
    <row r="127">
      <c r="A127" s="38" t="str">
        <f>IFERROR(__xludf.DUMMYFUNCTION("""COMPUTED_VALUE"""),"8610")</f>
        <v>8610</v>
      </c>
      <c r="B127" s="38" t="str">
        <f>IFERROR(__xludf.DUMMYFUNCTION("""COMPUTED_VALUE"""),"S")</f>
        <v>S</v>
      </c>
      <c r="C127" s="38" t="str">
        <f>IFERROR(__xludf.DUMMYFUNCTION("""COMPUTED_VALUE"""),"XÁM")</f>
        <v>XÁM</v>
      </c>
      <c r="D127" s="38">
        <f>IFERROR(__xludf.DUMMYFUNCTION("""COMPUTED_VALUE"""),3.0)</f>
        <v>3</v>
      </c>
      <c r="G127" s="38">
        <v>0.0</v>
      </c>
      <c r="H127" s="38">
        <f t="shared" si="1"/>
        <v>3</v>
      </c>
    </row>
    <row r="128">
      <c r="A128" s="38" t="str">
        <f>IFERROR(__xludf.DUMMYFUNCTION("""COMPUTED_VALUE"""),"8610")</f>
        <v>8610</v>
      </c>
      <c r="B128" s="38" t="str">
        <f>IFERROR(__xludf.DUMMYFUNCTION("""COMPUTED_VALUE"""),"S")</f>
        <v>S</v>
      </c>
      <c r="C128" s="38" t="str">
        <f>IFERROR(__xludf.DUMMYFUNCTION("""COMPUTED_VALUE"""),"ĐEN")</f>
        <v>ĐEN</v>
      </c>
      <c r="D128" s="38">
        <f>IFERROR(__xludf.DUMMYFUNCTION("""COMPUTED_VALUE"""),4.0)</f>
        <v>4</v>
      </c>
      <c r="G128" s="38">
        <v>0.0</v>
      </c>
      <c r="H128" s="38">
        <f t="shared" si="1"/>
        <v>4</v>
      </c>
    </row>
    <row r="129">
      <c r="A129" s="38" t="str">
        <f>IFERROR(__xludf.DUMMYFUNCTION("""COMPUTED_VALUE"""),"8625")</f>
        <v>8625</v>
      </c>
      <c r="B129" s="38" t="str">
        <f>IFERROR(__xludf.DUMMYFUNCTION("""COMPUTED_VALUE"""),"M")</f>
        <v>M</v>
      </c>
      <c r="C129" s="38" t="str">
        <f>IFERROR(__xludf.DUMMYFUNCTION("""COMPUTED_VALUE"""),"XANH THAN")</f>
        <v>XANH THAN</v>
      </c>
      <c r="D129" s="38">
        <f>IFERROR(__xludf.DUMMYFUNCTION("""COMPUTED_VALUE"""),1.0)</f>
        <v>1</v>
      </c>
      <c r="G129" s="38">
        <v>1.0</v>
      </c>
      <c r="H129" s="38">
        <f t="shared" si="1"/>
        <v>0</v>
      </c>
    </row>
    <row r="130">
      <c r="A130" s="38" t="str">
        <f>IFERROR(__xludf.DUMMYFUNCTION("""COMPUTED_VALUE"""),"8625")</f>
        <v>8625</v>
      </c>
      <c r="B130" s="38" t="str">
        <f>IFERROR(__xludf.DUMMYFUNCTION("""COMPUTED_VALUE"""),"S")</f>
        <v>S</v>
      </c>
      <c r="C130" s="38" t="str">
        <f>IFERROR(__xludf.DUMMYFUNCTION("""COMPUTED_VALUE"""),"XANH THAN")</f>
        <v>XANH THAN</v>
      </c>
      <c r="D130" s="38">
        <f>IFERROR(__xludf.DUMMYFUNCTION("""COMPUTED_VALUE"""),3.0)</f>
        <v>3</v>
      </c>
      <c r="G130" s="38">
        <v>3.0</v>
      </c>
      <c r="H130" s="38">
        <f t="shared" si="1"/>
        <v>0</v>
      </c>
    </row>
    <row r="131">
      <c r="A131" s="38" t="str">
        <f>IFERROR(__xludf.DUMMYFUNCTION("""COMPUTED_VALUE"""),"8646")</f>
        <v>8646</v>
      </c>
      <c r="B131" s="38" t="str">
        <f>IFERROR(__xludf.DUMMYFUNCTION("""COMPUTED_VALUE"""),"FZ")</f>
        <v>FZ</v>
      </c>
      <c r="C131" s="38" t="str">
        <f>IFERROR(__xludf.DUMMYFUNCTION("""COMPUTED_VALUE"""),"BE")</f>
        <v>BE</v>
      </c>
      <c r="D131" s="38">
        <f>IFERROR(__xludf.DUMMYFUNCTION("""COMPUTED_VALUE"""),6.0)</f>
        <v>6</v>
      </c>
      <c r="G131" s="38">
        <v>6.0</v>
      </c>
      <c r="H131" s="38">
        <f t="shared" si="1"/>
        <v>0</v>
      </c>
    </row>
    <row r="132">
      <c r="A132" s="38" t="str">
        <f>IFERROR(__xludf.DUMMYFUNCTION("""COMPUTED_VALUE"""),"8646")</f>
        <v>8646</v>
      </c>
      <c r="B132" s="38" t="str">
        <f>IFERROR(__xludf.DUMMYFUNCTION("""COMPUTED_VALUE"""),"FZ")</f>
        <v>FZ</v>
      </c>
      <c r="C132" s="38" t="str">
        <f>IFERROR(__xludf.DUMMYFUNCTION("""COMPUTED_VALUE"""),"XÁM")</f>
        <v>XÁM</v>
      </c>
      <c r="D132" s="38">
        <f>IFERROR(__xludf.DUMMYFUNCTION("""COMPUTED_VALUE"""),3.0)</f>
        <v>3</v>
      </c>
      <c r="G132" s="38">
        <v>3.0</v>
      </c>
      <c r="H132" s="38">
        <f t="shared" si="1"/>
        <v>0</v>
      </c>
    </row>
    <row r="133">
      <c r="A133" s="38" t="str">
        <f>IFERROR(__xludf.DUMMYFUNCTION("""COMPUTED_VALUE"""),"8657")</f>
        <v>8657</v>
      </c>
      <c r="B133" s="38" t="str">
        <f>IFERROR(__xludf.DUMMYFUNCTION("""COMPUTED_VALUE"""),"M")</f>
        <v>M</v>
      </c>
      <c r="C133" s="38" t="str">
        <f>IFERROR(__xludf.DUMMYFUNCTION("""COMPUTED_VALUE"""),"ĐEN")</f>
        <v>ĐEN</v>
      </c>
      <c r="D133" s="38">
        <f>IFERROR(__xludf.DUMMYFUNCTION("""COMPUTED_VALUE"""),2.0)</f>
        <v>2</v>
      </c>
      <c r="G133" s="38">
        <v>0.0</v>
      </c>
      <c r="H133" s="38">
        <f t="shared" si="1"/>
        <v>2</v>
      </c>
    </row>
    <row r="134">
      <c r="A134" s="38" t="str">
        <f>IFERROR(__xludf.DUMMYFUNCTION("""COMPUTED_VALUE"""),"8657")</f>
        <v>8657</v>
      </c>
      <c r="B134" s="38" t="str">
        <f>IFERROR(__xludf.DUMMYFUNCTION("""COMPUTED_VALUE"""),"S")</f>
        <v>S</v>
      </c>
      <c r="C134" s="38" t="str">
        <f>IFERROR(__xludf.DUMMYFUNCTION("""COMPUTED_VALUE"""),"ĐEN")</f>
        <v>ĐEN</v>
      </c>
      <c r="D134" s="38">
        <f>IFERROR(__xludf.DUMMYFUNCTION("""COMPUTED_VALUE"""),2.0)</f>
        <v>2</v>
      </c>
      <c r="G134" s="38">
        <v>0.0</v>
      </c>
      <c r="H134" s="38">
        <f t="shared" si="1"/>
        <v>2</v>
      </c>
    </row>
    <row r="135">
      <c r="A135" s="38" t="str">
        <f>IFERROR(__xludf.DUMMYFUNCTION("""COMPUTED_VALUE"""),"8684")</f>
        <v>8684</v>
      </c>
      <c r="B135" s="38" t="str">
        <f>IFERROR(__xludf.DUMMYFUNCTION("""COMPUTED_VALUE"""),"M")</f>
        <v>M</v>
      </c>
      <c r="C135" s="38" t="str">
        <f>IFERROR(__xludf.DUMMYFUNCTION("""COMPUTED_VALUE"""),"TRẮNG")</f>
        <v>TRẮNG</v>
      </c>
      <c r="D135" s="38">
        <f>IFERROR(__xludf.DUMMYFUNCTION("""COMPUTED_VALUE"""),1.0)</f>
        <v>1</v>
      </c>
      <c r="G135" s="38">
        <v>0.0</v>
      </c>
      <c r="H135" s="38">
        <f t="shared" si="1"/>
        <v>1</v>
      </c>
    </row>
    <row r="136">
      <c r="A136" s="38" t="str">
        <f>IFERROR(__xludf.DUMMYFUNCTION("""COMPUTED_VALUE"""),"8684")</f>
        <v>8684</v>
      </c>
      <c r="B136" s="38" t="str">
        <f>IFERROR(__xludf.DUMMYFUNCTION("""COMPUTED_VALUE"""),"S")</f>
        <v>S</v>
      </c>
      <c r="C136" s="38" t="str">
        <f>IFERROR(__xludf.DUMMYFUNCTION("""COMPUTED_VALUE"""),"TRẮNG")</f>
        <v>TRẮNG</v>
      </c>
      <c r="D136" s="38">
        <f>IFERROR(__xludf.DUMMYFUNCTION("""COMPUTED_VALUE"""),1.0)</f>
        <v>1</v>
      </c>
      <c r="G136" s="38">
        <v>0.0</v>
      </c>
    </row>
    <row r="137">
      <c r="A137" s="38" t="str">
        <f>IFERROR(__xludf.DUMMYFUNCTION("""COMPUTED_VALUE"""),"8740")</f>
        <v>8740</v>
      </c>
      <c r="B137" s="38" t="str">
        <f>IFERROR(__xludf.DUMMYFUNCTION("""COMPUTED_VALUE"""),"M")</f>
        <v>M</v>
      </c>
      <c r="C137" s="38" t="str">
        <f>IFERROR(__xludf.DUMMYFUNCTION("""COMPUTED_VALUE"""),"BE")</f>
        <v>BE</v>
      </c>
      <c r="D137" s="38">
        <f>IFERROR(__xludf.DUMMYFUNCTION("""COMPUTED_VALUE"""),3.0)</f>
        <v>3</v>
      </c>
      <c r="G137" s="38">
        <v>0.0</v>
      </c>
    </row>
    <row r="138">
      <c r="A138" s="38" t="str">
        <f>IFERROR(__xludf.DUMMYFUNCTION("""COMPUTED_VALUE"""),"8740")</f>
        <v>8740</v>
      </c>
      <c r="B138" s="38" t="str">
        <f>IFERROR(__xludf.DUMMYFUNCTION("""COMPUTED_VALUE"""),"M")</f>
        <v>M</v>
      </c>
      <c r="C138" s="38" t="str">
        <f>IFERROR(__xludf.DUMMYFUNCTION("""COMPUTED_VALUE"""),"TRẮNG")</f>
        <v>TRẮNG</v>
      </c>
      <c r="D138" s="38">
        <f>IFERROR(__xludf.DUMMYFUNCTION("""COMPUTED_VALUE"""),26.0)</f>
        <v>26</v>
      </c>
      <c r="G138" s="38">
        <v>19.0</v>
      </c>
    </row>
    <row r="139">
      <c r="A139" s="38" t="str">
        <f>IFERROR(__xludf.DUMMYFUNCTION("""COMPUTED_VALUE"""),"8740")</f>
        <v>8740</v>
      </c>
      <c r="B139" s="38" t="str">
        <f>IFERROR(__xludf.DUMMYFUNCTION("""COMPUTED_VALUE"""),"S")</f>
        <v>S</v>
      </c>
      <c r="C139" s="38" t="str">
        <f>IFERROR(__xludf.DUMMYFUNCTION("""COMPUTED_VALUE"""),"BE")</f>
        <v>BE</v>
      </c>
      <c r="D139" s="38">
        <f>IFERROR(__xludf.DUMMYFUNCTION("""COMPUTED_VALUE"""),5.0)</f>
        <v>5</v>
      </c>
      <c r="G139" s="38">
        <v>0.0</v>
      </c>
    </row>
    <row r="140">
      <c r="A140" s="38" t="str">
        <f>IFERROR(__xludf.DUMMYFUNCTION("""COMPUTED_VALUE"""),"8740")</f>
        <v>8740</v>
      </c>
      <c r="B140" s="38" t="str">
        <f>IFERROR(__xludf.DUMMYFUNCTION("""COMPUTED_VALUE"""),"S")</f>
        <v>S</v>
      </c>
      <c r="C140" s="38" t="str">
        <f>IFERROR(__xludf.DUMMYFUNCTION("""COMPUTED_VALUE"""),"TRẮNG")</f>
        <v>TRẮNG</v>
      </c>
      <c r="D140" s="38">
        <f>IFERROR(__xludf.DUMMYFUNCTION("""COMPUTED_VALUE"""),26.0)</f>
        <v>26</v>
      </c>
      <c r="G140" s="38">
        <v>25.0</v>
      </c>
    </row>
    <row r="141">
      <c r="A141" s="38" t="str">
        <f>IFERROR(__xludf.DUMMYFUNCTION("""COMPUTED_VALUE"""),"8748")</f>
        <v>8748</v>
      </c>
      <c r="B141" s="38" t="str">
        <f>IFERROR(__xludf.DUMMYFUNCTION("""COMPUTED_VALUE"""),"L")</f>
        <v>L</v>
      </c>
      <c r="C141" s="38" t="str">
        <f>IFERROR(__xludf.DUMMYFUNCTION("""COMPUTED_VALUE"""),"XANH THAN")</f>
        <v>XANH THAN</v>
      </c>
      <c r="D141" s="38">
        <f>IFERROR(__xludf.DUMMYFUNCTION("""COMPUTED_VALUE"""),5.0)</f>
        <v>5</v>
      </c>
      <c r="G141" s="38">
        <v>4.0</v>
      </c>
    </row>
    <row r="142">
      <c r="A142" s="38" t="str">
        <f>IFERROR(__xludf.DUMMYFUNCTION("""COMPUTED_VALUE"""),"8748")</f>
        <v>8748</v>
      </c>
      <c r="B142" s="38" t="str">
        <f>IFERROR(__xludf.DUMMYFUNCTION("""COMPUTED_VALUE"""),"M")</f>
        <v>M</v>
      </c>
      <c r="C142" s="38" t="str">
        <f>IFERROR(__xludf.DUMMYFUNCTION("""COMPUTED_VALUE"""),"XANH THAN")</f>
        <v>XANH THAN</v>
      </c>
      <c r="D142" s="38">
        <f>IFERROR(__xludf.DUMMYFUNCTION("""COMPUTED_VALUE"""),33.0)</f>
        <v>33</v>
      </c>
      <c r="G142" s="38">
        <v>26.0</v>
      </c>
    </row>
    <row r="143">
      <c r="A143" s="38" t="str">
        <f>IFERROR(__xludf.DUMMYFUNCTION("""COMPUTED_VALUE"""),"8748")</f>
        <v>8748</v>
      </c>
      <c r="B143" s="38" t="str">
        <f>IFERROR(__xludf.DUMMYFUNCTION("""COMPUTED_VALUE"""),"S")</f>
        <v>S</v>
      </c>
      <c r="C143" s="38" t="str">
        <f>IFERROR(__xludf.DUMMYFUNCTION("""COMPUTED_VALUE"""),"XANH THAN")</f>
        <v>XANH THAN</v>
      </c>
      <c r="D143" s="38">
        <f>IFERROR(__xludf.DUMMYFUNCTION("""COMPUTED_VALUE"""),31.0)</f>
        <v>31</v>
      </c>
      <c r="G143" s="38">
        <v>25.0</v>
      </c>
    </row>
    <row r="144">
      <c r="A144" s="38" t="str">
        <f>IFERROR(__xludf.DUMMYFUNCTION("""COMPUTED_VALUE"""),"8765")</f>
        <v>8765</v>
      </c>
      <c r="B144" s="38" t="str">
        <f>IFERROR(__xludf.DUMMYFUNCTION("""COMPUTED_VALUE"""),"M")</f>
        <v>M</v>
      </c>
      <c r="C144" s="38" t="str">
        <f>IFERROR(__xludf.DUMMYFUNCTION("""COMPUTED_VALUE"""),"TRẮNG")</f>
        <v>TRẮNG</v>
      </c>
      <c r="D144" s="38">
        <f>IFERROR(__xludf.DUMMYFUNCTION("""COMPUTED_VALUE"""),2.0)</f>
        <v>2</v>
      </c>
      <c r="G144" s="38">
        <v>0.0</v>
      </c>
    </row>
    <row r="145">
      <c r="A145" s="38" t="str">
        <f>IFERROR(__xludf.DUMMYFUNCTION("""COMPUTED_VALUE"""),"8765")</f>
        <v>8765</v>
      </c>
      <c r="B145" s="38" t="str">
        <f>IFERROR(__xludf.DUMMYFUNCTION("""COMPUTED_VALUE"""),"S")</f>
        <v>S</v>
      </c>
      <c r="C145" s="38" t="str">
        <f>IFERROR(__xludf.DUMMYFUNCTION("""COMPUTED_VALUE"""),"TRẮNG")</f>
        <v>TRẮNG</v>
      </c>
      <c r="D145" s="38">
        <f>IFERROR(__xludf.DUMMYFUNCTION("""COMPUTED_VALUE"""),3.0)</f>
        <v>3</v>
      </c>
      <c r="G145" s="38">
        <v>0.0</v>
      </c>
    </row>
    <row r="146">
      <c r="A146" s="38" t="str">
        <f>IFERROR(__xludf.DUMMYFUNCTION("""COMPUTED_VALUE"""),"8770")</f>
        <v>8770</v>
      </c>
      <c r="B146" s="38" t="str">
        <f>IFERROR(__xludf.DUMMYFUNCTION("""COMPUTED_VALUE"""),"FZ")</f>
        <v>FZ</v>
      </c>
      <c r="C146" s="38" t="str">
        <f>IFERROR(__xludf.DUMMYFUNCTION("""COMPUTED_VALUE"""),"TRẮNG")</f>
        <v>TRẮNG</v>
      </c>
      <c r="D146" s="38">
        <f>IFERROR(__xludf.DUMMYFUNCTION("""COMPUTED_VALUE"""),3.0)</f>
        <v>3</v>
      </c>
      <c r="G146" s="38">
        <v>0.0</v>
      </c>
    </row>
    <row r="147">
      <c r="A147" s="38" t="str">
        <f>IFERROR(__xludf.DUMMYFUNCTION("""COMPUTED_VALUE"""),"8770")</f>
        <v>8770</v>
      </c>
      <c r="B147" s="38" t="str">
        <f>IFERROR(__xludf.DUMMYFUNCTION("""COMPUTED_VALUE"""),"FZ")</f>
        <v>FZ</v>
      </c>
      <c r="C147" s="38" t="str">
        <f>IFERROR(__xludf.DUMMYFUNCTION("""COMPUTED_VALUE"""),"XANH")</f>
        <v>XANH</v>
      </c>
      <c r="D147" s="38">
        <f>IFERROR(__xludf.DUMMYFUNCTION("""COMPUTED_VALUE"""),1.0)</f>
        <v>1</v>
      </c>
      <c r="G147" s="38">
        <v>0.0</v>
      </c>
    </row>
    <row r="148">
      <c r="A148" s="38" t="str">
        <f>IFERROR(__xludf.DUMMYFUNCTION("""COMPUTED_VALUE"""),"8770")</f>
        <v>8770</v>
      </c>
      <c r="B148" s="38" t="str">
        <f>IFERROR(__xludf.DUMMYFUNCTION("""COMPUTED_VALUE"""),"FZ")</f>
        <v>FZ</v>
      </c>
      <c r="C148" s="38" t="str">
        <f>IFERROR(__xludf.DUMMYFUNCTION("""COMPUTED_VALUE"""),"XANH THAN")</f>
        <v>XANH THAN</v>
      </c>
      <c r="D148" s="38">
        <f>IFERROR(__xludf.DUMMYFUNCTION("""COMPUTED_VALUE"""),2.0)</f>
        <v>2</v>
      </c>
      <c r="G148" s="38">
        <v>0.0</v>
      </c>
    </row>
    <row r="149">
      <c r="A149" s="38" t="str">
        <f>IFERROR(__xludf.DUMMYFUNCTION("""COMPUTED_VALUE"""),"8770")</f>
        <v>8770</v>
      </c>
      <c r="B149" s="38" t="str">
        <f>IFERROR(__xludf.DUMMYFUNCTION("""COMPUTED_VALUE"""),"FZ")</f>
        <v>FZ</v>
      </c>
      <c r="C149" s="38" t="str">
        <f>IFERROR(__xludf.DUMMYFUNCTION("""COMPUTED_VALUE"""),"ĐEN")</f>
        <v>ĐEN</v>
      </c>
      <c r="D149" s="38">
        <f>IFERROR(__xludf.DUMMYFUNCTION("""COMPUTED_VALUE"""),1.0)</f>
        <v>1</v>
      </c>
      <c r="G149" s="38">
        <v>0.0</v>
      </c>
    </row>
    <row r="150">
      <c r="A150" s="38" t="str">
        <f>IFERROR(__xludf.DUMMYFUNCTION("""COMPUTED_VALUE"""),"8770")</f>
        <v>8770</v>
      </c>
      <c r="B150" s="38" t="str">
        <f>IFERROR(__xludf.DUMMYFUNCTION("""COMPUTED_VALUE"""),"FZ")</f>
        <v>FZ</v>
      </c>
      <c r="C150" s="38" t="str">
        <f>IFERROR(__xludf.DUMMYFUNCTION("""COMPUTED_VALUE"""),"ĐỎ")</f>
        <v>ĐỎ</v>
      </c>
      <c r="D150" s="38">
        <f>IFERROR(__xludf.DUMMYFUNCTION("""COMPUTED_VALUE"""),7.0)</f>
        <v>7</v>
      </c>
      <c r="G150" s="38">
        <v>0.0</v>
      </c>
    </row>
    <row r="151">
      <c r="A151" s="38" t="str">
        <f>IFERROR(__xludf.DUMMYFUNCTION("""COMPUTED_VALUE"""),"8825")</f>
        <v>8825</v>
      </c>
      <c r="B151" s="38" t="str">
        <f>IFERROR(__xludf.DUMMYFUNCTION("""COMPUTED_VALUE"""),"M")</f>
        <v>M</v>
      </c>
      <c r="C151" s="38" t="str">
        <f>IFERROR(__xludf.DUMMYFUNCTION("""COMPUTED_VALUE"""),"ĐEN")</f>
        <v>ĐEN</v>
      </c>
      <c r="D151" s="38">
        <f>IFERROR(__xludf.DUMMYFUNCTION("""COMPUTED_VALUE"""),3.0)</f>
        <v>3</v>
      </c>
      <c r="G151" s="38">
        <v>0.0</v>
      </c>
    </row>
    <row r="152">
      <c r="A152" s="38" t="str">
        <f>IFERROR(__xludf.DUMMYFUNCTION("""COMPUTED_VALUE"""),"8825")</f>
        <v>8825</v>
      </c>
      <c r="B152" s="38" t="str">
        <f>IFERROR(__xludf.DUMMYFUNCTION("""COMPUTED_VALUE"""),"S")</f>
        <v>S</v>
      </c>
      <c r="C152" s="38" t="str">
        <f>IFERROR(__xludf.DUMMYFUNCTION("""COMPUTED_VALUE"""),"TRẮNG")</f>
        <v>TRẮNG</v>
      </c>
      <c r="D152" s="38">
        <f>IFERROR(__xludf.DUMMYFUNCTION("""COMPUTED_VALUE"""),1.0)</f>
        <v>1</v>
      </c>
      <c r="G152" s="38">
        <v>0.0</v>
      </c>
    </row>
    <row r="153">
      <c r="A153" s="38" t="str">
        <f>IFERROR(__xludf.DUMMYFUNCTION("""COMPUTED_VALUE"""),"8825")</f>
        <v>8825</v>
      </c>
      <c r="B153" s="38" t="str">
        <f>IFERROR(__xludf.DUMMYFUNCTION("""COMPUTED_VALUE"""),"S")</f>
        <v>S</v>
      </c>
      <c r="C153" s="38" t="str">
        <f>IFERROR(__xludf.DUMMYFUNCTION("""COMPUTED_VALUE"""),"ĐEN")</f>
        <v>ĐEN</v>
      </c>
      <c r="D153" s="38">
        <f>IFERROR(__xludf.DUMMYFUNCTION("""COMPUTED_VALUE"""),4.0)</f>
        <v>4</v>
      </c>
      <c r="G153" s="38">
        <v>0.0</v>
      </c>
    </row>
    <row r="154">
      <c r="A154" s="38" t="str">
        <f>IFERROR(__xludf.DUMMYFUNCTION("""COMPUTED_VALUE"""),"8837")</f>
        <v>8837</v>
      </c>
      <c r="B154" s="38" t="str">
        <f>IFERROR(__xludf.DUMMYFUNCTION("""COMPUTED_VALUE"""),"S")</f>
        <v>S</v>
      </c>
      <c r="C154" s="38" t="str">
        <f>IFERROR(__xludf.DUMMYFUNCTION("""COMPUTED_VALUE"""),"TRẮNG")</f>
        <v>TRẮNG</v>
      </c>
      <c r="D154" s="38">
        <f>IFERROR(__xludf.DUMMYFUNCTION("""COMPUTED_VALUE"""),3.0)</f>
        <v>3</v>
      </c>
      <c r="G154" s="38">
        <v>0.0</v>
      </c>
    </row>
    <row r="155">
      <c r="A155" s="38" t="str">
        <f>IFERROR(__xludf.DUMMYFUNCTION("""COMPUTED_VALUE"""),"8837")</f>
        <v>8837</v>
      </c>
      <c r="B155" s="38" t="str">
        <f>IFERROR(__xludf.DUMMYFUNCTION("""COMPUTED_VALUE"""),"S")</f>
        <v>S</v>
      </c>
      <c r="C155" s="38" t="str">
        <f>IFERROR(__xludf.DUMMYFUNCTION("""COMPUTED_VALUE"""),"ĐEN")</f>
        <v>ĐEN</v>
      </c>
      <c r="D155" s="38">
        <f>IFERROR(__xludf.DUMMYFUNCTION("""COMPUTED_VALUE"""),3.0)</f>
        <v>3</v>
      </c>
      <c r="G155" s="38">
        <v>0.0</v>
      </c>
    </row>
    <row r="156">
      <c r="A156" s="38" t="str">
        <f>IFERROR(__xludf.DUMMYFUNCTION("""COMPUTED_VALUE"""),"8865")</f>
        <v>8865</v>
      </c>
      <c r="B156" s="38" t="str">
        <f>IFERROR(__xludf.DUMMYFUNCTION("""COMPUTED_VALUE"""),"L")</f>
        <v>L</v>
      </c>
      <c r="C156" s="38" t="str">
        <f>IFERROR(__xludf.DUMMYFUNCTION("""COMPUTED_VALUE"""),"XANH THAN")</f>
        <v>XANH THAN</v>
      </c>
      <c r="D156" s="38">
        <f>IFERROR(__xludf.DUMMYFUNCTION("""COMPUTED_VALUE"""),1.0)</f>
        <v>1</v>
      </c>
      <c r="G156" s="38">
        <v>1.0</v>
      </c>
    </row>
    <row r="157">
      <c r="A157" s="38" t="str">
        <f>IFERROR(__xludf.DUMMYFUNCTION("""COMPUTED_VALUE"""),"8865")</f>
        <v>8865</v>
      </c>
      <c r="B157" s="38" t="str">
        <f>IFERROR(__xludf.DUMMYFUNCTION("""COMPUTED_VALUE"""),"M")</f>
        <v>M</v>
      </c>
      <c r="C157" s="38" t="str">
        <f>IFERROR(__xludf.DUMMYFUNCTION("""COMPUTED_VALUE"""),"XANH THAN")</f>
        <v>XANH THAN</v>
      </c>
      <c r="D157" s="38">
        <f>IFERROR(__xludf.DUMMYFUNCTION("""COMPUTED_VALUE"""),9.0)</f>
        <v>9</v>
      </c>
      <c r="G157" s="38">
        <v>9.0</v>
      </c>
    </row>
    <row r="158">
      <c r="A158" s="38" t="str">
        <f>IFERROR(__xludf.DUMMYFUNCTION("""COMPUTED_VALUE"""),"8865")</f>
        <v>8865</v>
      </c>
      <c r="B158" s="38" t="str">
        <f>IFERROR(__xludf.DUMMYFUNCTION("""COMPUTED_VALUE"""),"S")</f>
        <v>S</v>
      </c>
      <c r="C158" s="38" t="str">
        <f>IFERROR(__xludf.DUMMYFUNCTION("""COMPUTED_VALUE"""),"XANH THAN")</f>
        <v>XANH THAN</v>
      </c>
      <c r="D158" s="38">
        <f>IFERROR(__xludf.DUMMYFUNCTION("""COMPUTED_VALUE"""),11.0)</f>
        <v>11</v>
      </c>
      <c r="G158" s="38">
        <v>11.0</v>
      </c>
    </row>
    <row r="159">
      <c r="A159" s="38" t="str">
        <f>IFERROR(__xludf.DUMMYFUNCTION("""COMPUTED_VALUE"""),"8867")</f>
        <v>8867</v>
      </c>
      <c r="B159" s="38" t="str">
        <f>IFERROR(__xludf.DUMMYFUNCTION("""COMPUTED_VALUE"""),"M")</f>
        <v>M</v>
      </c>
      <c r="C159" s="38" t="str">
        <f>IFERROR(__xludf.DUMMYFUNCTION("""COMPUTED_VALUE"""),"TRẮNG")</f>
        <v>TRẮNG</v>
      </c>
      <c r="D159" s="38">
        <f>IFERROR(__xludf.DUMMYFUNCTION("""COMPUTED_VALUE"""),3.0)</f>
        <v>3</v>
      </c>
      <c r="G159" s="38">
        <v>3.0</v>
      </c>
    </row>
    <row r="160">
      <c r="A160" s="38" t="str">
        <f>IFERROR(__xludf.DUMMYFUNCTION("""COMPUTED_VALUE"""),"8867")</f>
        <v>8867</v>
      </c>
      <c r="B160" s="38" t="str">
        <f>IFERROR(__xludf.DUMMYFUNCTION("""COMPUTED_VALUE"""),"M")</f>
        <v>M</v>
      </c>
      <c r="C160" s="38" t="str">
        <f>IFERROR(__xludf.DUMMYFUNCTION("""COMPUTED_VALUE"""),"XÁM")</f>
        <v>XÁM</v>
      </c>
      <c r="D160" s="38">
        <f>IFERROR(__xludf.DUMMYFUNCTION("""COMPUTED_VALUE"""),2.0)</f>
        <v>2</v>
      </c>
      <c r="G160" s="38">
        <v>2.0</v>
      </c>
    </row>
    <row r="161">
      <c r="A161" s="38" t="str">
        <f>IFERROR(__xludf.DUMMYFUNCTION("""COMPUTED_VALUE"""),"8867")</f>
        <v>8867</v>
      </c>
      <c r="B161" s="38" t="str">
        <f>IFERROR(__xludf.DUMMYFUNCTION("""COMPUTED_VALUE"""),"S")</f>
        <v>S</v>
      </c>
      <c r="C161" s="38" t="str">
        <f>IFERROR(__xludf.DUMMYFUNCTION("""COMPUTED_VALUE"""),"HỒNG")</f>
        <v>HỒNG</v>
      </c>
      <c r="D161" s="38">
        <f>IFERROR(__xludf.DUMMYFUNCTION("""COMPUTED_VALUE"""),3.0)</f>
        <v>3</v>
      </c>
      <c r="G161" s="38">
        <v>3.0</v>
      </c>
    </row>
    <row r="162">
      <c r="A162" s="38" t="str">
        <f>IFERROR(__xludf.DUMMYFUNCTION("""COMPUTED_VALUE"""),"8867")</f>
        <v>8867</v>
      </c>
      <c r="B162" s="38" t="str">
        <f>IFERROR(__xludf.DUMMYFUNCTION("""COMPUTED_VALUE"""),"S")</f>
        <v>S</v>
      </c>
      <c r="C162" s="38" t="str">
        <f>IFERROR(__xludf.DUMMYFUNCTION("""COMPUTED_VALUE"""),"TRẮNG")</f>
        <v>TRẮNG</v>
      </c>
      <c r="D162" s="38">
        <f>IFERROR(__xludf.DUMMYFUNCTION("""COMPUTED_VALUE"""),5.0)</f>
        <v>5</v>
      </c>
      <c r="G162" s="38">
        <v>5.0</v>
      </c>
    </row>
    <row r="163">
      <c r="A163" s="38" t="str">
        <f>IFERROR(__xludf.DUMMYFUNCTION("""COMPUTED_VALUE"""),"8867")</f>
        <v>8867</v>
      </c>
      <c r="B163" s="38" t="str">
        <f>IFERROR(__xludf.DUMMYFUNCTION("""COMPUTED_VALUE"""),"S")</f>
        <v>S</v>
      </c>
      <c r="C163" s="38" t="str">
        <f>IFERROR(__xludf.DUMMYFUNCTION("""COMPUTED_VALUE"""),"XANH THAN")</f>
        <v>XANH THAN</v>
      </c>
      <c r="D163" s="38">
        <f>IFERROR(__xludf.DUMMYFUNCTION("""COMPUTED_VALUE"""),2.0)</f>
        <v>2</v>
      </c>
      <c r="G163" s="38">
        <v>2.0</v>
      </c>
    </row>
    <row r="164">
      <c r="A164" s="38" t="str">
        <f>IFERROR(__xludf.DUMMYFUNCTION("""COMPUTED_VALUE"""),"8867")</f>
        <v>8867</v>
      </c>
      <c r="B164" s="38" t="str">
        <f>IFERROR(__xludf.DUMMYFUNCTION("""COMPUTED_VALUE"""),"S")</f>
        <v>S</v>
      </c>
      <c r="C164" s="38" t="str">
        <f>IFERROR(__xludf.DUMMYFUNCTION("""COMPUTED_VALUE"""),"XÁM")</f>
        <v>XÁM</v>
      </c>
      <c r="D164" s="38">
        <f>IFERROR(__xludf.DUMMYFUNCTION("""COMPUTED_VALUE"""),1.0)</f>
        <v>1</v>
      </c>
      <c r="G164" s="38">
        <v>1.0</v>
      </c>
    </row>
    <row r="165">
      <c r="A165" s="38" t="str">
        <f>IFERROR(__xludf.DUMMYFUNCTION("""COMPUTED_VALUE"""),"8867")</f>
        <v>8867</v>
      </c>
      <c r="B165" s="38" t="str">
        <f>IFERROR(__xludf.DUMMYFUNCTION("""COMPUTED_VALUE"""),"S")</f>
        <v>S</v>
      </c>
      <c r="C165" s="38" t="str">
        <f>IFERROR(__xludf.DUMMYFUNCTION("""COMPUTED_VALUE"""),"ĐEN")</f>
        <v>ĐEN</v>
      </c>
      <c r="D165" s="38">
        <f>IFERROR(__xludf.DUMMYFUNCTION("""COMPUTED_VALUE"""),1.0)</f>
        <v>1</v>
      </c>
      <c r="G165" s="38">
        <v>1.0</v>
      </c>
    </row>
    <row r="166">
      <c r="A166" s="38" t="str">
        <f>IFERROR(__xludf.DUMMYFUNCTION("""COMPUTED_VALUE"""),"8876")</f>
        <v>8876</v>
      </c>
      <c r="B166" s="38" t="str">
        <f>IFERROR(__xludf.DUMMYFUNCTION("""COMPUTED_VALUE"""),"M")</f>
        <v>M</v>
      </c>
      <c r="C166" s="38" t="str">
        <f>IFERROR(__xludf.DUMMYFUNCTION("""COMPUTED_VALUE"""),"HỒNG")</f>
        <v>HỒNG</v>
      </c>
      <c r="D166" s="38">
        <f>IFERROR(__xludf.DUMMYFUNCTION("""COMPUTED_VALUE"""),3.0)</f>
        <v>3</v>
      </c>
      <c r="G166" s="38">
        <v>1.0</v>
      </c>
    </row>
    <row r="167">
      <c r="A167" s="38" t="str">
        <f>IFERROR(__xludf.DUMMYFUNCTION("""COMPUTED_VALUE"""),"8876")</f>
        <v>8876</v>
      </c>
      <c r="B167" s="38" t="str">
        <f>IFERROR(__xludf.DUMMYFUNCTION("""COMPUTED_VALUE"""),"M")</f>
        <v>M</v>
      </c>
      <c r="C167" s="38" t="str">
        <f>IFERROR(__xludf.DUMMYFUNCTION("""COMPUTED_VALUE"""),"NÂU")</f>
        <v>NÂU</v>
      </c>
      <c r="D167" s="38">
        <f>IFERROR(__xludf.DUMMYFUNCTION("""COMPUTED_VALUE"""),5.0)</f>
        <v>5</v>
      </c>
      <c r="G167" s="38">
        <v>5.0</v>
      </c>
    </row>
    <row r="168">
      <c r="A168" s="38" t="str">
        <f>IFERROR(__xludf.DUMMYFUNCTION("""COMPUTED_VALUE"""),"8876")</f>
        <v>8876</v>
      </c>
      <c r="B168" s="38" t="str">
        <f>IFERROR(__xludf.DUMMYFUNCTION("""COMPUTED_VALUE"""),"M")</f>
        <v>M</v>
      </c>
      <c r="C168" s="38" t="str">
        <f>IFERROR(__xludf.DUMMYFUNCTION("""COMPUTED_VALUE"""),"TRẮNG")</f>
        <v>TRẮNG</v>
      </c>
      <c r="D168" s="38">
        <f>IFERROR(__xludf.DUMMYFUNCTION("""COMPUTED_VALUE"""),12.0)</f>
        <v>12</v>
      </c>
      <c r="G168" s="38">
        <v>8.0</v>
      </c>
    </row>
    <row r="169">
      <c r="A169" s="38" t="str">
        <f>IFERROR(__xludf.DUMMYFUNCTION("""COMPUTED_VALUE"""),"8876")</f>
        <v>8876</v>
      </c>
      <c r="B169" s="38" t="str">
        <f>IFERROR(__xludf.DUMMYFUNCTION("""COMPUTED_VALUE"""),"M")</f>
        <v>M</v>
      </c>
      <c r="C169" s="38" t="str">
        <f>IFERROR(__xludf.DUMMYFUNCTION("""COMPUTED_VALUE"""),"TÍM")</f>
        <v>TÍM</v>
      </c>
      <c r="D169" s="38">
        <f>IFERROR(__xludf.DUMMYFUNCTION("""COMPUTED_VALUE"""),2.0)</f>
        <v>2</v>
      </c>
      <c r="G169" s="38">
        <v>2.0</v>
      </c>
    </row>
    <row r="170">
      <c r="A170" s="38" t="str">
        <f>IFERROR(__xludf.DUMMYFUNCTION("""COMPUTED_VALUE"""),"8876")</f>
        <v>8876</v>
      </c>
      <c r="B170" s="38" t="str">
        <f>IFERROR(__xludf.DUMMYFUNCTION("""COMPUTED_VALUE"""),"M")</f>
        <v>M</v>
      </c>
      <c r="C170" s="38" t="str">
        <f>IFERROR(__xludf.DUMMYFUNCTION("""COMPUTED_VALUE"""),"XÁM")</f>
        <v>XÁM</v>
      </c>
      <c r="D170" s="38">
        <f>IFERROR(__xludf.DUMMYFUNCTION("""COMPUTED_VALUE"""),1.0)</f>
        <v>1</v>
      </c>
      <c r="G170" s="38">
        <v>0.0</v>
      </c>
    </row>
    <row r="171">
      <c r="A171" s="38" t="str">
        <f>IFERROR(__xludf.DUMMYFUNCTION("""COMPUTED_VALUE"""),"8876")</f>
        <v>8876</v>
      </c>
      <c r="B171" s="38" t="str">
        <f>IFERROR(__xludf.DUMMYFUNCTION("""COMPUTED_VALUE"""),"M")</f>
        <v>M</v>
      </c>
      <c r="C171" s="38" t="str">
        <f>IFERROR(__xludf.DUMMYFUNCTION("""COMPUTED_VALUE"""),"ĐEN")</f>
        <v>ĐEN</v>
      </c>
      <c r="D171" s="38">
        <f>IFERROR(__xludf.DUMMYFUNCTION("""COMPUTED_VALUE"""),24.0)</f>
        <v>24</v>
      </c>
      <c r="G171" s="38">
        <v>16.0</v>
      </c>
    </row>
    <row r="172">
      <c r="A172" s="38" t="str">
        <f>IFERROR(__xludf.DUMMYFUNCTION("""COMPUTED_VALUE"""),"8876")</f>
        <v>8876</v>
      </c>
      <c r="B172" s="38" t="str">
        <f>IFERROR(__xludf.DUMMYFUNCTION("""COMPUTED_VALUE"""),"M")</f>
        <v>M</v>
      </c>
      <c r="C172" s="38" t="str">
        <f>IFERROR(__xludf.DUMMYFUNCTION("""COMPUTED_VALUE"""),"ĐỎ")</f>
        <v>ĐỎ</v>
      </c>
      <c r="D172" s="38">
        <f>IFERROR(__xludf.DUMMYFUNCTION("""COMPUTED_VALUE"""),1.0)</f>
        <v>1</v>
      </c>
      <c r="G172" s="38">
        <v>1.0</v>
      </c>
    </row>
    <row r="173">
      <c r="A173" s="38" t="str">
        <f>IFERROR(__xludf.DUMMYFUNCTION("""COMPUTED_VALUE"""),"8876")</f>
        <v>8876</v>
      </c>
      <c r="B173" s="38" t="str">
        <f>IFERROR(__xludf.DUMMYFUNCTION("""COMPUTED_VALUE"""),"S")</f>
        <v>S</v>
      </c>
      <c r="C173" s="38" t="str">
        <f>IFERROR(__xludf.DUMMYFUNCTION("""COMPUTED_VALUE"""),"HỒNG")</f>
        <v>HỒNG</v>
      </c>
      <c r="D173" s="38">
        <f>IFERROR(__xludf.DUMMYFUNCTION("""COMPUTED_VALUE"""),3.0)</f>
        <v>3</v>
      </c>
      <c r="G173" s="38">
        <v>3.0</v>
      </c>
    </row>
    <row r="174">
      <c r="A174" s="38" t="str">
        <f>IFERROR(__xludf.DUMMYFUNCTION("""COMPUTED_VALUE"""),"8876")</f>
        <v>8876</v>
      </c>
      <c r="B174" s="38" t="str">
        <f>IFERROR(__xludf.DUMMYFUNCTION("""COMPUTED_VALUE"""),"S")</f>
        <v>S</v>
      </c>
      <c r="C174" s="38" t="str">
        <f>IFERROR(__xludf.DUMMYFUNCTION("""COMPUTED_VALUE"""),"NÂU")</f>
        <v>NÂU</v>
      </c>
      <c r="D174" s="38">
        <f>IFERROR(__xludf.DUMMYFUNCTION("""COMPUTED_VALUE"""),5.0)</f>
        <v>5</v>
      </c>
      <c r="G174" s="38">
        <v>5.0</v>
      </c>
    </row>
    <row r="175">
      <c r="A175" s="38" t="str">
        <f>IFERROR(__xludf.DUMMYFUNCTION("""COMPUTED_VALUE"""),"8876")</f>
        <v>8876</v>
      </c>
      <c r="B175" s="38" t="str">
        <f>IFERROR(__xludf.DUMMYFUNCTION("""COMPUTED_VALUE"""),"S")</f>
        <v>S</v>
      </c>
      <c r="C175" s="38" t="str">
        <f>IFERROR(__xludf.DUMMYFUNCTION("""COMPUTED_VALUE"""),"TRẮNG")</f>
        <v>TRẮNG</v>
      </c>
      <c r="D175" s="38">
        <f>IFERROR(__xludf.DUMMYFUNCTION("""COMPUTED_VALUE"""),16.0)</f>
        <v>16</v>
      </c>
      <c r="G175" s="38">
        <v>13.0</v>
      </c>
    </row>
    <row r="176">
      <c r="A176" s="38" t="str">
        <f>IFERROR(__xludf.DUMMYFUNCTION("""COMPUTED_VALUE"""),"8876")</f>
        <v>8876</v>
      </c>
      <c r="B176" s="38" t="str">
        <f>IFERROR(__xludf.DUMMYFUNCTION("""COMPUTED_VALUE"""),"S")</f>
        <v>S</v>
      </c>
      <c r="C176" s="38" t="str">
        <f>IFERROR(__xludf.DUMMYFUNCTION("""COMPUTED_VALUE"""),"ĐEN")</f>
        <v>ĐEN</v>
      </c>
      <c r="D176" s="38">
        <f>IFERROR(__xludf.DUMMYFUNCTION("""COMPUTED_VALUE"""),24.0)</f>
        <v>24</v>
      </c>
      <c r="G176" s="38">
        <v>16.0</v>
      </c>
    </row>
    <row r="177">
      <c r="A177" s="38" t="str">
        <f>IFERROR(__xludf.DUMMYFUNCTION("""COMPUTED_VALUE"""),"8886")</f>
        <v>8886</v>
      </c>
      <c r="B177" s="38" t="str">
        <f>IFERROR(__xludf.DUMMYFUNCTION("""COMPUTED_VALUE"""),"M")</f>
        <v>M</v>
      </c>
      <c r="C177" s="38" t="str">
        <f>IFERROR(__xludf.DUMMYFUNCTION("""COMPUTED_VALUE"""),"NÂU")</f>
        <v>NÂU</v>
      </c>
      <c r="D177" s="38">
        <f>IFERROR(__xludf.DUMMYFUNCTION("""COMPUTED_VALUE"""),2.0)</f>
        <v>2</v>
      </c>
      <c r="G177" s="38">
        <v>2.0</v>
      </c>
    </row>
    <row r="178">
      <c r="A178" s="38" t="str">
        <f>IFERROR(__xludf.DUMMYFUNCTION("""COMPUTED_VALUE"""),"8886")</f>
        <v>8886</v>
      </c>
      <c r="B178" s="38" t="str">
        <f>IFERROR(__xludf.DUMMYFUNCTION("""COMPUTED_VALUE"""),"M")</f>
        <v>M</v>
      </c>
      <c r="C178" s="38" t="str">
        <f>IFERROR(__xludf.DUMMYFUNCTION("""COMPUTED_VALUE"""),"TRẮNG")</f>
        <v>TRẮNG</v>
      </c>
      <c r="D178" s="38">
        <f>IFERROR(__xludf.DUMMYFUNCTION("""COMPUTED_VALUE"""),6.0)</f>
        <v>6</v>
      </c>
      <c r="G178" s="38">
        <v>6.0</v>
      </c>
    </row>
    <row r="179">
      <c r="A179" s="38" t="str">
        <f>IFERROR(__xludf.DUMMYFUNCTION("""COMPUTED_VALUE"""),"8886")</f>
        <v>8886</v>
      </c>
      <c r="B179" s="38" t="str">
        <f>IFERROR(__xludf.DUMMYFUNCTION("""COMPUTED_VALUE"""),"M")</f>
        <v>M</v>
      </c>
      <c r="C179" s="38" t="str">
        <f>IFERROR(__xludf.DUMMYFUNCTION("""COMPUTED_VALUE"""),"XÁM")</f>
        <v>XÁM</v>
      </c>
      <c r="D179" s="38">
        <f>IFERROR(__xludf.DUMMYFUNCTION("""COMPUTED_VALUE"""),1.0)</f>
        <v>1</v>
      </c>
      <c r="G179" s="38">
        <v>1.0</v>
      </c>
    </row>
    <row r="180">
      <c r="A180" s="38" t="str">
        <f>IFERROR(__xludf.DUMMYFUNCTION("""COMPUTED_VALUE"""),"8886")</f>
        <v>8886</v>
      </c>
      <c r="B180" s="38" t="str">
        <f>IFERROR(__xludf.DUMMYFUNCTION("""COMPUTED_VALUE"""),"M")</f>
        <v>M</v>
      </c>
      <c r="C180" s="38" t="str">
        <f>IFERROR(__xludf.DUMMYFUNCTION("""COMPUTED_VALUE"""),"ĐEN")</f>
        <v>ĐEN</v>
      </c>
      <c r="D180" s="38">
        <f>IFERROR(__xludf.DUMMYFUNCTION("""COMPUTED_VALUE"""),4.0)</f>
        <v>4</v>
      </c>
      <c r="G180" s="38">
        <v>4.0</v>
      </c>
    </row>
    <row r="181">
      <c r="A181" s="38" t="str">
        <f>IFERROR(__xludf.DUMMYFUNCTION("""COMPUTED_VALUE"""),"8886")</f>
        <v>8886</v>
      </c>
      <c r="B181" s="38" t="str">
        <f>IFERROR(__xludf.DUMMYFUNCTION("""COMPUTED_VALUE"""),"M")</f>
        <v>M</v>
      </c>
      <c r="C181" s="38" t="str">
        <f>IFERROR(__xludf.DUMMYFUNCTION("""COMPUTED_VALUE"""),"ĐỎ")</f>
        <v>ĐỎ</v>
      </c>
      <c r="D181" s="38">
        <f>IFERROR(__xludf.DUMMYFUNCTION("""COMPUTED_VALUE"""),1.0)</f>
        <v>1</v>
      </c>
      <c r="G181" s="38">
        <v>1.0</v>
      </c>
    </row>
    <row r="182">
      <c r="A182" s="38" t="str">
        <f>IFERROR(__xludf.DUMMYFUNCTION("""COMPUTED_VALUE"""),"8886")</f>
        <v>8886</v>
      </c>
      <c r="B182" s="38" t="str">
        <f>IFERROR(__xludf.DUMMYFUNCTION("""COMPUTED_VALUE"""),"S")</f>
        <v>S</v>
      </c>
      <c r="C182" s="38" t="str">
        <f>IFERROR(__xludf.DUMMYFUNCTION("""COMPUTED_VALUE"""),"HỒNG")</f>
        <v>HỒNG</v>
      </c>
      <c r="D182" s="38">
        <f>IFERROR(__xludf.DUMMYFUNCTION("""COMPUTED_VALUE"""),3.0)</f>
        <v>3</v>
      </c>
      <c r="G182" s="38">
        <v>3.0</v>
      </c>
    </row>
    <row r="183">
      <c r="A183" s="38" t="str">
        <f>IFERROR(__xludf.DUMMYFUNCTION("""COMPUTED_VALUE"""),"8886")</f>
        <v>8886</v>
      </c>
      <c r="B183" s="38" t="str">
        <f>IFERROR(__xludf.DUMMYFUNCTION("""COMPUTED_VALUE"""),"S")</f>
        <v>S</v>
      </c>
      <c r="C183" s="38" t="str">
        <f>IFERROR(__xludf.DUMMYFUNCTION("""COMPUTED_VALUE"""),"NÂU")</f>
        <v>NÂU</v>
      </c>
      <c r="D183" s="38">
        <f>IFERROR(__xludf.DUMMYFUNCTION("""COMPUTED_VALUE"""),2.0)</f>
        <v>2</v>
      </c>
      <c r="G183" s="38">
        <v>2.0</v>
      </c>
    </row>
    <row r="184">
      <c r="A184" s="38" t="str">
        <f>IFERROR(__xludf.DUMMYFUNCTION("""COMPUTED_VALUE"""),"8886")</f>
        <v>8886</v>
      </c>
      <c r="B184" s="38" t="str">
        <f>IFERROR(__xludf.DUMMYFUNCTION("""COMPUTED_VALUE"""),"S")</f>
        <v>S</v>
      </c>
      <c r="C184" s="38" t="str">
        <f>IFERROR(__xludf.DUMMYFUNCTION("""COMPUTED_VALUE"""),"TRẮNG")</f>
        <v>TRẮNG</v>
      </c>
      <c r="D184" s="38">
        <f>IFERROR(__xludf.DUMMYFUNCTION("""COMPUTED_VALUE"""),10.0)</f>
        <v>10</v>
      </c>
      <c r="G184" s="38">
        <v>10.0</v>
      </c>
    </row>
    <row r="185">
      <c r="A185" s="38" t="str">
        <f>IFERROR(__xludf.DUMMYFUNCTION("""COMPUTED_VALUE"""),"8886")</f>
        <v>8886</v>
      </c>
      <c r="B185" s="38" t="str">
        <f>IFERROR(__xludf.DUMMYFUNCTION("""COMPUTED_VALUE"""),"S")</f>
        <v>S</v>
      </c>
      <c r="C185" s="38" t="str">
        <f>IFERROR(__xludf.DUMMYFUNCTION("""COMPUTED_VALUE"""),"XÁM")</f>
        <v>XÁM</v>
      </c>
      <c r="D185" s="38">
        <f>IFERROR(__xludf.DUMMYFUNCTION("""COMPUTED_VALUE"""),4.0)</f>
        <v>4</v>
      </c>
      <c r="G185" s="38">
        <v>4.0</v>
      </c>
    </row>
    <row r="186">
      <c r="A186" s="38" t="str">
        <f>IFERROR(__xludf.DUMMYFUNCTION("""COMPUTED_VALUE"""),"8886")</f>
        <v>8886</v>
      </c>
      <c r="B186" s="38" t="str">
        <f>IFERROR(__xludf.DUMMYFUNCTION("""COMPUTED_VALUE"""),"S")</f>
        <v>S</v>
      </c>
      <c r="C186" s="38" t="str">
        <f>IFERROR(__xludf.DUMMYFUNCTION("""COMPUTED_VALUE"""),"XÁM ĐẬM")</f>
        <v>XÁM ĐẬM</v>
      </c>
      <c r="D186" s="38">
        <f>IFERROR(__xludf.DUMMYFUNCTION("""COMPUTED_VALUE"""),1.0)</f>
        <v>1</v>
      </c>
      <c r="G186" s="38">
        <v>1.0</v>
      </c>
    </row>
    <row r="187">
      <c r="A187" s="38" t="str">
        <f>IFERROR(__xludf.DUMMYFUNCTION("""COMPUTED_VALUE"""),"8886")</f>
        <v>8886</v>
      </c>
      <c r="B187" s="38" t="str">
        <f>IFERROR(__xludf.DUMMYFUNCTION("""COMPUTED_VALUE"""),"S")</f>
        <v>S</v>
      </c>
      <c r="C187" s="38" t="str">
        <f>IFERROR(__xludf.DUMMYFUNCTION("""COMPUTED_VALUE"""),"ĐEN")</f>
        <v>ĐEN</v>
      </c>
      <c r="D187" s="38">
        <f>IFERROR(__xludf.DUMMYFUNCTION("""COMPUTED_VALUE"""),6.0)</f>
        <v>6</v>
      </c>
      <c r="G187" s="38">
        <v>6.0</v>
      </c>
    </row>
    <row r="188">
      <c r="A188" s="38" t="str">
        <f>IFERROR(__xludf.DUMMYFUNCTION("""COMPUTED_VALUE"""),"8886")</f>
        <v>8886</v>
      </c>
      <c r="B188" s="38" t="str">
        <f>IFERROR(__xludf.DUMMYFUNCTION("""COMPUTED_VALUE"""),"S")</f>
        <v>S</v>
      </c>
      <c r="C188" s="38" t="str">
        <f>IFERROR(__xludf.DUMMYFUNCTION("""COMPUTED_VALUE"""),"ĐỎ")</f>
        <v>ĐỎ</v>
      </c>
      <c r="D188" s="38">
        <f>IFERROR(__xludf.DUMMYFUNCTION("""COMPUTED_VALUE"""),1.0)</f>
        <v>1</v>
      </c>
      <c r="G188" s="38">
        <v>1.0</v>
      </c>
    </row>
    <row r="189">
      <c r="A189" s="38" t="str">
        <f>IFERROR(__xludf.DUMMYFUNCTION("""COMPUTED_VALUE"""),"8888")</f>
        <v>8888</v>
      </c>
      <c r="B189" s="38" t="str">
        <f>IFERROR(__xludf.DUMMYFUNCTION("""COMPUTED_VALUE"""),"M")</f>
        <v>M</v>
      </c>
      <c r="C189" s="38" t="str">
        <f>IFERROR(__xludf.DUMMYFUNCTION("""COMPUTED_VALUE"""),"TRẮNG")</f>
        <v>TRẮNG</v>
      </c>
      <c r="D189" s="38">
        <f>IFERROR(__xludf.DUMMYFUNCTION("""COMPUTED_VALUE"""),1.0)</f>
        <v>1</v>
      </c>
      <c r="G189" s="38">
        <v>0.0</v>
      </c>
    </row>
    <row r="190">
      <c r="A190" s="38" t="str">
        <f>IFERROR(__xludf.DUMMYFUNCTION("""COMPUTED_VALUE"""),"8888")</f>
        <v>8888</v>
      </c>
      <c r="B190" s="38" t="str">
        <f>IFERROR(__xludf.DUMMYFUNCTION("""COMPUTED_VALUE"""),"M")</f>
        <v>M</v>
      </c>
      <c r="C190" s="38" t="str">
        <f>IFERROR(__xludf.DUMMYFUNCTION("""COMPUTED_VALUE"""),"ĐEN")</f>
        <v>ĐEN</v>
      </c>
      <c r="D190" s="38">
        <f>IFERROR(__xludf.DUMMYFUNCTION("""COMPUTED_VALUE"""),1.0)</f>
        <v>1</v>
      </c>
      <c r="G190" s="38">
        <v>0.0</v>
      </c>
    </row>
    <row r="191">
      <c r="A191" s="38" t="str">
        <f>IFERROR(__xludf.DUMMYFUNCTION("""COMPUTED_VALUE"""),"8888")</f>
        <v>8888</v>
      </c>
      <c r="B191" s="38" t="str">
        <f>IFERROR(__xludf.DUMMYFUNCTION("""COMPUTED_VALUE"""),"S")</f>
        <v>S</v>
      </c>
      <c r="C191" s="38" t="str">
        <f>IFERROR(__xludf.DUMMYFUNCTION("""COMPUTED_VALUE"""),"TRẮNG")</f>
        <v>TRẮNG</v>
      </c>
      <c r="D191" s="38">
        <f>IFERROR(__xludf.DUMMYFUNCTION("""COMPUTED_VALUE"""),5.0)</f>
        <v>5</v>
      </c>
      <c r="G191" s="38">
        <v>0.0</v>
      </c>
    </row>
    <row r="192">
      <c r="A192" s="38" t="str">
        <f>IFERROR(__xludf.DUMMYFUNCTION("""COMPUTED_VALUE"""),"8897")</f>
        <v>8897</v>
      </c>
      <c r="B192" s="38" t="str">
        <f>IFERROR(__xludf.DUMMYFUNCTION("""COMPUTED_VALUE"""),"M")</f>
        <v>M</v>
      </c>
      <c r="C192" s="38" t="str">
        <f>IFERROR(__xludf.DUMMYFUNCTION("""COMPUTED_VALUE"""),"TRẮNG")</f>
        <v>TRẮNG</v>
      </c>
      <c r="D192" s="38">
        <f>IFERROR(__xludf.DUMMYFUNCTION("""COMPUTED_VALUE"""),3.0)</f>
        <v>3</v>
      </c>
      <c r="G192" s="38">
        <v>0.0</v>
      </c>
    </row>
    <row r="193">
      <c r="A193" s="38" t="str">
        <f>IFERROR(__xludf.DUMMYFUNCTION("""COMPUTED_VALUE"""),"8897")</f>
        <v>8897</v>
      </c>
      <c r="B193" s="38" t="str">
        <f>IFERROR(__xludf.DUMMYFUNCTION("""COMPUTED_VALUE"""),"S")</f>
        <v>S</v>
      </c>
      <c r="C193" s="38" t="str">
        <f>IFERROR(__xludf.DUMMYFUNCTION("""COMPUTED_VALUE"""),"TRẮNG")</f>
        <v>TRẮNG</v>
      </c>
      <c r="D193" s="38">
        <f>IFERROR(__xludf.DUMMYFUNCTION("""COMPUTED_VALUE"""),2.0)</f>
        <v>2</v>
      </c>
      <c r="G193" s="38">
        <v>0.0</v>
      </c>
    </row>
    <row r="194">
      <c r="A194" s="38" t="str">
        <f>IFERROR(__xludf.DUMMYFUNCTION("""COMPUTED_VALUE"""),"8970")</f>
        <v>8970</v>
      </c>
      <c r="B194" s="38" t="str">
        <f>IFERROR(__xludf.DUMMYFUNCTION("""COMPUTED_VALUE"""),"M")</f>
        <v>M</v>
      </c>
      <c r="C194" s="38" t="str">
        <f>IFERROR(__xludf.DUMMYFUNCTION("""COMPUTED_VALUE"""),"XANH THAN")</f>
        <v>XANH THAN</v>
      </c>
      <c r="D194" s="38">
        <f>IFERROR(__xludf.DUMMYFUNCTION("""COMPUTED_VALUE"""),2.0)</f>
        <v>2</v>
      </c>
      <c r="G194" s="38">
        <v>0.0</v>
      </c>
    </row>
    <row r="195">
      <c r="A195" s="38" t="str">
        <f>IFERROR(__xludf.DUMMYFUNCTION("""COMPUTED_VALUE"""),"8970")</f>
        <v>8970</v>
      </c>
      <c r="B195" s="38" t="str">
        <f>IFERROR(__xludf.DUMMYFUNCTION("""COMPUTED_VALUE"""),"S")</f>
        <v>S</v>
      </c>
      <c r="C195" s="38" t="str">
        <f>IFERROR(__xludf.DUMMYFUNCTION("""COMPUTED_VALUE"""),"XANH THAN")</f>
        <v>XANH THAN</v>
      </c>
      <c r="D195" s="38">
        <f>IFERROR(__xludf.DUMMYFUNCTION("""COMPUTED_VALUE"""),1.0)</f>
        <v>1</v>
      </c>
      <c r="G195" s="38">
        <v>0.0</v>
      </c>
    </row>
    <row r="196">
      <c r="A196" s="38" t="str">
        <f>IFERROR(__xludf.DUMMYFUNCTION("""COMPUTED_VALUE"""),"9031")</f>
        <v>9031</v>
      </c>
      <c r="B196" s="38" t="str">
        <f>IFERROR(__xludf.DUMMYFUNCTION("""COMPUTED_VALUE"""),"M")</f>
        <v>M</v>
      </c>
      <c r="C196" s="38" t="str">
        <f>IFERROR(__xludf.DUMMYFUNCTION("""COMPUTED_VALUE"""),"TRẮNG")</f>
        <v>TRẮNG</v>
      </c>
      <c r="D196" s="38">
        <f>IFERROR(__xludf.DUMMYFUNCTION("""COMPUTED_VALUE"""),6.0)</f>
        <v>6</v>
      </c>
      <c r="G196" s="38">
        <v>0.0</v>
      </c>
    </row>
    <row r="197">
      <c r="A197" s="38" t="str">
        <f>IFERROR(__xludf.DUMMYFUNCTION("""COMPUTED_VALUE"""),"9031")</f>
        <v>9031</v>
      </c>
      <c r="B197" s="38" t="str">
        <f>IFERROR(__xludf.DUMMYFUNCTION("""COMPUTED_VALUE"""),"S")</f>
        <v>S</v>
      </c>
      <c r="C197" s="38" t="str">
        <f>IFERROR(__xludf.DUMMYFUNCTION("""COMPUTED_VALUE"""),"TRẮNG")</f>
        <v>TRẮNG</v>
      </c>
      <c r="D197" s="38">
        <f>IFERROR(__xludf.DUMMYFUNCTION("""COMPUTED_VALUE"""),5.0)</f>
        <v>5</v>
      </c>
      <c r="G197" s="38">
        <v>0.0</v>
      </c>
    </row>
    <row r="198">
      <c r="A198" s="38" t="str">
        <f>IFERROR(__xludf.DUMMYFUNCTION("""COMPUTED_VALUE"""),"9064")</f>
        <v>9064</v>
      </c>
      <c r="B198" s="38" t="str">
        <f>IFERROR(__xludf.DUMMYFUNCTION("""COMPUTED_VALUE"""),"M")</f>
        <v>M</v>
      </c>
      <c r="C198" s="38" t="str">
        <f>IFERROR(__xludf.DUMMYFUNCTION("""COMPUTED_VALUE"""),"BE")</f>
        <v>BE</v>
      </c>
      <c r="D198" s="38">
        <f>IFERROR(__xludf.DUMMYFUNCTION("""COMPUTED_VALUE"""),1.0)</f>
        <v>1</v>
      </c>
      <c r="G198" s="38">
        <v>0.0</v>
      </c>
    </row>
    <row r="199">
      <c r="A199" s="38" t="str">
        <f>IFERROR(__xludf.DUMMYFUNCTION("""COMPUTED_VALUE"""),"9064")</f>
        <v>9064</v>
      </c>
      <c r="B199" s="38" t="str">
        <f>IFERROR(__xludf.DUMMYFUNCTION("""COMPUTED_VALUE"""),"M")</f>
        <v>M</v>
      </c>
      <c r="C199" s="38" t="str">
        <f>IFERROR(__xludf.DUMMYFUNCTION("""COMPUTED_VALUE"""),"ĐEN")</f>
        <v>ĐEN</v>
      </c>
      <c r="D199" s="38">
        <f>IFERROR(__xludf.DUMMYFUNCTION("""COMPUTED_VALUE"""),2.0)</f>
        <v>2</v>
      </c>
      <c r="G199" s="38">
        <v>0.0</v>
      </c>
    </row>
    <row r="200">
      <c r="A200" s="38" t="str">
        <f>IFERROR(__xludf.DUMMYFUNCTION("""COMPUTED_VALUE"""),"9064")</f>
        <v>9064</v>
      </c>
      <c r="B200" s="38" t="str">
        <f>IFERROR(__xludf.DUMMYFUNCTION("""COMPUTED_VALUE"""),"S")</f>
        <v>S</v>
      </c>
      <c r="C200" s="38" t="str">
        <f>IFERROR(__xludf.DUMMYFUNCTION("""COMPUTED_VALUE"""),"ĐEN")</f>
        <v>ĐEN</v>
      </c>
      <c r="D200" s="38">
        <f>IFERROR(__xludf.DUMMYFUNCTION("""COMPUTED_VALUE"""),4.0)</f>
        <v>4</v>
      </c>
      <c r="G200" s="38">
        <v>0.0</v>
      </c>
    </row>
    <row r="201">
      <c r="A201" s="38" t="str">
        <f>IFERROR(__xludf.DUMMYFUNCTION("""COMPUTED_VALUE"""),"9083")</f>
        <v>9083</v>
      </c>
      <c r="B201" s="38" t="str">
        <f>IFERROR(__xludf.DUMMYFUNCTION("""COMPUTED_VALUE"""),"S")</f>
        <v>S</v>
      </c>
      <c r="C201" s="38" t="str">
        <f>IFERROR(__xludf.DUMMYFUNCTION("""COMPUTED_VALUE"""),"XANH NHẠT")</f>
        <v>XANH NHẠT</v>
      </c>
      <c r="D201" s="38">
        <f>IFERROR(__xludf.DUMMYFUNCTION("""COMPUTED_VALUE"""),5.0)</f>
        <v>5</v>
      </c>
      <c r="G201" s="38">
        <v>0.0</v>
      </c>
    </row>
    <row r="202">
      <c r="A202" s="38" t="str">
        <f>IFERROR(__xludf.DUMMYFUNCTION("""COMPUTED_VALUE"""),"9091")</f>
        <v>9091</v>
      </c>
      <c r="B202" s="38" t="str">
        <f>IFERROR(__xludf.DUMMYFUNCTION("""COMPUTED_VALUE"""),"L")</f>
        <v>L</v>
      </c>
      <c r="C202" s="38" t="str">
        <f>IFERROR(__xludf.DUMMYFUNCTION("""COMPUTED_VALUE"""),"TRẮNG")</f>
        <v>TRẮNG</v>
      </c>
      <c r="D202" s="38">
        <f>IFERROR(__xludf.DUMMYFUNCTION("""COMPUTED_VALUE"""),2.0)</f>
        <v>2</v>
      </c>
      <c r="G202" s="38">
        <v>0.0</v>
      </c>
    </row>
    <row r="203">
      <c r="A203" s="38" t="str">
        <f>IFERROR(__xludf.DUMMYFUNCTION("""COMPUTED_VALUE"""),"9091")</f>
        <v>9091</v>
      </c>
      <c r="B203" s="38" t="str">
        <f>IFERROR(__xludf.DUMMYFUNCTION("""COMPUTED_VALUE"""),"L")</f>
        <v>L</v>
      </c>
      <c r="C203" s="38" t="str">
        <f>IFERROR(__xludf.DUMMYFUNCTION("""COMPUTED_VALUE"""),"XANH THAN")</f>
        <v>XANH THAN</v>
      </c>
      <c r="D203" s="38">
        <f>IFERROR(__xludf.DUMMYFUNCTION("""COMPUTED_VALUE"""),7.0)</f>
        <v>7</v>
      </c>
      <c r="G203" s="38">
        <v>0.0</v>
      </c>
    </row>
    <row r="204">
      <c r="A204" s="38" t="str">
        <f>IFERROR(__xludf.DUMMYFUNCTION("""COMPUTED_VALUE"""),"9091")</f>
        <v>9091</v>
      </c>
      <c r="B204" s="38" t="str">
        <f>IFERROR(__xludf.DUMMYFUNCTION("""COMPUTED_VALUE"""),"M")</f>
        <v>M</v>
      </c>
      <c r="C204" s="38" t="str">
        <f>IFERROR(__xludf.DUMMYFUNCTION("""COMPUTED_VALUE"""),"TRẮNG")</f>
        <v>TRẮNG</v>
      </c>
      <c r="D204" s="38">
        <f>IFERROR(__xludf.DUMMYFUNCTION("""COMPUTED_VALUE"""),4.0)</f>
        <v>4</v>
      </c>
      <c r="G204" s="38">
        <v>0.0</v>
      </c>
    </row>
    <row r="205">
      <c r="A205" s="38" t="str">
        <f>IFERROR(__xludf.DUMMYFUNCTION("""COMPUTED_VALUE"""),"9091")</f>
        <v>9091</v>
      </c>
      <c r="B205" s="38" t="str">
        <f>IFERROR(__xludf.DUMMYFUNCTION("""COMPUTED_VALUE"""),"M")</f>
        <v>M</v>
      </c>
      <c r="C205" s="38" t="str">
        <f>IFERROR(__xludf.DUMMYFUNCTION("""COMPUTED_VALUE"""),"XANH THAN")</f>
        <v>XANH THAN</v>
      </c>
      <c r="D205" s="38">
        <f>IFERROR(__xludf.DUMMYFUNCTION("""COMPUTED_VALUE"""),8.0)</f>
        <v>8</v>
      </c>
      <c r="G205" s="38">
        <v>0.0</v>
      </c>
    </row>
    <row r="206">
      <c r="A206" s="38" t="str">
        <f>IFERROR(__xludf.DUMMYFUNCTION("""COMPUTED_VALUE"""),"9091")</f>
        <v>9091</v>
      </c>
      <c r="B206" s="38" t="str">
        <f>IFERROR(__xludf.DUMMYFUNCTION("""COMPUTED_VALUE"""),"S")</f>
        <v>S</v>
      </c>
      <c r="C206" s="38" t="str">
        <f>IFERROR(__xludf.DUMMYFUNCTION("""COMPUTED_VALUE"""),"TRẮNG")</f>
        <v>TRẮNG</v>
      </c>
      <c r="D206" s="38">
        <f>IFERROR(__xludf.DUMMYFUNCTION("""COMPUTED_VALUE"""),3.0)</f>
        <v>3</v>
      </c>
      <c r="G206" s="38">
        <v>0.0</v>
      </c>
    </row>
    <row r="207">
      <c r="A207" s="38" t="str">
        <f>IFERROR(__xludf.DUMMYFUNCTION("""COMPUTED_VALUE"""),"9091")</f>
        <v>9091</v>
      </c>
      <c r="B207" s="38" t="str">
        <f>IFERROR(__xludf.DUMMYFUNCTION("""COMPUTED_VALUE"""),"S")</f>
        <v>S</v>
      </c>
      <c r="C207" s="38" t="str">
        <f>IFERROR(__xludf.DUMMYFUNCTION("""COMPUTED_VALUE"""),"XANH THAN")</f>
        <v>XANH THAN</v>
      </c>
      <c r="D207" s="38">
        <f>IFERROR(__xludf.DUMMYFUNCTION("""COMPUTED_VALUE"""),12.0)</f>
        <v>12</v>
      </c>
      <c r="G207" s="38">
        <v>0.0</v>
      </c>
    </row>
    <row r="208">
      <c r="A208" s="38" t="str">
        <f>IFERROR(__xludf.DUMMYFUNCTION("""COMPUTED_VALUE"""),"9094")</f>
        <v>9094</v>
      </c>
      <c r="B208" s="38" t="str">
        <f>IFERROR(__xludf.DUMMYFUNCTION("""COMPUTED_VALUE"""),"M")</f>
        <v>M</v>
      </c>
      <c r="C208" s="38" t="str">
        <f>IFERROR(__xludf.DUMMYFUNCTION("""COMPUTED_VALUE"""),"HỒNG")</f>
        <v>HỒNG</v>
      </c>
      <c r="D208" s="38">
        <f>IFERROR(__xludf.DUMMYFUNCTION("""COMPUTED_VALUE"""),1.0)</f>
        <v>1</v>
      </c>
      <c r="G208" s="38">
        <v>0.0</v>
      </c>
    </row>
    <row r="209">
      <c r="A209" s="38" t="str">
        <f>IFERROR(__xludf.DUMMYFUNCTION("""COMPUTED_VALUE"""),"9094")</f>
        <v>9094</v>
      </c>
      <c r="B209" s="38" t="str">
        <f>IFERROR(__xludf.DUMMYFUNCTION("""COMPUTED_VALUE"""),"M")</f>
        <v>M</v>
      </c>
      <c r="C209" s="38" t="str">
        <f>IFERROR(__xludf.DUMMYFUNCTION("""COMPUTED_VALUE"""),"XANH THAN")</f>
        <v>XANH THAN</v>
      </c>
      <c r="D209" s="38">
        <f>IFERROR(__xludf.DUMMYFUNCTION("""COMPUTED_VALUE"""),7.0)</f>
        <v>7</v>
      </c>
      <c r="G209" s="38">
        <v>1.0</v>
      </c>
    </row>
    <row r="210">
      <c r="A210" s="38" t="str">
        <f>IFERROR(__xludf.DUMMYFUNCTION("""COMPUTED_VALUE"""),"9094")</f>
        <v>9094</v>
      </c>
      <c r="B210" s="38" t="str">
        <f>IFERROR(__xludf.DUMMYFUNCTION("""COMPUTED_VALUE"""),"M")</f>
        <v>M</v>
      </c>
      <c r="C210" s="38" t="str">
        <f>IFERROR(__xludf.DUMMYFUNCTION("""COMPUTED_VALUE"""),"XÁM")</f>
        <v>XÁM</v>
      </c>
      <c r="D210" s="38">
        <f>IFERROR(__xludf.DUMMYFUNCTION("""COMPUTED_VALUE"""),2.0)</f>
        <v>2</v>
      </c>
      <c r="G210" s="38">
        <v>2.0</v>
      </c>
    </row>
    <row r="211">
      <c r="A211" s="38" t="str">
        <f>IFERROR(__xludf.DUMMYFUNCTION("""COMPUTED_VALUE"""),"9094")</f>
        <v>9094</v>
      </c>
      <c r="B211" s="38" t="str">
        <f>IFERROR(__xludf.DUMMYFUNCTION("""COMPUTED_VALUE"""),"S")</f>
        <v>S</v>
      </c>
      <c r="C211" s="38" t="str">
        <f>IFERROR(__xludf.DUMMYFUNCTION("""COMPUTED_VALUE"""),"HỒNG")</f>
        <v>HỒNG</v>
      </c>
      <c r="D211" s="38">
        <f>IFERROR(__xludf.DUMMYFUNCTION("""COMPUTED_VALUE"""),1.0)</f>
        <v>1</v>
      </c>
      <c r="G211" s="38">
        <v>1.0</v>
      </c>
    </row>
    <row r="212">
      <c r="A212" s="38" t="str">
        <f>IFERROR(__xludf.DUMMYFUNCTION("""COMPUTED_VALUE"""),"9094")</f>
        <v>9094</v>
      </c>
      <c r="B212" s="38" t="str">
        <f>IFERROR(__xludf.DUMMYFUNCTION("""COMPUTED_VALUE"""),"S")</f>
        <v>S</v>
      </c>
      <c r="C212" s="38" t="str">
        <f>IFERROR(__xludf.DUMMYFUNCTION("""COMPUTED_VALUE"""),"XANH THAN")</f>
        <v>XANH THAN</v>
      </c>
      <c r="D212" s="38">
        <f>IFERROR(__xludf.DUMMYFUNCTION("""COMPUTED_VALUE"""),6.0)</f>
        <v>6</v>
      </c>
      <c r="G212" s="38">
        <v>3.0</v>
      </c>
    </row>
    <row r="213">
      <c r="A213" s="38" t="str">
        <f>IFERROR(__xludf.DUMMYFUNCTION("""COMPUTED_VALUE"""),"9094")</f>
        <v>9094</v>
      </c>
      <c r="B213" s="38" t="str">
        <f>IFERROR(__xludf.DUMMYFUNCTION("""COMPUTED_VALUE"""),"S")</f>
        <v>S</v>
      </c>
      <c r="C213" s="38" t="str">
        <f>IFERROR(__xludf.DUMMYFUNCTION("""COMPUTED_VALUE"""),"XÁM")</f>
        <v>XÁM</v>
      </c>
      <c r="D213" s="38">
        <f>IFERROR(__xludf.DUMMYFUNCTION("""COMPUTED_VALUE"""),7.0)</f>
        <v>7</v>
      </c>
      <c r="G213" s="38">
        <v>5.0</v>
      </c>
    </row>
    <row r="214">
      <c r="A214" s="38" t="str">
        <f>IFERROR(__xludf.DUMMYFUNCTION("""COMPUTED_VALUE"""),"9140")</f>
        <v>9140</v>
      </c>
      <c r="B214" s="38" t="str">
        <f>IFERROR(__xludf.DUMMYFUNCTION("""COMPUTED_VALUE"""),"M")</f>
        <v>M</v>
      </c>
      <c r="C214" s="38" t="str">
        <f>IFERROR(__xludf.DUMMYFUNCTION("""COMPUTED_VALUE"""),"ĐEN")</f>
        <v>ĐEN</v>
      </c>
      <c r="D214" s="38">
        <f>IFERROR(__xludf.DUMMYFUNCTION("""COMPUTED_VALUE"""),4.0)</f>
        <v>4</v>
      </c>
      <c r="G214" s="38">
        <v>3.0</v>
      </c>
    </row>
    <row r="215">
      <c r="A215" s="38" t="str">
        <f>IFERROR(__xludf.DUMMYFUNCTION("""COMPUTED_VALUE"""),"9140")</f>
        <v>9140</v>
      </c>
      <c r="B215" s="38" t="str">
        <f>IFERROR(__xludf.DUMMYFUNCTION("""COMPUTED_VALUE"""),"M")</f>
        <v>M</v>
      </c>
      <c r="C215" s="38" t="str">
        <f>IFERROR(__xludf.DUMMYFUNCTION("""COMPUTED_VALUE"""),"ĐỎ")</f>
        <v>ĐỎ</v>
      </c>
      <c r="D215" s="38">
        <f>IFERROR(__xludf.DUMMYFUNCTION("""COMPUTED_VALUE"""),1.0)</f>
        <v>1</v>
      </c>
      <c r="G215" s="38">
        <v>1.0</v>
      </c>
    </row>
    <row r="216">
      <c r="A216" s="38" t="str">
        <f>IFERROR(__xludf.DUMMYFUNCTION("""COMPUTED_VALUE"""),"9140")</f>
        <v>9140</v>
      </c>
      <c r="B216" s="38" t="str">
        <f>IFERROR(__xludf.DUMMYFUNCTION("""COMPUTED_VALUE"""),"S")</f>
        <v>S</v>
      </c>
      <c r="C216" s="38" t="str">
        <f>IFERROR(__xludf.DUMMYFUNCTION("""COMPUTED_VALUE"""),"ĐỎ")</f>
        <v>ĐỎ</v>
      </c>
      <c r="D216" s="38">
        <f>IFERROR(__xludf.DUMMYFUNCTION("""COMPUTED_VALUE"""),2.0)</f>
        <v>2</v>
      </c>
      <c r="G216" s="38">
        <v>2.0</v>
      </c>
    </row>
    <row r="217">
      <c r="A217" s="38" t="str">
        <f>IFERROR(__xludf.DUMMYFUNCTION("""COMPUTED_VALUE"""),"9158")</f>
        <v>9158</v>
      </c>
      <c r="B217" s="38" t="str">
        <f>IFERROR(__xludf.DUMMYFUNCTION("""COMPUTED_VALUE"""),"M")</f>
        <v>M</v>
      </c>
      <c r="C217" s="38" t="str">
        <f>IFERROR(__xludf.DUMMYFUNCTION("""COMPUTED_VALUE"""),"TRẮNG")</f>
        <v>TRẮNG</v>
      </c>
      <c r="D217" s="38">
        <f>IFERROR(__xludf.DUMMYFUNCTION("""COMPUTED_VALUE"""),2.0)</f>
        <v>2</v>
      </c>
      <c r="G217" s="38">
        <v>0.0</v>
      </c>
    </row>
    <row r="218">
      <c r="A218" s="38" t="str">
        <f>IFERROR(__xludf.DUMMYFUNCTION("""COMPUTED_VALUE"""),"9158")</f>
        <v>9158</v>
      </c>
      <c r="B218" s="38" t="str">
        <f>IFERROR(__xludf.DUMMYFUNCTION("""COMPUTED_VALUE"""),"M")</f>
        <v>M</v>
      </c>
      <c r="C218" s="38" t="str">
        <f>IFERROR(__xludf.DUMMYFUNCTION("""COMPUTED_VALUE"""),"ĐEN")</f>
        <v>ĐEN</v>
      </c>
      <c r="D218" s="38">
        <f>IFERROR(__xludf.DUMMYFUNCTION("""COMPUTED_VALUE"""),1.0)</f>
        <v>1</v>
      </c>
      <c r="G218" s="38">
        <v>0.0</v>
      </c>
    </row>
    <row r="219">
      <c r="A219" s="38" t="str">
        <f>IFERROR(__xludf.DUMMYFUNCTION("""COMPUTED_VALUE"""),"92212")</f>
        <v>92212</v>
      </c>
      <c r="B219" s="38" t="str">
        <f>IFERROR(__xludf.DUMMYFUNCTION("""COMPUTED_VALUE"""),"FZ")</f>
        <v>FZ</v>
      </c>
      <c r="C219" s="38" t="str">
        <f>IFERROR(__xludf.DUMMYFUNCTION("""COMPUTED_VALUE"""),"BE")</f>
        <v>BE</v>
      </c>
      <c r="D219" s="38">
        <f>IFERROR(__xludf.DUMMYFUNCTION("""COMPUTED_VALUE"""),2.0)</f>
        <v>2</v>
      </c>
      <c r="G219" s="38">
        <v>0.0</v>
      </c>
    </row>
    <row r="220">
      <c r="A220" s="38" t="str">
        <f>IFERROR(__xludf.DUMMYFUNCTION("""COMPUTED_VALUE"""),"92212")</f>
        <v>92212</v>
      </c>
      <c r="B220" s="38" t="str">
        <f>IFERROR(__xludf.DUMMYFUNCTION("""COMPUTED_VALUE"""),"FZ")</f>
        <v>FZ</v>
      </c>
      <c r="C220" s="38" t="str">
        <f>IFERROR(__xludf.DUMMYFUNCTION("""COMPUTED_VALUE"""),"HỒNG")</f>
        <v>HỒNG</v>
      </c>
      <c r="D220" s="38">
        <f>IFERROR(__xludf.DUMMYFUNCTION("""COMPUTED_VALUE"""),35.0)</f>
        <v>35</v>
      </c>
      <c r="G220" s="38">
        <v>0.0</v>
      </c>
    </row>
    <row r="221">
      <c r="A221" s="38" t="str">
        <f>IFERROR(__xludf.DUMMYFUNCTION("""COMPUTED_VALUE"""),"92212")</f>
        <v>92212</v>
      </c>
      <c r="B221" s="38" t="str">
        <f>IFERROR(__xludf.DUMMYFUNCTION("""COMPUTED_VALUE"""),"FZ")</f>
        <v>FZ</v>
      </c>
      <c r="C221" s="38" t="str">
        <f>IFERROR(__xludf.DUMMYFUNCTION("""COMPUTED_VALUE"""),"TRẮNG")</f>
        <v>TRẮNG</v>
      </c>
      <c r="D221" s="38">
        <f>IFERROR(__xludf.DUMMYFUNCTION("""COMPUTED_VALUE"""),3.0)</f>
        <v>3</v>
      </c>
      <c r="G221" s="38">
        <v>0.0</v>
      </c>
    </row>
    <row r="222">
      <c r="A222" s="38" t="str">
        <f>IFERROR(__xludf.DUMMYFUNCTION("""COMPUTED_VALUE"""),"92212")</f>
        <v>92212</v>
      </c>
      <c r="B222" s="38" t="str">
        <f>IFERROR(__xludf.DUMMYFUNCTION("""COMPUTED_VALUE"""),"FZ")</f>
        <v>FZ</v>
      </c>
      <c r="C222" s="38" t="str">
        <f>IFERROR(__xludf.DUMMYFUNCTION("""COMPUTED_VALUE"""),"XÁM")</f>
        <v>XÁM</v>
      </c>
      <c r="D222" s="38">
        <f>IFERROR(__xludf.DUMMYFUNCTION("""COMPUTED_VALUE"""),11.0)</f>
        <v>11</v>
      </c>
      <c r="G222" s="38">
        <v>0.0</v>
      </c>
    </row>
    <row r="223">
      <c r="A223" s="38" t="str">
        <f>IFERROR(__xludf.DUMMYFUNCTION("""COMPUTED_VALUE"""),"92212")</f>
        <v>92212</v>
      </c>
      <c r="B223" s="38" t="str">
        <f>IFERROR(__xludf.DUMMYFUNCTION("""COMPUTED_VALUE"""),"FZ")</f>
        <v>FZ</v>
      </c>
      <c r="C223" s="38" t="str">
        <f>IFERROR(__xludf.DUMMYFUNCTION("""COMPUTED_VALUE"""),"ĐEN")</f>
        <v>ĐEN</v>
      </c>
      <c r="D223" s="38">
        <f>IFERROR(__xludf.DUMMYFUNCTION("""COMPUTED_VALUE"""),5.0)</f>
        <v>5</v>
      </c>
      <c r="G223" s="38">
        <v>0.0</v>
      </c>
    </row>
    <row r="224">
      <c r="A224" s="38" t="str">
        <f>IFERROR(__xludf.DUMMYFUNCTION("""COMPUTED_VALUE"""),"92212")</f>
        <v>92212</v>
      </c>
      <c r="B224" s="38" t="str">
        <f>IFERROR(__xludf.DUMMYFUNCTION("""COMPUTED_VALUE"""),"M")</f>
        <v>M</v>
      </c>
      <c r="C224" s="38" t="str">
        <f>IFERROR(__xludf.DUMMYFUNCTION("""COMPUTED_VALUE"""),"ĐEN")</f>
        <v>ĐEN</v>
      </c>
      <c r="D224" s="38">
        <f>IFERROR(__xludf.DUMMYFUNCTION("""COMPUTED_VALUE"""),1.0)</f>
        <v>1</v>
      </c>
      <c r="G224" s="38">
        <v>0.0</v>
      </c>
    </row>
    <row r="225">
      <c r="A225" s="38" t="str">
        <f>IFERROR(__xludf.DUMMYFUNCTION("""COMPUTED_VALUE"""),"9258")</f>
        <v>9258</v>
      </c>
      <c r="B225" s="38" t="str">
        <f>IFERROR(__xludf.DUMMYFUNCTION("""COMPUTED_VALUE"""),"L")</f>
        <v>L</v>
      </c>
      <c r="C225" s="38" t="str">
        <f>IFERROR(__xludf.DUMMYFUNCTION("""COMPUTED_VALUE"""),"XANH THAN")</f>
        <v>XANH THAN</v>
      </c>
      <c r="D225" s="38">
        <f>IFERROR(__xludf.DUMMYFUNCTION("""COMPUTED_VALUE"""),1.0)</f>
        <v>1</v>
      </c>
      <c r="G225" s="38">
        <v>0.0</v>
      </c>
    </row>
    <row r="226">
      <c r="A226" s="38" t="str">
        <f>IFERROR(__xludf.DUMMYFUNCTION("""COMPUTED_VALUE"""),"9258")</f>
        <v>9258</v>
      </c>
      <c r="B226" s="38" t="str">
        <f>IFERROR(__xludf.DUMMYFUNCTION("""COMPUTED_VALUE"""),"M")</f>
        <v>M</v>
      </c>
      <c r="C226" s="38" t="str">
        <f>IFERROR(__xludf.DUMMYFUNCTION("""COMPUTED_VALUE"""),"XANH THAN")</f>
        <v>XANH THAN</v>
      </c>
      <c r="D226" s="38">
        <f>IFERROR(__xludf.DUMMYFUNCTION("""COMPUTED_VALUE"""),3.0)</f>
        <v>3</v>
      </c>
      <c r="G226" s="38">
        <v>0.0</v>
      </c>
    </row>
    <row r="227">
      <c r="A227" s="38" t="str">
        <f>IFERROR(__xludf.DUMMYFUNCTION("""COMPUTED_VALUE"""),"9258")</f>
        <v>9258</v>
      </c>
      <c r="B227" s="38" t="str">
        <f>IFERROR(__xludf.DUMMYFUNCTION("""COMPUTED_VALUE"""),"S")</f>
        <v>S</v>
      </c>
      <c r="C227" s="38" t="str">
        <f>IFERROR(__xludf.DUMMYFUNCTION("""COMPUTED_VALUE"""),"XANH THAN")</f>
        <v>XANH THAN</v>
      </c>
      <c r="D227" s="38">
        <f>IFERROR(__xludf.DUMMYFUNCTION("""COMPUTED_VALUE"""),3.0)</f>
        <v>3</v>
      </c>
      <c r="G227" s="38">
        <v>0.0</v>
      </c>
    </row>
    <row r="228">
      <c r="A228" s="38" t="str">
        <f>IFERROR(__xludf.DUMMYFUNCTION("""COMPUTED_VALUE"""),"9272")</f>
        <v>9272</v>
      </c>
      <c r="B228" s="38" t="str">
        <f>IFERROR(__xludf.DUMMYFUNCTION("""COMPUTED_VALUE"""),"M")</f>
        <v>M</v>
      </c>
      <c r="C228" s="38" t="str">
        <f>IFERROR(__xludf.DUMMYFUNCTION("""COMPUTED_VALUE"""),"XANH THAN")</f>
        <v>XANH THAN</v>
      </c>
      <c r="D228" s="38">
        <f>IFERROR(__xludf.DUMMYFUNCTION("""COMPUTED_VALUE"""),1.0)</f>
        <v>1</v>
      </c>
      <c r="G228" s="38">
        <v>0.0</v>
      </c>
    </row>
    <row r="229">
      <c r="A229" s="38" t="str">
        <f>IFERROR(__xludf.DUMMYFUNCTION("""COMPUTED_VALUE"""),"9272")</f>
        <v>9272</v>
      </c>
      <c r="B229" s="38" t="str">
        <f>IFERROR(__xludf.DUMMYFUNCTION("""COMPUTED_VALUE"""),"S")</f>
        <v>S</v>
      </c>
      <c r="C229" s="38" t="str">
        <f>IFERROR(__xludf.DUMMYFUNCTION("""COMPUTED_VALUE"""),"XANH THAN")</f>
        <v>XANH THAN</v>
      </c>
      <c r="D229" s="38">
        <f>IFERROR(__xludf.DUMMYFUNCTION("""COMPUTED_VALUE"""),6.0)</f>
        <v>6</v>
      </c>
      <c r="G229" s="38">
        <v>0.0</v>
      </c>
    </row>
    <row r="230">
      <c r="A230" s="38" t="str">
        <f>IFERROR(__xludf.DUMMYFUNCTION("""COMPUTED_VALUE"""),"9273")</f>
        <v>9273</v>
      </c>
      <c r="B230" s="38" t="str">
        <f>IFERROR(__xludf.DUMMYFUNCTION("""COMPUTED_VALUE"""),"M")</f>
        <v>M</v>
      </c>
      <c r="C230" s="38" t="str">
        <f>IFERROR(__xludf.DUMMYFUNCTION("""COMPUTED_VALUE"""),"BE")</f>
        <v>BE</v>
      </c>
      <c r="D230" s="38">
        <f>IFERROR(__xludf.DUMMYFUNCTION("""COMPUTED_VALUE"""),2.0)</f>
        <v>2</v>
      </c>
      <c r="G230" s="38">
        <v>0.0</v>
      </c>
    </row>
    <row r="231">
      <c r="A231" s="38" t="str">
        <f>IFERROR(__xludf.DUMMYFUNCTION("""COMPUTED_VALUE"""),"9273")</f>
        <v>9273</v>
      </c>
      <c r="B231" s="38" t="str">
        <f>IFERROR(__xludf.DUMMYFUNCTION("""COMPUTED_VALUE"""),"S")</f>
        <v>S</v>
      </c>
      <c r="C231" s="38" t="str">
        <f>IFERROR(__xludf.DUMMYFUNCTION("""COMPUTED_VALUE"""),"BE")</f>
        <v>BE</v>
      </c>
      <c r="D231" s="38">
        <f>IFERROR(__xludf.DUMMYFUNCTION("""COMPUTED_VALUE"""),1.0)</f>
        <v>1</v>
      </c>
      <c r="G231" s="38">
        <v>0.0</v>
      </c>
    </row>
    <row r="232">
      <c r="A232" s="38" t="str">
        <f>IFERROR(__xludf.DUMMYFUNCTION("""COMPUTED_VALUE"""),"9275")</f>
        <v>9275</v>
      </c>
      <c r="B232" s="38" t="str">
        <f>IFERROR(__xludf.DUMMYFUNCTION("""COMPUTED_VALUE"""),"M")</f>
        <v>M</v>
      </c>
      <c r="C232" s="38" t="str">
        <f>IFERROR(__xludf.DUMMYFUNCTION("""COMPUTED_VALUE"""),"BE")</f>
        <v>BE</v>
      </c>
      <c r="D232" s="38">
        <f>IFERROR(__xludf.DUMMYFUNCTION("""COMPUTED_VALUE"""),2.0)</f>
        <v>2</v>
      </c>
      <c r="G232" s="38">
        <v>0.0</v>
      </c>
    </row>
    <row r="233">
      <c r="A233" s="38" t="str">
        <f>IFERROR(__xludf.DUMMYFUNCTION("""COMPUTED_VALUE"""),"9275")</f>
        <v>9275</v>
      </c>
      <c r="B233" s="38" t="str">
        <f>IFERROR(__xludf.DUMMYFUNCTION("""COMPUTED_VALUE"""),"M")</f>
        <v>M</v>
      </c>
      <c r="C233" s="38" t="str">
        <f>IFERROR(__xludf.DUMMYFUNCTION("""COMPUTED_VALUE"""),"TRẮNG")</f>
        <v>TRẮNG</v>
      </c>
      <c r="D233" s="38">
        <f>IFERROR(__xludf.DUMMYFUNCTION("""COMPUTED_VALUE"""),1.0)</f>
        <v>1</v>
      </c>
      <c r="G233" s="38">
        <v>0.0</v>
      </c>
    </row>
    <row r="234">
      <c r="A234" s="38" t="str">
        <f>IFERROR(__xludf.DUMMYFUNCTION("""COMPUTED_VALUE"""),"9275")</f>
        <v>9275</v>
      </c>
      <c r="B234" s="38" t="str">
        <f>IFERROR(__xludf.DUMMYFUNCTION("""COMPUTED_VALUE"""),"M")</f>
        <v>M</v>
      </c>
      <c r="C234" s="38" t="str">
        <f>IFERROR(__xludf.DUMMYFUNCTION("""COMPUTED_VALUE"""),"XÁM")</f>
        <v>XÁM</v>
      </c>
      <c r="D234" s="38">
        <f>IFERROR(__xludf.DUMMYFUNCTION("""COMPUTED_VALUE"""),1.0)</f>
        <v>1</v>
      </c>
      <c r="G234" s="38">
        <v>0.0</v>
      </c>
    </row>
    <row r="235">
      <c r="A235" s="38" t="str">
        <f>IFERROR(__xludf.DUMMYFUNCTION("""COMPUTED_VALUE"""),"9275")</f>
        <v>9275</v>
      </c>
      <c r="B235" s="38" t="str">
        <f>IFERROR(__xludf.DUMMYFUNCTION("""COMPUTED_VALUE"""),"M")</f>
        <v>M</v>
      </c>
      <c r="C235" s="38" t="str">
        <f>IFERROR(__xludf.DUMMYFUNCTION("""COMPUTED_VALUE"""),"ĐEN")</f>
        <v>ĐEN</v>
      </c>
      <c r="D235" s="38">
        <f>IFERROR(__xludf.DUMMYFUNCTION("""COMPUTED_VALUE"""),2.0)</f>
        <v>2</v>
      </c>
      <c r="G235" s="38">
        <v>0.0</v>
      </c>
    </row>
    <row r="236">
      <c r="A236" s="38" t="str">
        <f>IFERROR(__xludf.DUMMYFUNCTION("""COMPUTED_VALUE"""),"9277")</f>
        <v>9277</v>
      </c>
      <c r="B236" s="38" t="str">
        <f>IFERROR(__xludf.DUMMYFUNCTION("""COMPUTED_VALUE"""),"FZ")</f>
        <v>FZ</v>
      </c>
      <c r="C236" s="38" t="str">
        <f>IFERROR(__xludf.DUMMYFUNCTION("""COMPUTED_VALUE"""),"TRẮNG")</f>
        <v>TRẮNG</v>
      </c>
      <c r="D236" s="38">
        <f>IFERROR(__xludf.DUMMYFUNCTION("""COMPUTED_VALUE"""),2.0)</f>
        <v>2</v>
      </c>
      <c r="G236" s="38">
        <v>0.0</v>
      </c>
    </row>
    <row r="237">
      <c r="A237" s="38" t="str">
        <f>IFERROR(__xludf.DUMMYFUNCTION("""COMPUTED_VALUE"""),"9277")</f>
        <v>9277</v>
      </c>
      <c r="B237" s="38" t="str">
        <f>IFERROR(__xludf.DUMMYFUNCTION("""COMPUTED_VALUE"""),"FZ")</f>
        <v>FZ</v>
      </c>
      <c r="C237" s="38" t="str">
        <f>IFERROR(__xludf.DUMMYFUNCTION("""COMPUTED_VALUE"""),"ĐEN")</f>
        <v>ĐEN</v>
      </c>
      <c r="D237" s="38">
        <f>IFERROR(__xludf.DUMMYFUNCTION("""COMPUTED_VALUE"""),1.0)</f>
        <v>1</v>
      </c>
      <c r="G237" s="38">
        <v>0.0</v>
      </c>
    </row>
    <row r="238">
      <c r="A238" s="38" t="str">
        <f>IFERROR(__xludf.DUMMYFUNCTION("""COMPUTED_VALUE"""),"9277")</f>
        <v>9277</v>
      </c>
      <c r="B238" s="38" t="str">
        <f>IFERROR(__xludf.DUMMYFUNCTION("""COMPUTED_VALUE"""),"M")</f>
        <v>M</v>
      </c>
      <c r="C238" s="38" t="str">
        <f>IFERROR(__xludf.DUMMYFUNCTION("""COMPUTED_VALUE"""),"TRẮNG")</f>
        <v>TRẮNG</v>
      </c>
      <c r="D238" s="38">
        <f>IFERROR(__xludf.DUMMYFUNCTION("""COMPUTED_VALUE"""),1.0)</f>
        <v>1</v>
      </c>
      <c r="G238" s="38">
        <v>0.0</v>
      </c>
    </row>
    <row r="239">
      <c r="A239" s="38" t="str">
        <f>IFERROR(__xludf.DUMMYFUNCTION("""COMPUTED_VALUE"""),"9277")</f>
        <v>9277</v>
      </c>
      <c r="B239" s="38" t="str">
        <f>IFERROR(__xludf.DUMMYFUNCTION("""COMPUTED_VALUE"""),"M")</f>
        <v>M</v>
      </c>
      <c r="C239" s="38" t="str">
        <f>IFERROR(__xludf.DUMMYFUNCTION("""COMPUTED_VALUE"""),"ĐEN")</f>
        <v>ĐEN</v>
      </c>
      <c r="D239" s="38">
        <f>IFERROR(__xludf.DUMMYFUNCTION("""COMPUTED_VALUE"""),1.0)</f>
        <v>1</v>
      </c>
      <c r="G239" s="38">
        <v>0.0</v>
      </c>
    </row>
    <row r="240">
      <c r="A240" s="38" t="str">
        <f>IFERROR(__xludf.DUMMYFUNCTION("""COMPUTED_VALUE"""),"9289")</f>
        <v>9289</v>
      </c>
      <c r="B240" s="38" t="str">
        <f>IFERROR(__xludf.DUMMYFUNCTION("""COMPUTED_VALUE"""),"FZ")</f>
        <v>FZ</v>
      </c>
      <c r="C240" s="38" t="str">
        <f>IFERROR(__xludf.DUMMYFUNCTION("""COMPUTED_VALUE"""),"HỒNG")</f>
        <v>HỒNG</v>
      </c>
      <c r="D240" s="38">
        <f>IFERROR(__xludf.DUMMYFUNCTION("""COMPUTED_VALUE"""),2.0)</f>
        <v>2</v>
      </c>
      <c r="G240" s="38">
        <v>0.0</v>
      </c>
    </row>
    <row r="241">
      <c r="A241" s="38" t="str">
        <f>IFERROR(__xludf.DUMMYFUNCTION("""COMPUTED_VALUE"""),"9289")</f>
        <v>9289</v>
      </c>
      <c r="B241" s="38" t="str">
        <f>IFERROR(__xludf.DUMMYFUNCTION("""COMPUTED_VALUE"""),"FZ")</f>
        <v>FZ</v>
      </c>
      <c r="C241" s="38" t="str">
        <f>IFERROR(__xludf.DUMMYFUNCTION("""COMPUTED_VALUE"""),"TRẮNG")</f>
        <v>TRẮNG</v>
      </c>
      <c r="D241" s="38">
        <f>IFERROR(__xludf.DUMMYFUNCTION("""COMPUTED_VALUE"""),1.0)</f>
        <v>1</v>
      </c>
      <c r="G241" s="38">
        <v>0.0</v>
      </c>
    </row>
    <row r="242">
      <c r="A242" s="38" t="str">
        <f>IFERROR(__xludf.DUMMYFUNCTION("""COMPUTED_VALUE"""),"9289")</f>
        <v>9289</v>
      </c>
      <c r="B242" s="38" t="str">
        <f>IFERROR(__xludf.DUMMYFUNCTION("""COMPUTED_VALUE"""),"FZ")</f>
        <v>FZ</v>
      </c>
      <c r="C242" s="38" t="str">
        <f>IFERROR(__xludf.DUMMYFUNCTION("""COMPUTED_VALUE"""),"XANH NÕN")</f>
        <v>XANH NÕN</v>
      </c>
      <c r="D242" s="38">
        <f>IFERROR(__xludf.DUMMYFUNCTION("""COMPUTED_VALUE"""),2.0)</f>
        <v>2</v>
      </c>
      <c r="G242" s="38">
        <v>0.0</v>
      </c>
    </row>
    <row r="243">
      <c r="A243" s="38" t="str">
        <f>IFERROR(__xludf.DUMMYFUNCTION("""COMPUTED_VALUE"""),"9289")</f>
        <v>9289</v>
      </c>
      <c r="B243" s="38" t="str">
        <f>IFERROR(__xludf.DUMMYFUNCTION("""COMPUTED_VALUE"""),"FZ")</f>
        <v>FZ</v>
      </c>
      <c r="C243" s="38" t="str">
        <f>IFERROR(__xludf.DUMMYFUNCTION("""COMPUTED_VALUE"""),"XÁM")</f>
        <v>XÁM</v>
      </c>
      <c r="D243" s="38">
        <f>IFERROR(__xludf.DUMMYFUNCTION("""COMPUTED_VALUE"""),1.0)</f>
        <v>1</v>
      </c>
      <c r="G243" s="38">
        <v>0.0</v>
      </c>
    </row>
    <row r="244">
      <c r="A244" s="38" t="str">
        <f>IFERROR(__xludf.DUMMYFUNCTION("""COMPUTED_VALUE"""),"9369")</f>
        <v>9369</v>
      </c>
      <c r="B244" s="38" t="str">
        <f>IFERROR(__xludf.DUMMYFUNCTION("""COMPUTED_VALUE"""),"L")</f>
        <v>L</v>
      </c>
      <c r="C244" s="38" t="str">
        <f>IFERROR(__xludf.DUMMYFUNCTION("""COMPUTED_VALUE"""),"XANH THAN")</f>
        <v>XANH THAN</v>
      </c>
      <c r="D244" s="38">
        <f>IFERROR(__xludf.DUMMYFUNCTION("""COMPUTED_VALUE"""),1.0)</f>
        <v>1</v>
      </c>
      <c r="G244" s="38">
        <v>0.0</v>
      </c>
    </row>
    <row r="245">
      <c r="A245" s="38" t="str">
        <f>IFERROR(__xludf.DUMMYFUNCTION("""COMPUTED_VALUE"""),"9369")</f>
        <v>9369</v>
      </c>
      <c r="B245" s="38" t="str">
        <f>IFERROR(__xludf.DUMMYFUNCTION("""COMPUTED_VALUE"""),"M")</f>
        <v>M</v>
      </c>
      <c r="C245" s="38" t="str">
        <f>IFERROR(__xludf.DUMMYFUNCTION("""COMPUTED_VALUE"""),"XANH THAN")</f>
        <v>XANH THAN</v>
      </c>
      <c r="D245" s="38">
        <f>IFERROR(__xludf.DUMMYFUNCTION("""COMPUTED_VALUE"""),11.0)</f>
        <v>11</v>
      </c>
      <c r="G245" s="38">
        <v>7.0</v>
      </c>
    </row>
    <row r="246">
      <c r="A246" s="38" t="str">
        <f>IFERROR(__xludf.DUMMYFUNCTION("""COMPUTED_VALUE"""),"9369")</f>
        <v>9369</v>
      </c>
      <c r="B246" s="38" t="str">
        <f>IFERROR(__xludf.DUMMYFUNCTION("""COMPUTED_VALUE"""),"S")</f>
        <v>S</v>
      </c>
      <c r="C246" s="38" t="str">
        <f>IFERROR(__xludf.DUMMYFUNCTION("""COMPUTED_VALUE"""),"XANH THAN")</f>
        <v>XANH THAN</v>
      </c>
      <c r="D246" s="38">
        <f>IFERROR(__xludf.DUMMYFUNCTION("""COMPUTED_VALUE"""),21.0)</f>
        <v>21</v>
      </c>
      <c r="G246" s="38">
        <v>13.0</v>
      </c>
    </row>
    <row r="247">
      <c r="A247" s="38" t="str">
        <f>IFERROR(__xludf.DUMMYFUNCTION("""COMPUTED_VALUE"""),"9408")</f>
        <v>9408</v>
      </c>
      <c r="B247" s="38" t="str">
        <f>IFERROR(__xludf.DUMMYFUNCTION("""COMPUTED_VALUE"""),"M")</f>
        <v>M</v>
      </c>
      <c r="C247" s="38" t="str">
        <f>IFERROR(__xludf.DUMMYFUNCTION("""COMPUTED_VALUE"""),"XÁM")</f>
        <v>XÁM</v>
      </c>
      <c r="D247" s="38">
        <f>IFERROR(__xludf.DUMMYFUNCTION("""COMPUTED_VALUE"""),3.0)</f>
        <v>3</v>
      </c>
      <c r="G247" s="38">
        <v>0.0</v>
      </c>
    </row>
    <row r="248">
      <c r="A248" s="38" t="str">
        <f>IFERROR(__xludf.DUMMYFUNCTION("""COMPUTED_VALUE"""),"9408")</f>
        <v>9408</v>
      </c>
      <c r="B248" s="38" t="str">
        <f>IFERROR(__xludf.DUMMYFUNCTION("""COMPUTED_VALUE"""),"M")</f>
        <v>M</v>
      </c>
      <c r="C248" s="38" t="str">
        <f>IFERROR(__xludf.DUMMYFUNCTION("""COMPUTED_VALUE"""),"ĐEN")</f>
        <v>ĐEN</v>
      </c>
      <c r="D248" s="38">
        <f>IFERROR(__xludf.DUMMYFUNCTION("""COMPUTED_VALUE"""),2.0)</f>
        <v>2</v>
      </c>
      <c r="G248" s="38">
        <v>0.0</v>
      </c>
    </row>
    <row r="249">
      <c r="A249" s="38" t="str">
        <f>IFERROR(__xludf.DUMMYFUNCTION("""COMPUTED_VALUE"""),"9408")</f>
        <v>9408</v>
      </c>
      <c r="B249" s="38" t="str">
        <f>IFERROR(__xludf.DUMMYFUNCTION("""COMPUTED_VALUE"""),"S")</f>
        <v>S</v>
      </c>
      <c r="C249" s="38" t="str">
        <f>IFERROR(__xludf.DUMMYFUNCTION("""COMPUTED_VALUE"""),"XÁM")</f>
        <v>XÁM</v>
      </c>
      <c r="D249" s="38">
        <f>IFERROR(__xludf.DUMMYFUNCTION("""COMPUTED_VALUE"""),3.0)</f>
        <v>3</v>
      </c>
      <c r="G249" s="38">
        <v>0.0</v>
      </c>
    </row>
    <row r="250">
      <c r="A250" s="38" t="str">
        <f>IFERROR(__xludf.DUMMYFUNCTION("""COMPUTED_VALUE"""),"9408")</f>
        <v>9408</v>
      </c>
      <c r="B250" s="38" t="str">
        <f>IFERROR(__xludf.DUMMYFUNCTION("""COMPUTED_VALUE"""),"S")</f>
        <v>S</v>
      </c>
      <c r="C250" s="38" t="str">
        <f>IFERROR(__xludf.DUMMYFUNCTION("""COMPUTED_VALUE"""),"ĐEN")</f>
        <v>ĐEN</v>
      </c>
      <c r="D250" s="38">
        <f>IFERROR(__xludf.DUMMYFUNCTION("""COMPUTED_VALUE"""),1.0)</f>
        <v>1</v>
      </c>
      <c r="G250" s="38">
        <v>0.0</v>
      </c>
    </row>
    <row r="251">
      <c r="A251" s="38" t="str">
        <f>IFERROR(__xludf.DUMMYFUNCTION("""COMPUTED_VALUE"""),"9425")</f>
        <v>9425</v>
      </c>
      <c r="B251" s="38" t="str">
        <f>IFERROR(__xludf.DUMMYFUNCTION("""COMPUTED_VALUE"""),"M")</f>
        <v>M</v>
      </c>
      <c r="C251" s="38" t="str">
        <f>IFERROR(__xludf.DUMMYFUNCTION("""COMPUTED_VALUE"""),"XANH THAN")</f>
        <v>XANH THAN</v>
      </c>
      <c r="D251" s="38">
        <f>IFERROR(__xludf.DUMMYFUNCTION("""COMPUTED_VALUE"""),4.0)</f>
        <v>4</v>
      </c>
      <c r="G251" s="38">
        <v>0.0</v>
      </c>
    </row>
    <row r="252">
      <c r="A252" s="38" t="str">
        <f>IFERROR(__xludf.DUMMYFUNCTION("""COMPUTED_VALUE"""),"9425")</f>
        <v>9425</v>
      </c>
      <c r="B252" s="38" t="str">
        <f>IFERROR(__xludf.DUMMYFUNCTION("""COMPUTED_VALUE"""),"S")</f>
        <v>S</v>
      </c>
      <c r="C252" s="38" t="str">
        <f>IFERROR(__xludf.DUMMYFUNCTION("""COMPUTED_VALUE"""),"XANH THAN")</f>
        <v>XANH THAN</v>
      </c>
      <c r="D252" s="38">
        <f>IFERROR(__xludf.DUMMYFUNCTION("""COMPUTED_VALUE"""),3.0)</f>
        <v>3</v>
      </c>
      <c r="G252" s="38">
        <v>0.0</v>
      </c>
    </row>
    <row r="253">
      <c r="A253" s="38" t="str">
        <f>IFERROR(__xludf.DUMMYFUNCTION("""COMPUTED_VALUE"""),"9500")</f>
        <v>9500</v>
      </c>
      <c r="B253" s="38" t="str">
        <f>IFERROR(__xludf.DUMMYFUNCTION("""COMPUTED_VALUE"""),"L")</f>
        <v>L</v>
      </c>
      <c r="C253" s="38" t="str">
        <f>IFERROR(__xludf.DUMMYFUNCTION("""COMPUTED_VALUE"""),"XANH NHẠT")</f>
        <v>XANH NHẠT</v>
      </c>
      <c r="D253" s="38">
        <f>IFERROR(__xludf.DUMMYFUNCTION("""COMPUTED_VALUE"""),2.0)</f>
        <v>2</v>
      </c>
      <c r="G253" s="38">
        <v>0.0</v>
      </c>
    </row>
    <row r="254">
      <c r="A254" s="38" t="str">
        <f>IFERROR(__xludf.DUMMYFUNCTION("""COMPUTED_VALUE"""),"9500")</f>
        <v>9500</v>
      </c>
      <c r="B254" s="38" t="str">
        <f>IFERROR(__xludf.DUMMYFUNCTION("""COMPUTED_VALUE"""),"M")</f>
        <v>M</v>
      </c>
      <c r="C254" s="38" t="str">
        <f>IFERROR(__xludf.DUMMYFUNCTION("""COMPUTED_VALUE"""),"XANH NHẠT")</f>
        <v>XANH NHẠT</v>
      </c>
      <c r="D254" s="38">
        <f>IFERROR(__xludf.DUMMYFUNCTION("""COMPUTED_VALUE"""),2.0)</f>
        <v>2</v>
      </c>
      <c r="G254" s="38">
        <v>0.0</v>
      </c>
    </row>
    <row r="255">
      <c r="A255" s="38" t="str">
        <f>IFERROR(__xludf.DUMMYFUNCTION("""COMPUTED_VALUE"""),"9500")</f>
        <v>9500</v>
      </c>
      <c r="B255" s="38" t="str">
        <f>IFERROR(__xludf.DUMMYFUNCTION("""COMPUTED_VALUE"""),"S")</f>
        <v>S</v>
      </c>
      <c r="C255" s="38" t="str">
        <f>IFERROR(__xludf.DUMMYFUNCTION("""COMPUTED_VALUE"""),"XANH NHẠT")</f>
        <v>XANH NHẠT</v>
      </c>
      <c r="D255" s="38">
        <f>IFERROR(__xludf.DUMMYFUNCTION("""COMPUTED_VALUE"""),1.0)</f>
        <v>1</v>
      </c>
      <c r="G255" s="38">
        <v>0.0</v>
      </c>
    </row>
    <row r="256">
      <c r="A256" s="38" t="str">
        <f>IFERROR(__xludf.DUMMYFUNCTION("""COMPUTED_VALUE"""),"9586")</f>
        <v>9586</v>
      </c>
      <c r="B256" s="38" t="str">
        <f>IFERROR(__xludf.DUMMYFUNCTION("""COMPUTED_VALUE"""),"M")</f>
        <v>M</v>
      </c>
      <c r="C256" s="38" t="str">
        <f>IFERROR(__xludf.DUMMYFUNCTION("""COMPUTED_VALUE"""),"ĐEN")</f>
        <v>ĐEN</v>
      </c>
      <c r="D256" s="38">
        <f>IFERROR(__xludf.DUMMYFUNCTION("""COMPUTED_VALUE"""),1.0)</f>
        <v>1</v>
      </c>
      <c r="G256" s="38">
        <v>0.0</v>
      </c>
    </row>
    <row r="257">
      <c r="A257" s="38" t="str">
        <f>IFERROR(__xludf.DUMMYFUNCTION("""COMPUTED_VALUE"""),"9586")</f>
        <v>9586</v>
      </c>
      <c r="B257" s="38" t="str">
        <f>IFERROR(__xludf.DUMMYFUNCTION("""COMPUTED_VALUE"""),"S")</f>
        <v>S</v>
      </c>
      <c r="C257" s="38" t="str">
        <f>IFERROR(__xludf.DUMMYFUNCTION("""COMPUTED_VALUE"""),"XANH")</f>
        <v>XANH</v>
      </c>
      <c r="D257" s="38">
        <f>IFERROR(__xludf.DUMMYFUNCTION("""COMPUTED_VALUE"""),1.0)</f>
        <v>1</v>
      </c>
      <c r="G257" s="38">
        <v>0.0</v>
      </c>
    </row>
    <row r="258">
      <c r="A258" s="38" t="str">
        <f>IFERROR(__xludf.DUMMYFUNCTION("""COMPUTED_VALUE"""),"9620")</f>
        <v>9620</v>
      </c>
      <c r="B258" s="38" t="str">
        <f>IFERROR(__xludf.DUMMYFUNCTION("""COMPUTED_VALUE"""),"M")</f>
        <v>M</v>
      </c>
      <c r="C258" s="38" t="str">
        <f>IFERROR(__xludf.DUMMYFUNCTION("""COMPUTED_VALUE"""),"TRẮNG")</f>
        <v>TRẮNG</v>
      </c>
      <c r="D258" s="38">
        <f>IFERROR(__xludf.DUMMYFUNCTION("""COMPUTED_VALUE"""),2.0)</f>
        <v>2</v>
      </c>
      <c r="G258" s="38">
        <v>0.0</v>
      </c>
    </row>
    <row r="259">
      <c r="A259" s="38" t="str">
        <f>IFERROR(__xludf.DUMMYFUNCTION("""COMPUTED_VALUE"""),"9620")</f>
        <v>9620</v>
      </c>
      <c r="B259" s="38" t="str">
        <f>IFERROR(__xludf.DUMMYFUNCTION("""COMPUTED_VALUE"""),"M")</f>
        <v>M</v>
      </c>
      <c r="C259" s="38" t="str">
        <f>IFERROR(__xludf.DUMMYFUNCTION("""COMPUTED_VALUE"""),"XÁM")</f>
        <v>XÁM</v>
      </c>
      <c r="D259" s="38">
        <f>IFERROR(__xludf.DUMMYFUNCTION("""COMPUTED_VALUE"""),1.0)</f>
        <v>1</v>
      </c>
      <c r="G259" s="38">
        <v>0.0</v>
      </c>
    </row>
    <row r="260">
      <c r="A260" s="38" t="str">
        <f>IFERROR(__xludf.DUMMYFUNCTION("""COMPUTED_VALUE"""),"9620")</f>
        <v>9620</v>
      </c>
      <c r="B260" s="38" t="str">
        <f>IFERROR(__xludf.DUMMYFUNCTION("""COMPUTED_VALUE"""),"M")</f>
        <v>M</v>
      </c>
      <c r="C260" s="38" t="str">
        <f>IFERROR(__xludf.DUMMYFUNCTION("""COMPUTED_VALUE"""),"ĐEN")</f>
        <v>ĐEN</v>
      </c>
      <c r="D260" s="38">
        <f>IFERROR(__xludf.DUMMYFUNCTION("""COMPUTED_VALUE"""),1.0)</f>
        <v>1</v>
      </c>
      <c r="G260" s="38">
        <v>0.0</v>
      </c>
    </row>
    <row r="261">
      <c r="A261" s="38" t="str">
        <f>IFERROR(__xludf.DUMMYFUNCTION("""COMPUTED_VALUE"""),"9686")</f>
        <v>9686</v>
      </c>
      <c r="B261" s="38" t="str">
        <f>IFERROR(__xludf.DUMMYFUNCTION("""COMPUTED_VALUE"""),"M")</f>
        <v>M</v>
      </c>
      <c r="C261" s="38" t="str">
        <f>IFERROR(__xludf.DUMMYFUNCTION("""COMPUTED_VALUE"""),"NÂU")</f>
        <v>NÂU</v>
      </c>
      <c r="D261" s="38">
        <f>IFERROR(__xludf.DUMMYFUNCTION("""COMPUTED_VALUE"""),1.0)</f>
        <v>1</v>
      </c>
      <c r="G261" s="38">
        <v>0.0</v>
      </c>
    </row>
    <row r="262">
      <c r="A262" s="38" t="str">
        <f>IFERROR(__xludf.DUMMYFUNCTION("""COMPUTED_VALUE"""),"9686")</f>
        <v>9686</v>
      </c>
      <c r="B262" s="38" t="str">
        <f>IFERROR(__xludf.DUMMYFUNCTION("""COMPUTED_VALUE"""),"M")</f>
        <v>M</v>
      </c>
      <c r="C262" s="38" t="str">
        <f>IFERROR(__xludf.DUMMYFUNCTION("""COMPUTED_VALUE"""),"TRẮNG")</f>
        <v>TRẮNG</v>
      </c>
      <c r="D262" s="38">
        <f>IFERROR(__xludf.DUMMYFUNCTION("""COMPUTED_VALUE"""),1.0)</f>
        <v>1</v>
      </c>
      <c r="G262" s="38">
        <v>0.0</v>
      </c>
    </row>
    <row r="263">
      <c r="A263" s="38" t="str">
        <f>IFERROR(__xludf.DUMMYFUNCTION("""COMPUTED_VALUE"""),"9686")</f>
        <v>9686</v>
      </c>
      <c r="B263" s="38" t="str">
        <f>IFERROR(__xludf.DUMMYFUNCTION("""COMPUTED_VALUE"""),"M")</f>
        <v>M</v>
      </c>
      <c r="C263" s="38" t="str">
        <f>IFERROR(__xludf.DUMMYFUNCTION("""COMPUTED_VALUE"""),"ĐEN")</f>
        <v>ĐEN</v>
      </c>
      <c r="D263" s="38">
        <f>IFERROR(__xludf.DUMMYFUNCTION("""COMPUTED_VALUE"""),1.0)</f>
        <v>1</v>
      </c>
      <c r="G263" s="38">
        <v>0.0</v>
      </c>
    </row>
    <row r="264">
      <c r="A264" s="38" t="str">
        <f>IFERROR(__xludf.DUMMYFUNCTION("""COMPUTED_VALUE"""),"9686")</f>
        <v>9686</v>
      </c>
      <c r="B264" s="38" t="str">
        <f>IFERROR(__xludf.DUMMYFUNCTION("""COMPUTED_VALUE"""),"S")</f>
        <v>S</v>
      </c>
      <c r="C264" s="38" t="str">
        <f>IFERROR(__xludf.DUMMYFUNCTION("""COMPUTED_VALUE"""),"HỒNG")</f>
        <v>HỒNG</v>
      </c>
      <c r="D264" s="38">
        <f>IFERROR(__xludf.DUMMYFUNCTION("""COMPUTED_VALUE"""),1.0)</f>
        <v>1</v>
      </c>
      <c r="G264" s="38">
        <v>0.0</v>
      </c>
    </row>
    <row r="265">
      <c r="A265" s="38" t="str">
        <f>IFERROR(__xludf.DUMMYFUNCTION("""COMPUTED_VALUE"""),"9686")</f>
        <v>9686</v>
      </c>
      <c r="B265" s="38" t="str">
        <f>IFERROR(__xludf.DUMMYFUNCTION("""COMPUTED_VALUE"""),"S")</f>
        <v>S</v>
      </c>
      <c r="C265" s="38" t="str">
        <f>IFERROR(__xludf.DUMMYFUNCTION("""COMPUTED_VALUE"""),"NÂU")</f>
        <v>NÂU</v>
      </c>
      <c r="D265" s="38">
        <f>IFERROR(__xludf.DUMMYFUNCTION("""COMPUTED_VALUE"""),1.0)</f>
        <v>1</v>
      </c>
      <c r="G265" s="38">
        <v>0.0</v>
      </c>
    </row>
    <row r="266">
      <c r="A266" s="38" t="str">
        <f>IFERROR(__xludf.DUMMYFUNCTION("""COMPUTED_VALUE"""),"9686")</f>
        <v>9686</v>
      </c>
      <c r="B266" s="38" t="str">
        <f>IFERROR(__xludf.DUMMYFUNCTION("""COMPUTED_VALUE"""),"S")</f>
        <v>S</v>
      </c>
      <c r="C266" s="38" t="str">
        <f>IFERROR(__xludf.DUMMYFUNCTION("""COMPUTED_VALUE"""),"TRẮNG")</f>
        <v>TRẮNG</v>
      </c>
      <c r="D266" s="38">
        <f>IFERROR(__xludf.DUMMYFUNCTION("""COMPUTED_VALUE"""),4.0)</f>
        <v>4</v>
      </c>
      <c r="G266" s="38">
        <v>0.0</v>
      </c>
    </row>
    <row r="267">
      <c r="A267" s="38" t="str">
        <f>IFERROR(__xludf.DUMMYFUNCTION("""COMPUTED_VALUE"""),"9686")</f>
        <v>9686</v>
      </c>
      <c r="B267" s="38" t="str">
        <f>IFERROR(__xludf.DUMMYFUNCTION("""COMPUTED_VALUE"""),"S")</f>
        <v>S</v>
      </c>
      <c r="C267" s="38" t="str">
        <f>IFERROR(__xludf.DUMMYFUNCTION("""COMPUTED_VALUE"""),"ĐEN")</f>
        <v>ĐEN</v>
      </c>
      <c r="D267" s="38">
        <f>IFERROR(__xludf.DUMMYFUNCTION("""COMPUTED_VALUE"""),2.0)</f>
        <v>2</v>
      </c>
      <c r="G267" s="38">
        <v>0.0</v>
      </c>
    </row>
    <row r="268">
      <c r="A268" s="38" t="str">
        <f>IFERROR(__xludf.DUMMYFUNCTION("""COMPUTED_VALUE"""),"9717")</f>
        <v>9717</v>
      </c>
      <c r="B268" s="38" t="str">
        <f>IFERROR(__xludf.DUMMYFUNCTION("""COMPUTED_VALUE"""),"M")</f>
        <v>M</v>
      </c>
      <c r="C268" s="38" t="str">
        <f>IFERROR(__xludf.DUMMYFUNCTION("""COMPUTED_VALUE"""),"HỒNG")</f>
        <v>HỒNG</v>
      </c>
      <c r="D268" s="38">
        <f>IFERROR(__xludf.DUMMYFUNCTION("""COMPUTED_VALUE"""),1.0)</f>
        <v>1</v>
      </c>
      <c r="G268" s="38">
        <v>0.0</v>
      </c>
    </row>
    <row r="269">
      <c r="A269" s="38" t="str">
        <f>IFERROR(__xludf.DUMMYFUNCTION("""COMPUTED_VALUE"""),"9717")</f>
        <v>9717</v>
      </c>
      <c r="B269" s="38" t="str">
        <f>IFERROR(__xludf.DUMMYFUNCTION("""COMPUTED_VALUE"""),"M")</f>
        <v>M</v>
      </c>
      <c r="C269" s="38" t="str">
        <f>IFERROR(__xludf.DUMMYFUNCTION("""COMPUTED_VALUE"""),"TRẮNG")</f>
        <v>TRẮNG</v>
      </c>
      <c r="D269" s="38">
        <f>IFERROR(__xludf.DUMMYFUNCTION("""COMPUTED_VALUE"""),1.0)</f>
        <v>1</v>
      </c>
      <c r="G269" s="38">
        <v>0.0</v>
      </c>
    </row>
    <row r="270">
      <c r="A270" s="38" t="str">
        <f>IFERROR(__xludf.DUMMYFUNCTION("""COMPUTED_VALUE"""),"9717")</f>
        <v>9717</v>
      </c>
      <c r="B270" s="38" t="str">
        <f>IFERROR(__xludf.DUMMYFUNCTION("""COMPUTED_VALUE"""),"S")</f>
        <v>S</v>
      </c>
      <c r="C270" s="38" t="str">
        <f>IFERROR(__xludf.DUMMYFUNCTION("""COMPUTED_VALUE"""),"TRẮNG")</f>
        <v>TRẮNG</v>
      </c>
      <c r="D270" s="38">
        <f>IFERROR(__xludf.DUMMYFUNCTION("""COMPUTED_VALUE"""),1.0)</f>
        <v>1</v>
      </c>
      <c r="G270" s="38">
        <v>0.0</v>
      </c>
    </row>
    <row r="271">
      <c r="A271" s="38" t="str">
        <f>IFERROR(__xludf.DUMMYFUNCTION("""COMPUTED_VALUE"""),"9717")</f>
        <v>9717</v>
      </c>
      <c r="B271" s="38" t="str">
        <f>IFERROR(__xludf.DUMMYFUNCTION("""COMPUTED_VALUE"""),"S")</f>
        <v>S</v>
      </c>
      <c r="C271" s="38" t="str">
        <f>IFERROR(__xludf.DUMMYFUNCTION("""COMPUTED_VALUE"""),"XANH LÁ")</f>
        <v>XANH LÁ</v>
      </c>
      <c r="D271" s="38">
        <f>IFERROR(__xludf.DUMMYFUNCTION("""COMPUTED_VALUE"""),1.0)</f>
        <v>1</v>
      </c>
      <c r="G271" s="38">
        <v>0.0</v>
      </c>
    </row>
    <row r="272">
      <c r="A272" s="38" t="str">
        <f>IFERROR(__xludf.DUMMYFUNCTION("""COMPUTED_VALUE"""),"9831")</f>
        <v>9831</v>
      </c>
      <c r="B272" s="38" t="str">
        <f>IFERROR(__xludf.DUMMYFUNCTION("""COMPUTED_VALUE"""),"L")</f>
        <v>L</v>
      </c>
      <c r="C272" s="38" t="str">
        <f>IFERROR(__xludf.DUMMYFUNCTION("""COMPUTED_VALUE"""),"XANH THAN")</f>
        <v>XANH THAN</v>
      </c>
      <c r="D272" s="38">
        <f>IFERROR(__xludf.DUMMYFUNCTION("""COMPUTED_VALUE"""),1.0)</f>
        <v>1</v>
      </c>
      <c r="G272" s="38">
        <v>0.0</v>
      </c>
    </row>
    <row r="273">
      <c r="A273" s="38" t="str">
        <f>IFERROR(__xludf.DUMMYFUNCTION("""COMPUTED_VALUE"""),"9831")</f>
        <v>9831</v>
      </c>
      <c r="B273" s="38" t="str">
        <f>IFERROR(__xludf.DUMMYFUNCTION("""COMPUTED_VALUE"""),"M")</f>
        <v>M</v>
      </c>
      <c r="C273" s="38" t="str">
        <f>IFERROR(__xludf.DUMMYFUNCTION("""COMPUTED_VALUE"""),"XANH THAN")</f>
        <v>XANH THAN</v>
      </c>
      <c r="D273" s="38">
        <f>IFERROR(__xludf.DUMMYFUNCTION("""COMPUTED_VALUE"""),2.0)</f>
        <v>2</v>
      </c>
      <c r="G273" s="38">
        <v>0.0</v>
      </c>
    </row>
    <row r="274">
      <c r="A274" s="38" t="str">
        <f>IFERROR(__xludf.DUMMYFUNCTION("""COMPUTED_VALUE"""),"9831")</f>
        <v>9831</v>
      </c>
      <c r="B274" s="38" t="str">
        <f>IFERROR(__xludf.DUMMYFUNCTION("""COMPUTED_VALUE"""),"S")</f>
        <v>S</v>
      </c>
      <c r="C274" s="38" t="str">
        <f>IFERROR(__xludf.DUMMYFUNCTION("""COMPUTED_VALUE"""),"XANH THAN")</f>
        <v>XANH THAN</v>
      </c>
      <c r="D274" s="38">
        <f>IFERROR(__xludf.DUMMYFUNCTION("""COMPUTED_VALUE"""),1.0)</f>
        <v>1</v>
      </c>
      <c r="G274" s="38">
        <v>0.0</v>
      </c>
    </row>
    <row r="275">
      <c r="A275" s="38" t="str">
        <f>IFERROR(__xludf.DUMMYFUNCTION("""COMPUTED_VALUE"""),"9930")</f>
        <v>9930</v>
      </c>
      <c r="B275" s="38" t="str">
        <f>IFERROR(__xludf.DUMMYFUNCTION("""COMPUTED_VALUE"""),"L")</f>
        <v>L</v>
      </c>
      <c r="C275" s="38" t="str">
        <f>IFERROR(__xludf.DUMMYFUNCTION("""COMPUTED_VALUE"""),"XANH THAN")</f>
        <v>XANH THAN</v>
      </c>
      <c r="D275" s="38">
        <f>IFERROR(__xludf.DUMMYFUNCTION("""COMPUTED_VALUE"""),9.0)</f>
        <v>9</v>
      </c>
      <c r="G275" s="38">
        <v>0.0</v>
      </c>
    </row>
    <row r="276">
      <c r="A276" s="38" t="str">
        <f>IFERROR(__xludf.DUMMYFUNCTION("""COMPUTED_VALUE"""),"9930")</f>
        <v>9930</v>
      </c>
      <c r="B276" s="38" t="str">
        <f>IFERROR(__xludf.DUMMYFUNCTION("""COMPUTED_VALUE"""),"M")</f>
        <v>M</v>
      </c>
      <c r="C276" s="38" t="str">
        <f>IFERROR(__xludf.DUMMYFUNCTION("""COMPUTED_VALUE"""),"XANH THAN")</f>
        <v>XANH THAN</v>
      </c>
      <c r="D276" s="38">
        <f>IFERROR(__xludf.DUMMYFUNCTION("""COMPUTED_VALUE"""),17.0)</f>
        <v>17</v>
      </c>
      <c r="G276" s="38">
        <v>0.0</v>
      </c>
    </row>
    <row r="277">
      <c r="A277" s="38" t="str">
        <f>IFERROR(__xludf.DUMMYFUNCTION("""COMPUTED_VALUE"""),"9930")</f>
        <v>9930</v>
      </c>
      <c r="B277" s="38" t="str">
        <f>IFERROR(__xludf.DUMMYFUNCTION("""COMPUTED_VALUE"""),"S")</f>
        <v>S</v>
      </c>
      <c r="C277" s="38" t="str">
        <f>IFERROR(__xludf.DUMMYFUNCTION("""COMPUTED_VALUE"""),"XANH THAN")</f>
        <v>XANH THAN</v>
      </c>
      <c r="D277" s="38">
        <f>IFERROR(__xludf.DUMMYFUNCTION("""COMPUTED_VALUE"""),22.0)</f>
        <v>22</v>
      </c>
      <c r="G277" s="38">
        <v>0.0</v>
      </c>
    </row>
    <row r="278">
      <c r="A278" s="38" t="str">
        <f>IFERROR(__xludf.DUMMYFUNCTION("""COMPUTED_VALUE"""),"AN01")</f>
        <v>AN01</v>
      </c>
      <c r="B278" s="38" t="str">
        <f>IFERROR(__xludf.DUMMYFUNCTION("""COMPUTED_VALUE"""),"2XL")</f>
        <v>2XL</v>
      </c>
      <c r="C278" s="38" t="str">
        <f>IFERROR(__xludf.DUMMYFUNCTION("""COMPUTED_VALUE"""),"HỒNG")</f>
        <v>HỒNG</v>
      </c>
      <c r="D278" s="38">
        <f>IFERROR(__xludf.DUMMYFUNCTION("""COMPUTED_VALUE"""),2.0)</f>
        <v>2</v>
      </c>
      <c r="G278" s="38">
        <v>0.0</v>
      </c>
    </row>
    <row r="279">
      <c r="A279" s="38" t="str">
        <f>IFERROR(__xludf.DUMMYFUNCTION("""COMPUTED_VALUE"""),"AN01")</f>
        <v>AN01</v>
      </c>
      <c r="B279" s="38" t="str">
        <f>IFERROR(__xludf.DUMMYFUNCTION("""COMPUTED_VALUE"""),"L")</f>
        <v>L</v>
      </c>
      <c r="C279" s="38" t="str">
        <f>IFERROR(__xludf.DUMMYFUNCTION("""COMPUTED_VALUE"""),"HỒNG")</f>
        <v>HỒNG</v>
      </c>
      <c r="D279" s="38">
        <f>IFERROR(__xludf.DUMMYFUNCTION("""COMPUTED_VALUE"""),2.0)</f>
        <v>2</v>
      </c>
      <c r="G279" s="38">
        <v>0.0</v>
      </c>
    </row>
    <row r="280">
      <c r="A280" s="38" t="str">
        <f>IFERROR(__xludf.DUMMYFUNCTION("""COMPUTED_VALUE"""),"AN01")</f>
        <v>AN01</v>
      </c>
      <c r="B280" s="38" t="str">
        <f>IFERROR(__xludf.DUMMYFUNCTION("""COMPUTED_VALUE"""),"L")</f>
        <v>L</v>
      </c>
      <c r="C280" s="38" t="str">
        <f>IFERROR(__xludf.DUMMYFUNCTION("""COMPUTED_VALUE"""),"TÍM")</f>
        <v>TÍM</v>
      </c>
      <c r="D280" s="38">
        <f>IFERROR(__xludf.DUMMYFUNCTION("""COMPUTED_VALUE"""),1.0)</f>
        <v>1</v>
      </c>
      <c r="G280" s="38">
        <v>0.0</v>
      </c>
    </row>
    <row r="281">
      <c r="A281" s="38" t="str">
        <f>IFERROR(__xludf.DUMMYFUNCTION("""COMPUTED_VALUE"""),"AN01")</f>
        <v>AN01</v>
      </c>
      <c r="B281" s="38" t="str">
        <f>IFERROR(__xludf.DUMMYFUNCTION("""COMPUTED_VALUE"""),"M")</f>
        <v>M</v>
      </c>
      <c r="C281" s="38" t="str">
        <f>IFERROR(__xludf.DUMMYFUNCTION("""COMPUTED_VALUE"""),"HỒNG")</f>
        <v>HỒNG</v>
      </c>
      <c r="D281" s="38">
        <f>IFERROR(__xludf.DUMMYFUNCTION("""COMPUTED_VALUE"""),13.0)</f>
        <v>13</v>
      </c>
      <c r="G281" s="38">
        <v>0.0</v>
      </c>
    </row>
    <row r="282">
      <c r="A282" s="38" t="str">
        <f>IFERROR(__xludf.DUMMYFUNCTION("""COMPUTED_VALUE"""),"AN01")</f>
        <v>AN01</v>
      </c>
      <c r="B282" s="38" t="str">
        <f>IFERROR(__xludf.DUMMYFUNCTION("""COMPUTED_VALUE"""),"XL")</f>
        <v>XL</v>
      </c>
      <c r="C282" s="38" t="str">
        <f>IFERROR(__xludf.DUMMYFUNCTION("""COMPUTED_VALUE"""),"TÍM")</f>
        <v>TÍM</v>
      </c>
      <c r="D282" s="38">
        <f>IFERROR(__xludf.DUMMYFUNCTION("""COMPUTED_VALUE"""),1.0)</f>
        <v>1</v>
      </c>
      <c r="G282" s="38">
        <v>0.0</v>
      </c>
    </row>
    <row r="283">
      <c r="A283" s="38" t="str">
        <f>IFERROR(__xludf.DUMMYFUNCTION("""COMPUTED_VALUE"""),"BRA1")</f>
        <v>BRA1</v>
      </c>
      <c r="B283" s="38" t="str">
        <f>IFERROR(__xludf.DUMMYFUNCTION("""COMPUTED_VALUE"""),"L")</f>
        <v>L</v>
      </c>
      <c r="C283" s="38" t="str">
        <f>IFERROR(__xludf.DUMMYFUNCTION("""COMPUTED_VALUE"""),"BE")</f>
        <v>BE</v>
      </c>
      <c r="D283" s="38">
        <f>IFERROR(__xludf.DUMMYFUNCTION("""COMPUTED_VALUE"""),18.0)</f>
        <v>18</v>
      </c>
      <c r="G283" s="38">
        <v>0.0</v>
      </c>
    </row>
    <row r="284">
      <c r="A284" s="38" t="str">
        <f>IFERROR(__xludf.DUMMYFUNCTION("""COMPUTED_VALUE"""),"BRA1")</f>
        <v>BRA1</v>
      </c>
      <c r="B284" s="38" t="str">
        <f>IFERROR(__xludf.DUMMYFUNCTION("""COMPUTED_VALUE"""),"L")</f>
        <v>L</v>
      </c>
      <c r="C284" s="38" t="str">
        <f>IFERROR(__xludf.DUMMYFUNCTION("""COMPUTED_VALUE"""),"TRẮNG")</f>
        <v>TRẮNG</v>
      </c>
      <c r="D284" s="38">
        <f>IFERROR(__xludf.DUMMYFUNCTION("""COMPUTED_VALUE"""),7.0)</f>
        <v>7</v>
      </c>
      <c r="G284" s="38">
        <v>0.0</v>
      </c>
    </row>
    <row r="285">
      <c r="A285" s="38" t="str">
        <f>IFERROR(__xludf.DUMMYFUNCTION("""COMPUTED_VALUE"""),"BRA1")</f>
        <v>BRA1</v>
      </c>
      <c r="B285" s="38" t="str">
        <f>IFERROR(__xludf.DUMMYFUNCTION("""COMPUTED_VALUE"""),"L")</f>
        <v>L</v>
      </c>
      <c r="C285" s="38" t="str">
        <f>IFERROR(__xludf.DUMMYFUNCTION("""COMPUTED_VALUE"""),"ĐEN")</f>
        <v>ĐEN</v>
      </c>
      <c r="D285" s="38">
        <f>IFERROR(__xludf.DUMMYFUNCTION("""COMPUTED_VALUE"""),6.0)</f>
        <v>6</v>
      </c>
      <c r="G285" s="38">
        <v>0.0</v>
      </c>
    </row>
    <row r="286">
      <c r="A286" s="38" t="str">
        <f>IFERROR(__xludf.DUMMYFUNCTION("""COMPUTED_VALUE"""),"BRA1")</f>
        <v>BRA1</v>
      </c>
      <c r="B286" s="38" t="str">
        <f>IFERROR(__xludf.DUMMYFUNCTION("""COMPUTED_VALUE"""),"M")</f>
        <v>M</v>
      </c>
      <c r="C286" s="38" t="str">
        <f>IFERROR(__xludf.DUMMYFUNCTION("""COMPUTED_VALUE"""),"BE")</f>
        <v>BE</v>
      </c>
      <c r="D286" s="38">
        <f>IFERROR(__xludf.DUMMYFUNCTION("""COMPUTED_VALUE"""),24.0)</f>
        <v>24</v>
      </c>
      <c r="G286" s="38">
        <v>0.0</v>
      </c>
    </row>
    <row r="287">
      <c r="A287" s="38" t="str">
        <f>IFERROR(__xludf.DUMMYFUNCTION("""COMPUTED_VALUE"""),"BRA1")</f>
        <v>BRA1</v>
      </c>
      <c r="B287" s="38" t="str">
        <f>IFERROR(__xludf.DUMMYFUNCTION("""COMPUTED_VALUE"""),"M")</f>
        <v>M</v>
      </c>
      <c r="C287" s="38" t="str">
        <f>IFERROR(__xludf.DUMMYFUNCTION("""COMPUTED_VALUE"""),"HỒNG")</f>
        <v>HỒNG</v>
      </c>
      <c r="D287" s="38">
        <f>IFERROR(__xludf.DUMMYFUNCTION("""COMPUTED_VALUE"""),1.0)</f>
        <v>1</v>
      </c>
      <c r="G287" s="38">
        <v>0.0</v>
      </c>
    </row>
    <row r="288">
      <c r="A288" s="38" t="str">
        <f>IFERROR(__xludf.DUMMYFUNCTION("""COMPUTED_VALUE"""),"BRA1")</f>
        <v>BRA1</v>
      </c>
      <c r="B288" s="38" t="str">
        <f>IFERROR(__xludf.DUMMYFUNCTION("""COMPUTED_VALUE"""),"M")</f>
        <v>M</v>
      </c>
      <c r="C288" s="38" t="str">
        <f>IFERROR(__xludf.DUMMYFUNCTION("""COMPUTED_VALUE"""),"TRẮNG")</f>
        <v>TRẮNG</v>
      </c>
      <c r="D288" s="38">
        <f>IFERROR(__xludf.DUMMYFUNCTION("""COMPUTED_VALUE"""),3.0)</f>
        <v>3</v>
      </c>
      <c r="G288" s="38">
        <v>0.0</v>
      </c>
    </row>
    <row r="289">
      <c r="A289" s="38" t="str">
        <f>IFERROR(__xludf.DUMMYFUNCTION("""COMPUTED_VALUE"""),"BRA1")</f>
        <v>BRA1</v>
      </c>
      <c r="B289" s="38" t="str">
        <f>IFERROR(__xludf.DUMMYFUNCTION("""COMPUTED_VALUE"""),"M")</f>
        <v>M</v>
      </c>
      <c r="C289" s="38" t="str">
        <f>IFERROR(__xludf.DUMMYFUNCTION("""COMPUTED_VALUE"""),"ĐEN")</f>
        <v>ĐEN</v>
      </c>
      <c r="D289" s="38">
        <f>IFERROR(__xludf.DUMMYFUNCTION("""COMPUTED_VALUE"""),6.0)</f>
        <v>6</v>
      </c>
      <c r="G289" s="38">
        <v>0.0</v>
      </c>
    </row>
    <row r="290">
      <c r="A290" s="38" t="str">
        <f>IFERROR(__xludf.DUMMYFUNCTION("""COMPUTED_VALUE"""),"BRA1")</f>
        <v>BRA1</v>
      </c>
      <c r="B290" s="38" t="str">
        <f>IFERROR(__xludf.DUMMYFUNCTION("""COMPUTED_VALUE"""),"S")</f>
        <v>S</v>
      </c>
      <c r="C290" s="38" t="str">
        <f>IFERROR(__xludf.DUMMYFUNCTION("""COMPUTED_VALUE"""),"BE")</f>
        <v>BE</v>
      </c>
      <c r="D290" s="38">
        <f>IFERROR(__xludf.DUMMYFUNCTION("""COMPUTED_VALUE"""),7.0)</f>
        <v>7</v>
      </c>
      <c r="G290" s="38">
        <v>0.0</v>
      </c>
    </row>
    <row r="291">
      <c r="A291" s="38" t="str">
        <f>IFERROR(__xludf.DUMMYFUNCTION("""COMPUTED_VALUE"""),"BRA1")</f>
        <v>BRA1</v>
      </c>
      <c r="B291" s="38" t="str">
        <f>IFERROR(__xludf.DUMMYFUNCTION("""COMPUTED_VALUE"""),"S")</f>
        <v>S</v>
      </c>
      <c r="C291" s="38" t="str">
        <f>IFERROR(__xludf.DUMMYFUNCTION("""COMPUTED_VALUE"""),"TRẮNG")</f>
        <v>TRẮNG</v>
      </c>
      <c r="D291" s="38">
        <f>IFERROR(__xludf.DUMMYFUNCTION("""COMPUTED_VALUE"""),3.0)</f>
        <v>3</v>
      </c>
      <c r="G291" s="38">
        <v>0.0</v>
      </c>
    </row>
    <row r="292">
      <c r="A292" s="38" t="str">
        <f>IFERROR(__xludf.DUMMYFUNCTION("""COMPUTED_VALUE"""),"BRA1")</f>
        <v>BRA1</v>
      </c>
      <c r="B292" s="38" t="str">
        <f>IFERROR(__xludf.DUMMYFUNCTION("""COMPUTED_VALUE"""),"XL")</f>
        <v>XL</v>
      </c>
      <c r="C292" s="38" t="str">
        <f>IFERROR(__xludf.DUMMYFUNCTION("""COMPUTED_VALUE"""),"BE")</f>
        <v>BE</v>
      </c>
      <c r="D292" s="38">
        <f>IFERROR(__xludf.DUMMYFUNCTION("""COMPUTED_VALUE"""),2.0)</f>
        <v>2</v>
      </c>
      <c r="G292" s="38">
        <v>0.0</v>
      </c>
    </row>
    <row r="293">
      <c r="A293" s="38" t="str">
        <f>IFERROR(__xludf.DUMMYFUNCTION("""COMPUTED_VALUE"""),"BRA10")</f>
        <v>BRA10</v>
      </c>
      <c r="B293" s="38" t="str">
        <f>IFERROR(__xludf.DUMMYFUNCTION("""COMPUTED_VALUE"""),"L")</f>
        <v>L</v>
      </c>
      <c r="C293" s="38"/>
      <c r="D293" s="38">
        <f>IFERROR(__xludf.DUMMYFUNCTION("""COMPUTED_VALUE"""),1.0)</f>
        <v>1</v>
      </c>
      <c r="G293" s="38">
        <v>0.0</v>
      </c>
    </row>
    <row r="294">
      <c r="A294" s="38" t="str">
        <f>IFERROR(__xludf.DUMMYFUNCTION("""COMPUTED_VALUE"""),"BRA10")</f>
        <v>BRA10</v>
      </c>
      <c r="B294" s="38" t="str">
        <f>IFERROR(__xludf.DUMMYFUNCTION("""COMPUTED_VALUE"""),"M")</f>
        <v>M</v>
      </c>
      <c r="C294" s="38"/>
      <c r="D294" s="38">
        <f>IFERROR(__xludf.DUMMYFUNCTION("""COMPUTED_VALUE"""),1.0)</f>
        <v>1</v>
      </c>
      <c r="G294" s="38">
        <v>0.0</v>
      </c>
    </row>
    <row r="295">
      <c r="A295" s="38" t="str">
        <f>IFERROR(__xludf.DUMMYFUNCTION("""COMPUTED_VALUE"""),"BRA10")</f>
        <v>BRA10</v>
      </c>
      <c r="B295" s="38" t="str">
        <f>IFERROR(__xludf.DUMMYFUNCTION("""COMPUTED_VALUE"""),"M")</f>
        <v>M</v>
      </c>
      <c r="C295" s="38" t="str">
        <f>IFERROR(__xludf.DUMMYFUNCTION("""COMPUTED_VALUE"""),"BE")</f>
        <v>BE</v>
      </c>
      <c r="D295" s="38">
        <f>IFERROR(__xludf.DUMMYFUNCTION("""COMPUTED_VALUE"""),1.0)</f>
        <v>1</v>
      </c>
      <c r="G295" s="38">
        <v>0.0</v>
      </c>
    </row>
    <row r="296">
      <c r="A296" s="38" t="str">
        <f>IFERROR(__xludf.DUMMYFUNCTION("""COMPUTED_VALUE"""),"BRA2")</f>
        <v>BRA2</v>
      </c>
      <c r="B296" s="38" t="str">
        <f>IFERROR(__xludf.DUMMYFUNCTION("""COMPUTED_VALUE"""),"L")</f>
        <v>L</v>
      </c>
      <c r="C296" s="38" t="str">
        <f>IFERROR(__xludf.DUMMYFUNCTION("""COMPUTED_VALUE"""),"BE")</f>
        <v>BE</v>
      </c>
      <c r="D296" s="38">
        <f>IFERROR(__xludf.DUMMYFUNCTION("""COMPUTED_VALUE"""),11.0)</f>
        <v>11</v>
      </c>
      <c r="G296" s="38">
        <v>0.0</v>
      </c>
    </row>
    <row r="297">
      <c r="A297" s="38" t="str">
        <f>IFERROR(__xludf.DUMMYFUNCTION("""COMPUTED_VALUE"""),"BRA2")</f>
        <v>BRA2</v>
      </c>
      <c r="B297" s="38" t="str">
        <f>IFERROR(__xludf.DUMMYFUNCTION("""COMPUTED_VALUE"""),"L")</f>
        <v>L</v>
      </c>
      <c r="C297" s="38" t="str">
        <f>IFERROR(__xludf.DUMMYFUNCTION("""COMPUTED_VALUE"""),"TRẮNG")</f>
        <v>TRẮNG</v>
      </c>
      <c r="D297" s="38">
        <f>IFERROR(__xludf.DUMMYFUNCTION("""COMPUTED_VALUE"""),4.0)</f>
        <v>4</v>
      </c>
      <c r="G297" s="38">
        <v>0.0</v>
      </c>
    </row>
    <row r="298">
      <c r="A298" s="38" t="str">
        <f>IFERROR(__xludf.DUMMYFUNCTION("""COMPUTED_VALUE"""),"BRA2")</f>
        <v>BRA2</v>
      </c>
      <c r="B298" s="38" t="str">
        <f>IFERROR(__xludf.DUMMYFUNCTION("""COMPUTED_VALUE"""),"L")</f>
        <v>L</v>
      </c>
      <c r="C298" s="38" t="str">
        <f>IFERROR(__xludf.DUMMYFUNCTION("""COMPUTED_VALUE"""),"ĐEN")</f>
        <v>ĐEN</v>
      </c>
      <c r="D298" s="38">
        <f>IFERROR(__xludf.DUMMYFUNCTION("""COMPUTED_VALUE"""),4.0)</f>
        <v>4</v>
      </c>
      <c r="G298" s="38">
        <v>0.0</v>
      </c>
    </row>
    <row r="299">
      <c r="A299" s="38" t="str">
        <f>IFERROR(__xludf.DUMMYFUNCTION("""COMPUTED_VALUE"""),"BRA2")</f>
        <v>BRA2</v>
      </c>
      <c r="B299" s="38" t="str">
        <f>IFERROR(__xludf.DUMMYFUNCTION("""COMPUTED_VALUE"""),"M")</f>
        <v>M</v>
      </c>
      <c r="C299" s="38" t="str">
        <f>IFERROR(__xludf.DUMMYFUNCTION("""COMPUTED_VALUE"""),"BE")</f>
        <v>BE</v>
      </c>
      <c r="D299" s="38">
        <f>IFERROR(__xludf.DUMMYFUNCTION("""COMPUTED_VALUE"""),12.0)</f>
        <v>12</v>
      </c>
      <c r="G299" s="38">
        <v>0.0</v>
      </c>
    </row>
    <row r="300">
      <c r="A300" s="38" t="str">
        <f>IFERROR(__xludf.DUMMYFUNCTION("""COMPUTED_VALUE"""),"BRA2")</f>
        <v>BRA2</v>
      </c>
      <c r="B300" s="38" t="str">
        <f>IFERROR(__xludf.DUMMYFUNCTION("""COMPUTED_VALUE"""),"M")</f>
        <v>M</v>
      </c>
      <c r="C300" s="38" t="str">
        <f>IFERROR(__xludf.DUMMYFUNCTION("""COMPUTED_VALUE"""),"TRẮNG")</f>
        <v>TRẮNG</v>
      </c>
      <c r="D300" s="38">
        <f>IFERROR(__xludf.DUMMYFUNCTION("""COMPUTED_VALUE"""),9.0)</f>
        <v>9</v>
      </c>
      <c r="G300" s="38">
        <v>0.0</v>
      </c>
    </row>
    <row r="301">
      <c r="A301" s="38" t="str">
        <f>IFERROR(__xludf.DUMMYFUNCTION("""COMPUTED_VALUE"""),"BRA2")</f>
        <v>BRA2</v>
      </c>
      <c r="B301" s="38" t="str">
        <f>IFERROR(__xludf.DUMMYFUNCTION("""COMPUTED_VALUE"""),"M")</f>
        <v>M</v>
      </c>
      <c r="C301" s="38" t="str">
        <f>IFERROR(__xludf.DUMMYFUNCTION("""COMPUTED_VALUE"""),"ĐEN")</f>
        <v>ĐEN</v>
      </c>
      <c r="D301" s="38">
        <f>IFERROR(__xludf.DUMMYFUNCTION("""COMPUTED_VALUE"""),2.0)</f>
        <v>2</v>
      </c>
      <c r="G301" s="38">
        <v>0.0</v>
      </c>
    </row>
    <row r="302">
      <c r="A302" s="38" t="str">
        <f>IFERROR(__xludf.DUMMYFUNCTION("""COMPUTED_VALUE"""),"BRA2")</f>
        <v>BRA2</v>
      </c>
      <c r="B302" s="38" t="str">
        <f>IFERROR(__xludf.DUMMYFUNCTION("""COMPUTED_VALUE"""),"S")</f>
        <v>S</v>
      </c>
      <c r="C302" s="38" t="str">
        <f>IFERROR(__xludf.DUMMYFUNCTION("""COMPUTED_VALUE"""),"TRẮNG")</f>
        <v>TRẮNG</v>
      </c>
      <c r="D302" s="38">
        <f>IFERROR(__xludf.DUMMYFUNCTION("""COMPUTED_VALUE"""),1.0)</f>
        <v>1</v>
      </c>
      <c r="G302" s="38">
        <v>0.0</v>
      </c>
    </row>
    <row r="303">
      <c r="A303" s="38" t="str">
        <f>IFERROR(__xludf.DUMMYFUNCTION("""COMPUTED_VALUE"""),"BRA2")</f>
        <v>BRA2</v>
      </c>
      <c r="B303" s="38" t="str">
        <f>IFERROR(__xludf.DUMMYFUNCTION("""COMPUTED_VALUE"""),"XL")</f>
        <v>XL</v>
      </c>
      <c r="C303" s="38" t="str">
        <f>IFERROR(__xludf.DUMMYFUNCTION("""COMPUTED_VALUE"""),"BE")</f>
        <v>BE</v>
      </c>
      <c r="D303" s="38">
        <f>IFERROR(__xludf.DUMMYFUNCTION("""COMPUTED_VALUE"""),3.0)</f>
        <v>3</v>
      </c>
      <c r="G303" s="38">
        <v>0.0</v>
      </c>
    </row>
    <row r="304">
      <c r="A304" s="38" t="str">
        <f>IFERROR(__xludf.DUMMYFUNCTION("""COMPUTED_VALUE"""),"BRA2")</f>
        <v>BRA2</v>
      </c>
      <c r="B304" s="38" t="str">
        <f>IFERROR(__xludf.DUMMYFUNCTION("""COMPUTED_VALUE"""),"XL")</f>
        <v>XL</v>
      </c>
      <c r="C304" s="38" t="str">
        <f>IFERROR(__xludf.DUMMYFUNCTION("""COMPUTED_VALUE"""),"ĐEN")</f>
        <v>ĐEN</v>
      </c>
      <c r="D304" s="38">
        <f>IFERROR(__xludf.DUMMYFUNCTION("""COMPUTED_VALUE"""),1.0)</f>
        <v>1</v>
      </c>
      <c r="G304" s="38">
        <v>0.0</v>
      </c>
    </row>
    <row r="305">
      <c r="A305" s="38" t="str">
        <f>IFERROR(__xludf.DUMMYFUNCTION("""COMPUTED_VALUE"""),"BRA3")</f>
        <v>BRA3</v>
      </c>
      <c r="B305" s="38" t="str">
        <f>IFERROR(__xludf.DUMMYFUNCTION("""COMPUTED_VALUE"""),"L")</f>
        <v>L</v>
      </c>
      <c r="C305" s="38" t="str">
        <f>IFERROR(__xludf.DUMMYFUNCTION("""COMPUTED_VALUE"""),"BE")</f>
        <v>BE</v>
      </c>
      <c r="D305" s="38">
        <f>IFERROR(__xludf.DUMMYFUNCTION("""COMPUTED_VALUE"""),15.0)</f>
        <v>15</v>
      </c>
      <c r="G305" s="38">
        <v>0.0</v>
      </c>
    </row>
    <row r="306">
      <c r="A306" s="38" t="str">
        <f>IFERROR(__xludf.DUMMYFUNCTION("""COMPUTED_VALUE"""),"BRA3")</f>
        <v>BRA3</v>
      </c>
      <c r="B306" s="38" t="str">
        <f>IFERROR(__xludf.DUMMYFUNCTION("""COMPUTED_VALUE"""),"L")</f>
        <v>L</v>
      </c>
      <c r="C306" s="38" t="str">
        <f>IFERROR(__xludf.DUMMYFUNCTION("""COMPUTED_VALUE"""),"TRẮNG")</f>
        <v>TRẮNG</v>
      </c>
      <c r="D306" s="38">
        <f>IFERROR(__xludf.DUMMYFUNCTION("""COMPUTED_VALUE"""),2.0)</f>
        <v>2</v>
      </c>
      <c r="G306" s="38">
        <v>0.0</v>
      </c>
    </row>
    <row r="307">
      <c r="A307" s="38" t="str">
        <f>IFERROR(__xludf.DUMMYFUNCTION("""COMPUTED_VALUE"""),"BRA3")</f>
        <v>BRA3</v>
      </c>
      <c r="B307" s="38" t="str">
        <f>IFERROR(__xludf.DUMMYFUNCTION("""COMPUTED_VALUE"""),"L")</f>
        <v>L</v>
      </c>
      <c r="C307" s="38" t="str">
        <f>IFERROR(__xludf.DUMMYFUNCTION("""COMPUTED_VALUE"""),"XÁM")</f>
        <v>XÁM</v>
      </c>
      <c r="D307" s="38">
        <f>IFERROR(__xludf.DUMMYFUNCTION("""COMPUTED_VALUE"""),2.0)</f>
        <v>2</v>
      </c>
      <c r="G307" s="38">
        <v>0.0</v>
      </c>
    </row>
    <row r="308">
      <c r="A308" s="38" t="str">
        <f>IFERROR(__xludf.DUMMYFUNCTION("""COMPUTED_VALUE"""),"BRA3")</f>
        <v>BRA3</v>
      </c>
      <c r="B308" s="38" t="str">
        <f>IFERROR(__xludf.DUMMYFUNCTION("""COMPUTED_VALUE"""),"L")</f>
        <v>L</v>
      </c>
      <c r="C308" s="38" t="str">
        <f>IFERROR(__xludf.DUMMYFUNCTION("""COMPUTED_VALUE"""),"ĐEN")</f>
        <v>ĐEN</v>
      </c>
      <c r="D308" s="38">
        <f>IFERROR(__xludf.DUMMYFUNCTION("""COMPUTED_VALUE"""),10.0)</f>
        <v>10</v>
      </c>
      <c r="G308" s="38">
        <v>0.0</v>
      </c>
    </row>
    <row r="309">
      <c r="A309" s="38" t="str">
        <f>IFERROR(__xludf.DUMMYFUNCTION("""COMPUTED_VALUE"""),"BRA3")</f>
        <v>BRA3</v>
      </c>
      <c r="B309" s="38" t="str">
        <f>IFERROR(__xludf.DUMMYFUNCTION("""COMPUTED_VALUE"""),"L")</f>
        <v>L</v>
      </c>
      <c r="C309" s="38" t="str">
        <f>IFERROR(__xludf.DUMMYFUNCTION("""COMPUTED_VALUE"""),"ĐỎ")</f>
        <v>ĐỎ</v>
      </c>
      <c r="D309" s="38">
        <f>IFERROR(__xludf.DUMMYFUNCTION("""COMPUTED_VALUE"""),1.0)</f>
        <v>1</v>
      </c>
      <c r="G309" s="38">
        <v>0.0</v>
      </c>
    </row>
    <row r="310">
      <c r="A310" s="38" t="str">
        <f>IFERROR(__xludf.DUMMYFUNCTION("""COMPUTED_VALUE"""),"BRA3")</f>
        <v>BRA3</v>
      </c>
      <c r="B310" s="38" t="str">
        <f>IFERROR(__xludf.DUMMYFUNCTION("""COMPUTED_VALUE"""),"M")</f>
        <v>M</v>
      </c>
      <c r="C310" s="38" t="str">
        <f>IFERROR(__xludf.DUMMYFUNCTION("""COMPUTED_VALUE"""),"BE")</f>
        <v>BE</v>
      </c>
      <c r="D310" s="38">
        <f>IFERROR(__xludf.DUMMYFUNCTION("""COMPUTED_VALUE"""),4.0)</f>
        <v>4</v>
      </c>
      <c r="G310" s="38">
        <v>0.0</v>
      </c>
    </row>
    <row r="311">
      <c r="A311" s="38" t="str">
        <f>IFERROR(__xludf.DUMMYFUNCTION("""COMPUTED_VALUE"""),"BRA3")</f>
        <v>BRA3</v>
      </c>
      <c r="B311" s="38" t="str">
        <f>IFERROR(__xludf.DUMMYFUNCTION("""COMPUTED_VALUE"""),"M")</f>
        <v>M</v>
      </c>
      <c r="C311" s="38" t="str">
        <f>IFERROR(__xludf.DUMMYFUNCTION("""COMPUTED_VALUE"""),"TRẮNG")</f>
        <v>TRẮNG</v>
      </c>
      <c r="D311" s="38">
        <f>IFERROR(__xludf.DUMMYFUNCTION("""COMPUTED_VALUE"""),5.0)</f>
        <v>5</v>
      </c>
      <c r="G311" s="38">
        <v>0.0</v>
      </c>
    </row>
    <row r="312">
      <c r="A312" s="38" t="str">
        <f>IFERROR(__xludf.DUMMYFUNCTION("""COMPUTED_VALUE"""),"BRA3")</f>
        <v>BRA3</v>
      </c>
      <c r="B312" s="38" t="str">
        <f>IFERROR(__xludf.DUMMYFUNCTION("""COMPUTED_VALUE"""),"M")</f>
        <v>M</v>
      </c>
      <c r="C312" s="38" t="str">
        <f>IFERROR(__xludf.DUMMYFUNCTION("""COMPUTED_VALUE"""),"XÁM")</f>
        <v>XÁM</v>
      </c>
      <c r="D312" s="38">
        <f>IFERROR(__xludf.DUMMYFUNCTION("""COMPUTED_VALUE"""),1.0)</f>
        <v>1</v>
      </c>
      <c r="G312" s="38">
        <v>0.0</v>
      </c>
    </row>
    <row r="313">
      <c r="A313" s="38" t="str">
        <f>IFERROR(__xludf.DUMMYFUNCTION("""COMPUTED_VALUE"""),"BRA3")</f>
        <v>BRA3</v>
      </c>
      <c r="B313" s="38" t="str">
        <f>IFERROR(__xludf.DUMMYFUNCTION("""COMPUTED_VALUE"""),"S")</f>
        <v>S</v>
      </c>
      <c r="C313" s="38" t="str">
        <f>IFERROR(__xludf.DUMMYFUNCTION("""COMPUTED_VALUE"""),"BE")</f>
        <v>BE</v>
      </c>
      <c r="D313" s="38">
        <f>IFERROR(__xludf.DUMMYFUNCTION("""COMPUTED_VALUE"""),4.0)</f>
        <v>4</v>
      </c>
      <c r="G313" s="38">
        <v>0.0</v>
      </c>
    </row>
    <row r="314">
      <c r="A314" s="38" t="str">
        <f>IFERROR(__xludf.DUMMYFUNCTION("""COMPUTED_VALUE"""),"BRA3")</f>
        <v>BRA3</v>
      </c>
      <c r="B314" s="38" t="str">
        <f>IFERROR(__xludf.DUMMYFUNCTION("""COMPUTED_VALUE"""),"S")</f>
        <v>S</v>
      </c>
      <c r="C314" s="38" t="str">
        <f>IFERROR(__xludf.DUMMYFUNCTION("""COMPUTED_VALUE"""),"TRẮNG")</f>
        <v>TRẮNG</v>
      </c>
      <c r="D314" s="38">
        <f>IFERROR(__xludf.DUMMYFUNCTION("""COMPUTED_VALUE"""),2.0)</f>
        <v>2</v>
      </c>
      <c r="G314" s="38">
        <v>0.0</v>
      </c>
    </row>
    <row r="315">
      <c r="A315" s="38" t="str">
        <f>IFERROR(__xludf.DUMMYFUNCTION("""COMPUTED_VALUE"""),"BRA3")</f>
        <v>BRA3</v>
      </c>
      <c r="B315" s="38" t="str">
        <f>IFERROR(__xludf.DUMMYFUNCTION("""COMPUTED_VALUE"""),"S")</f>
        <v>S</v>
      </c>
      <c r="C315" s="38" t="str">
        <f>IFERROR(__xludf.DUMMYFUNCTION("""COMPUTED_VALUE"""),"ĐEN")</f>
        <v>ĐEN</v>
      </c>
      <c r="D315" s="38">
        <f>IFERROR(__xludf.DUMMYFUNCTION("""COMPUTED_VALUE"""),1.0)</f>
        <v>1</v>
      </c>
      <c r="G315" s="38">
        <v>0.0</v>
      </c>
    </row>
    <row r="316">
      <c r="A316" s="38" t="str">
        <f>IFERROR(__xludf.DUMMYFUNCTION("""COMPUTED_VALUE"""),"BRA4")</f>
        <v>BRA4</v>
      </c>
      <c r="B316" s="38" t="str">
        <f>IFERROR(__xludf.DUMMYFUNCTION("""COMPUTED_VALUE"""),"M")</f>
        <v>M</v>
      </c>
      <c r="C316" s="38"/>
      <c r="D316" s="38">
        <f>IFERROR(__xludf.DUMMYFUNCTION("""COMPUTED_VALUE"""),1.0)</f>
        <v>1</v>
      </c>
      <c r="G316" s="38">
        <v>0.0</v>
      </c>
    </row>
    <row r="317">
      <c r="A317" s="38" t="str">
        <f>IFERROR(__xludf.DUMMYFUNCTION("""COMPUTED_VALUE"""),"Bra1")</f>
        <v>Bra1</v>
      </c>
      <c r="B317" s="38" t="str">
        <f>IFERROR(__xludf.DUMMYFUNCTION("""COMPUTED_VALUE"""),"M")</f>
        <v>M</v>
      </c>
      <c r="C317" s="38" t="str">
        <f>IFERROR(__xludf.DUMMYFUNCTION("""COMPUTED_VALUE"""),"BE")</f>
        <v>BE</v>
      </c>
      <c r="D317" s="38">
        <f>IFERROR(__xludf.DUMMYFUNCTION("""COMPUTED_VALUE"""),1.0)</f>
        <v>1</v>
      </c>
      <c r="G317" s="38">
        <v>0.0</v>
      </c>
    </row>
    <row r="318">
      <c r="A318" s="38" t="str">
        <f>IFERROR(__xludf.DUMMYFUNCTION("""COMPUTED_VALUE"""),"CHIP1")</f>
        <v>CHIP1</v>
      </c>
      <c r="B318" s="38" t="str">
        <f>IFERROR(__xludf.DUMMYFUNCTION("""COMPUTED_VALUE"""),"L")</f>
        <v>L</v>
      </c>
      <c r="C318" s="38"/>
      <c r="D318" s="38">
        <f>IFERROR(__xludf.DUMMYFUNCTION("""COMPUTED_VALUE"""),1.0)</f>
        <v>1</v>
      </c>
      <c r="G318" s="38">
        <v>0.0</v>
      </c>
    </row>
    <row r="319">
      <c r="A319" s="38" t="str">
        <f>IFERROR(__xludf.DUMMYFUNCTION("""COMPUTED_VALUE"""),"CHIP1")</f>
        <v>CHIP1</v>
      </c>
      <c r="B319" s="38" t="str">
        <f>IFERROR(__xludf.DUMMYFUNCTION("""COMPUTED_VALUE"""),"M")</f>
        <v>M</v>
      </c>
      <c r="C319" s="38"/>
      <c r="D319" s="38">
        <f>IFERROR(__xludf.DUMMYFUNCTION("""COMPUTED_VALUE"""),1.0)</f>
        <v>1</v>
      </c>
      <c r="G319" s="38">
        <v>0.0</v>
      </c>
    </row>
    <row r="320">
      <c r="A320" s="38" t="str">
        <f>IFERROR(__xludf.DUMMYFUNCTION("""COMPUTED_VALUE"""),"CK98118")</f>
        <v>CK98118</v>
      </c>
      <c r="B320" s="38" t="str">
        <f>IFERROR(__xludf.DUMMYFUNCTION("""COMPUTED_VALUE"""),"2XL")</f>
        <v>2XL</v>
      </c>
      <c r="C320" s="38" t="str">
        <f>IFERROR(__xludf.DUMMYFUNCTION("""COMPUTED_VALUE"""),"ĐEN")</f>
        <v>ĐEN</v>
      </c>
      <c r="D320" s="38">
        <f>IFERROR(__xludf.DUMMYFUNCTION("""COMPUTED_VALUE"""),1.0)</f>
        <v>1</v>
      </c>
      <c r="G320" s="38">
        <v>0.0</v>
      </c>
    </row>
    <row r="321">
      <c r="A321" s="38" t="str">
        <f>IFERROR(__xludf.DUMMYFUNCTION("""COMPUTED_VALUE"""),"CK98118")</f>
        <v>CK98118</v>
      </c>
      <c r="B321" s="38" t="str">
        <f>IFERROR(__xludf.DUMMYFUNCTION("""COMPUTED_VALUE"""),"L")</f>
        <v>L</v>
      </c>
      <c r="C321" s="38" t="str">
        <f>IFERROR(__xludf.DUMMYFUNCTION("""COMPUTED_VALUE"""),"ĐEN")</f>
        <v>ĐEN</v>
      </c>
      <c r="D321" s="38">
        <f>IFERROR(__xludf.DUMMYFUNCTION("""COMPUTED_VALUE"""),5.0)</f>
        <v>5</v>
      </c>
      <c r="G321" s="38">
        <v>0.0</v>
      </c>
    </row>
    <row r="322">
      <c r="A322" s="38" t="str">
        <f>IFERROR(__xludf.DUMMYFUNCTION("""COMPUTED_VALUE"""),"CK98118")</f>
        <v>CK98118</v>
      </c>
      <c r="B322" s="38" t="str">
        <f>IFERROR(__xludf.DUMMYFUNCTION("""COMPUTED_VALUE"""),"M")</f>
        <v>M</v>
      </c>
      <c r="C322" s="38" t="str">
        <f>IFERROR(__xludf.DUMMYFUNCTION("""COMPUTED_VALUE"""),"ĐEN")</f>
        <v>ĐEN</v>
      </c>
      <c r="D322" s="38">
        <f>IFERROR(__xludf.DUMMYFUNCTION("""COMPUTED_VALUE"""),31.0)</f>
        <v>31</v>
      </c>
      <c r="G322" s="38">
        <v>0.0</v>
      </c>
    </row>
    <row r="323">
      <c r="A323" s="38" t="str">
        <f>IFERROR(__xludf.DUMMYFUNCTION("""COMPUTED_VALUE"""),"CK98118")</f>
        <v>CK98118</v>
      </c>
      <c r="B323" s="38" t="str">
        <f>IFERROR(__xludf.DUMMYFUNCTION("""COMPUTED_VALUE"""),"S")</f>
        <v>S</v>
      </c>
      <c r="C323" s="38" t="str">
        <f>IFERROR(__xludf.DUMMYFUNCTION("""COMPUTED_VALUE"""),"ĐEN")</f>
        <v>ĐEN</v>
      </c>
      <c r="D323" s="38">
        <f>IFERROR(__xludf.DUMMYFUNCTION("""COMPUTED_VALUE"""),23.0)</f>
        <v>23</v>
      </c>
      <c r="G323" s="38">
        <v>0.0</v>
      </c>
    </row>
    <row r="324">
      <c r="A324" s="38" t="str">
        <f>IFERROR(__xludf.DUMMYFUNCTION("""COMPUTED_VALUE"""),"CK98118")</f>
        <v>CK98118</v>
      </c>
      <c r="B324" s="38" t="str">
        <f>IFERROR(__xludf.DUMMYFUNCTION("""COMPUTED_VALUE"""),"XL")</f>
        <v>XL</v>
      </c>
      <c r="C324" s="38"/>
      <c r="D324" s="38">
        <f>IFERROR(__xludf.DUMMYFUNCTION("""COMPUTED_VALUE"""),1.0)</f>
        <v>1</v>
      </c>
      <c r="G324" s="38">
        <v>0.0</v>
      </c>
    </row>
    <row r="325">
      <c r="A325" s="38" t="str">
        <f>IFERROR(__xludf.DUMMYFUNCTION("""COMPUTED_VALUE"""),"CK98118")</f>
        <v>CK98118</v>
      </c>
      <c r="B325" s="38" t="str">
        <f>IFERROR(__xludf.DUMMYFUNCTION("""COMPUTED_VALUE"""),"XL")</f>
        <v>XL</v>
      </c>
      <c r="C325" s="38" t="str">
        <f>IFERROR(__xludf.DUMMYFUNCTION("""COMPUTED_VALUE"""),"ĐEN")</f>
        <v>ĐEN</v>
      </c>
      <c r="D325" s="38">
        <f>IFERROR(__xludf.DUMMYFUNCTION("""COMPUTED_VALUE"""),3.0)</f>
        <v>3</v>
      </c>
      <c r="G325" s="38">
        <v>0.0</v>
      </c>
    </row>
    <row r="326">
      <c r="A326" s="38" t="str">
        <f>IFERROR(__xludf.DUMMYFUNCTION("""COMPUTED_VALUE"""),"Ck98118")</f>
        <v>Ck98118</v>
      </c>
      <c r="B326" s="38" t="str">
        <f>IFERROR(__xludf.DUMMYFUNCTION("""COMPUTED_VALUE"""),"2XL")</f>
        <v>2XL</v>
      </c>
      <c r="C326" s="38" t="str">
        <f>IFERROR(__xludf.DUMMYFUNCTION("""COMPUTED_VALUE"""),"ĐEN")</f>
        <v>ĐEN</v>
      </c>
      <c r="D326" s="38">
        <f>IFERROR(__xludf.DUMMYFUNCTION("""COMPUTED_VALUE"""),1.0)</f>
        <v>1</v>
      </c>
      <c r="G326" s="38">
        <v>0.0</v>
      </c>
    </row>
    <row r="327">
      <c r="A327" s="38" t="str">
        <f>IFERROR(__xludf.DUMMYFUNCTION("""COMPUTED_VALUE"""),"Ck98118")</f>
        <v>Ck98118</v>
      </c>
      <c r="B327" s="38" t="str">
        <f>IFERROR(__xludf.DUMMYFUNCTION("""COMPUTED_VALUE"""),"S")</f>
        <v>S</v>
      </c>
      <c r="C327" s="38" t="str">
        <f>IFERROR(__xludf.DUMMYFUNCTION("""COMPUTED_VALUE"""),"ĐEN")</f>
        <v>ĐEN</v>
      </c>
      <c r="D327" s="38">
        <f>IFERROR(__xludf.DUMMYFUNCTION("""COMPUTED_VALUE"""),7.0)</f>
        <v>7</v>
      </c>
      <c r="G327" s="38">
        <v>0.0</v>
      </c>
    </row>
    <row r="328">
      <c r="A328" s="38" t="str">
        <f>IFERROR(__xludf.DUMMYFUNCTION("""COMPUTED_VALUE"""),"DEP1")</f>
        <v>DEP1</v>
      </c>
      <c r="B328" s="38" t="str">
        <f>IFERROR(__xludf.DUMMYFUNCTION("""COMPUTED_VALUE"""),"35")</f>
        <v>35</v>
      </c>
      <c r="C328" s="38" t="str">
        <f>IFERROR(__xludf.DUMMYFUNCTION("""COMPUTED_VALUE"""),"TRẮNG")</f>
        <v>TRẮNG</v>
      </c>
      <c r="D328" s="38">
        <f>IFERROR(__xludf.DUMMYFUNCTION("""COMPUTED_VALUE"""),1.0)</f>
        <v>1</v>
      </c>
      <c r="G328" s="38">
        <v>0.0</v>
      </c>
    </row>
    <row r="329">
      <c r="A329" s="38" t="str">
        <f>IFERROR(__xludf.DUMMYFUNCTION("""COMPUTED_VALUE"""),"DEP1")</f>
        <v>DEP1</v>
      </c>
      <c r="B329" s="38" t="str">
        <f>IFERROR(__xludf.DUMMYFUNCTION("""COMPUTED_VALUE"""),"35")</f>
        <v>35</v>
      </c>
      <c r="C329" s="38" t="str">
        <f>IFERROR(__xludf.DUMMYFUNCTION("""COMPUTED_VALUE"""),"ĐEN")</f>
        <v>ĐEN</v>
      </c>
      <c r="D329" s="38">
        <f>IFERROR(__xludf.DUMMYFUNCTION("""COMPUTED_VALUE"""),1.0)</f>
        <v>1</v>
      </c>
      <c r="G329" s="38">
        <v>0.0</v>
      </c>
    </row>
    <row r="330">
      <c r="A330" s="38" t="str">
        <f>IFERROR(__xludf.DUMMYFUNCTION("""COMPUTED_VALUE"""),"DEP1")</f>
        <v>DEP1</v>
      </c>
      <c r="B330" s="38" t="str">
        <f>IFERROR(__xludf.DUMMYFUNCTION("""COMPUTED_VALUE"""),"36")</f>
        <v>36</v>
      </c>
      <c r="C330" s="38" t="str">
        <f>IFERROR(__xludf.DUMMYFUNCTION("""COMPUTED_VALUE"""),"TRẮNG")</f>
        <v>TRẮNG</v>
      </c>
      <c r="D330" s="38">
        <f>IFERROR(__xludf.DUMMYFUNCTION("""COMPUTED_VALUE"""),2.0)</f>
        <v>2</v>
      </c>
      <c r="G330" s="38">
        <v>0.0</v>
      </c>
    </row>
    <row r="331">
      <c r="A331" s="38" t="str">
        <f>IFERROR(__xludf.DUMMYFUNCTION("""COMPUTED_VALUE"""),"DEP1")</f>
        <v>DEP1</v>
      </c>
      <c r="B331" s="38" t="str">
        <f>IFERROR(__xludf.DUMMYFUNCTION("""COMPUTED_VALUE"""),"36")</f>
        <v>36</v>
      </c>
      <c r="C331" s="38" t="str">
        <f>IFERROR(__xludf.DUMMYFUNCTION("""COMPUTED_VALUE"""),"XÁM")</f>
        <v>XÁM</v>
      </c>
      <c r="D331" s="38">
        <f>IFERROR(__xludf.DUMMYFUNCTION("""COMPUTED_VALUE"""),1.0)</f>
        <v>1</v>
      </c>
      <c r="G331" s="38">
        <v>0.0</v>
      </c>
    </row>
    <row r="332">
      <c r="A332" s="38" t="str">
        <f>IFERROR(__xludf.DUMMYFUNCTION("""COMPUTED_VALUE"""),"DEP1")</f>
        <v>DEP1</v>
      </c>
      <c r="B332" s="38" t="str">
        <f>IFERROR(__xludf.DUMMYFUNCTION("""COMPUTED_VALUE"""),"36")</f>
        <v>36</v>
      </c>
      <c r="C332" s="38" t="str">
        <f>IFERROR(__xludf.DUMMYFUNCTION("""COMPUTED_VALUE"""),"ĐEN")</f>
        <v>ĐEN</v>
      </c>
      <c r="D332" s="38">
        <f>IFERROR(__xludf.DUMMYFUNCTION("""COMPUTED_VALUE"""),1.0)</f>
        <v>1</v>
      </c>
      <c r="G332" s="38">
        <v>0.0</v>
      </c>
    </row>
    <row r="333">
      <c r="A333" s="38" t="str">
        <f>IFERROR(__xludf.DUMMYFUNCTION("""COMPUTED_VALUE"""),"DEP1")</f>
        <v>DEP1</v>
      </c>
      <c r="B333" s="38" t="str">
        <f>IFERROR(__xludf.DUMMYFUNCTION("""COMPUTED_VALUE"""),"37")</f>
        <v>37</v>
      </c>
      <c r="C333" s="38" t="str">
        <f>IFERROR(__xludf.DUMMYFUNCTION("""COMPUTED_VALUE"""),"TRẮNG")</f>
        <v>TRẮNG</v>
      </c>
      <c r="D333" s="38">
        <f>IFERROR(__xludf.DUMMYFUNCTION("""COMPUTED_VALUE"""),3.0)</f>
        <v>3</v>
      </c>
      <c r="G333" s="38">
        <v>0.0</v>
      </c>
    </row>
    <row r="334">
      <c r="A334" s="38" t="str">
        <f>IFERROR(__xludf.DUMMYFUNCTION("""COMPUTED_VALUE"""),"DEP1")</f>
        <v>DEP1</v>
      </c>
      <c r="B334" s="38" t="str">
        <f>IFERROR(__xludf.DUMMYFUNCTION("""COMPUTED_VALUE"""),"37")</f>
        <v>37</v>
      </c>
      <c r="C334" s="38" t="str">
        <f>IFERROR(__xludf.DUMMYFUNCTION("""COMPUTED_VALUE"""),"ĐEN")</f>
        <v>ĐEN</v>
      </c>
      <c r="D334" s="38">
        <f>IFERROR(__xludf.DUMMYFUNCTION("""COMPUTED_VALUE"""),1.0)</f>
        <v>1</v>
      </c>
      <c r="G334" s="38">
        <v>0.0</v>
      </c>
    </row>
    <row r="335">
      <c r="A335" s="38" t="str">
        <f>IFERROR(__xludf.DUMMYFUNCTION("""COMPUTED_VALUE"""),"DEP1")</f>
        <v>DEP1</v>
      </c>
      <c r="B335" s="38" t="str">
        <f>IFERROR(__xludf.DUMMYFUNCTION("""COMPUTED_VALUE"""),"38")</f>
        <v>38</v>
      </c>
      <c r="C335" s="38" t="str">
        <f>IFERROR(__xludf.DUMMYFUNCTION("""COMPUTED_VALUE"""),"TRẮNG")</f>
        <v>TRẮNG</v>
      </c>
      <c r="D335" s="38">
        <f>IFERROR(__xludf.DUMMYFUNCTION("""COMPUTED_VALUE"""),1.0)</f>
        <v>1</v>
      </c>
      <c r="G335" s="38">
        <v>0.0</v>
      </c>
    </row>
    <row r="336">
      <c r="A336" s="38" t="str">
        <f>IFERROR(__xludf.DUMMYFUNCTION("""COMPUTED_VALUE"""),"DEP2")</f>
        <v>DEP2</v>
      </c>
      <c r="B336" s="38" t="str">
        <f>IFERROR(__xludf.DUMMYFUNCTION("""COMPUTED_VALUE"""),"35")</f>
        <v>35</v>
      </c>
      <c r="C336" s="38" t="str">
        <f>IFERROR(__xludf.DUMMYFUNCTION("""COMPUTED_VALUE"""),"BE")</f>
        <v>BE</v>
      </c>
      <c r="D336" s="38">
        <f>IFERROR(__xludf.DUMMYFUNCTION("""COMPUTED_VALUE"""),1.0)</f>
        <v>1</v>
      </c>
      <c r="G336" s="38">
        <v>0.0</v>
      </c>
    </row>
    <row r="337">
      <c r="A337" s="38" t="str">
        <f>IFERROR(__xludf.DUMMYFUNCTION("""COMPUTED_VALUE"""),"DEP2")</f>
        <v>DEP2</v>
      </c>
      <c r="B337" s="38" t="str">
        <f>IFERROR(__xludf.DUMMYFUNCTION("""COMPUTED_VALUE"""),"36")</f>
        <v>36</v>
      </c>
      <c r="C337" s="38" t="str">
        <f>IFERROR(__xludf.DUMMYFUNCTION("""COMPUTED_VALUE"""),"ĐEN")</f>
        <v>ĐEN</v>
      </c>
      <c r="D337" s="38">
        <f>IFERROR(__xludf.DUMMYFUNCTION("""COMPUTED_VALUE"""),1.0)</f>
        <v>1</v>
      </c>
      <c r="G337" s="38">
        <v>0.0</v>
      </c>
    </row>
    <row r="338">
      <c r="A338" s="38" t="str">
        <f>IFERROR(__xludf.DUMMYFUNCTION("""COMPUTED_VALUE"""),"Dep1")</f>
        <v>Dep1</v>
      </c>
      <c r="B338" s="38" t="str">
        <f>IFERROR(__xludf.DUMMYFUNCTION("""COMPUTED_VALUE"""),"35")</f>
        <v>35</v>
      </c>
      <c r="C338" s="38" t="str">
        <f>IFERROR(__xludf.DUMMYFUNCTION("""COMPUTED_VALUE"""),"ĐEN")</f>
        <v>ĐEN</v>
      </c>
      <c r="D338" s="38">
        <f>IFERROR(__xludf.DUMMYFUNCTION("""COMPUTED_VALUE"""),1.0)</f>
        <v>1</v>
      </c>
      <c r="G338" s="38">
        <v>0.0</v>
      </c>
    </row>
    <row r="339">
      <c r="A339" s="38" t="str">
        <f>IFERROR(__xludf.DUMMYFUNCTION("""COMPUTED_VALUE"""),"GIAY1")</f>
        <v>GIAY1</v>
      </c>
      <c r="B339" s="38" t="str">
        <f>IFERROR(__xludf.DUMMYFUNCTION("""COMPUTED_VALUE"""),"35")</f>
        <v>35</v>
      </c>
      <c r="C339" s="38" t="str">
        <f>IFERROR(__xludf.DUMMYFUNCTION("""COMPUTED_VALUE"""),"BE")</f>
        <v>BE</v>
      </c>
      <c r="D339" s="38">
        <f>IFERROR(__xludf.DUMMYFUNCTION("""COMPUTED_VALUE"""),1.0)</f>
        <v>1</v>
      </c>
      <c r="G339" s="38">
        <v>0.0</v>
      </c>
    </row>
    <row r="340">
      <c r="A340" s="38" t="str">
        <f>IFERROR(__xludf.DUMMYFUNCTION("""COMPUTED_VALUE"""),"GIAY1")</f>
        <v>GIAY1</v>
      </c>
      <c r="B340" s="38" t="str">
        <f>IFERROR(__xludf.DUMMYFUNCTION("""COMPUTED_VALUE"""),"35")</f>
        <v>35</v>
      </c>
      <c r="C340" s="38" t="str">
        <f>IFERROR(__xludf.DUMMYFUNCTION("""COMPUTED_VALUE"""),"ĐEN")</f>
        <v>ĐEN</v>
      </c>
      <c r="D340" s="38">
        <f>IFERROR(__xludf.DUMMYFUNCTION("""COMPUTED_VALUE"""),1.0)</f>
        <v>1</v>
      </c>
      <c r="G340" s="38">
        <v>0.0</v>
      </c>
    </row>
    <row r="341">
      <c r="A341" s="38" t="str">
        <f>IFERROR(__xludf.DUMMYFUNCTION("""COMPUTED_VALUE"""),"GIAY1")</f>
        <v>GIAY1</v>
      </c>
      <c r="B341" s="38" t="str">
        <f>IFERROR(__xludf.DUMMYFUNCTION("""COMPUTED_VALUE"""),"36")</f>
        <v>36</v>
      </c>
      <c r="C341" s="38" t="str">
        <f>IFERROR(__xludf.DUMMYFUNCTION("""COMPUTED_VALUE"""),"BE")</f>
        <v>BE</v>
      </c>
      <c r="D341" s="38">
        <f>IFERROR(__xludf.DUMMYFUNCTION("""COMPUTED_VALUE"""),3.0)</f>
        <v>3</v>
      </c>
      <c r="G341" s="38">
        <v>0.0</v>
      </c>
    </row>
    <row r="342">
      <c r="A342" s="38" t="str">
        <f>IFERROR(__xludf.DUMMYFUNCTION("""COMPUTED_VALUE"""),"GIAY1")</f>
        <v>GIAY1</v>
      </c>
      <c r="B342" s="38" t="str">
        <f>IFERROR(__xludf.DUMMYFUNCTION("""COMPUTED_VALUE"""),"36")</f>
        <v>36</v>
      </c>
      <c r="C342" s="38" t="str">
        <f>IFERROR(__xludf.DUMMYFUNCTION("""COMPUTED_VALUE"""),"ĐEN")</f>
        <v>ĐEN</v>
      </c>
      <c r="D342" s="38">
        <f>IFERROR(__xludf.DUMMYFUNCTION("""COMPUTED_VALUE"""),3.0)</f>
        <v>3</v>
      </c>
      <c r="G342" s="38">
        <v>0.0</v>
      </c>
    </row>
    <row r="343">
      <c r="A343" s="38" t="str">
        <f>IFERROR(__xludf.DUMMYFUNCTION("""COMPUTED_VALUE"""),"GIAY1")</f>
        <v>GIAY1</v>
      </c>
      <c r="B343" s="38" t="str">
        <f>IFERROR(__xludf.DUMMYFUNCTION("""COMPUTED_VALUE"""),"37")</f>
        <v>37</v>
      </c>
      <c r="C343" s="38" t="str">
        <f>IFERROR(__xludf.DUMMYFUNCTION("""COMPUTED_VALUE"""),"BE")</f>
        <v>BE</v>
      </c>
      <c r="D343" s="38">
        <f>IFERROR(__xludf.DUMMYFUNCTION("""COMPUTED_VALUE"""),8.0)</f>
        <v>8</v>
      </c>
      <c r="G343" s="38">
        <v>0.0</v>
      </c>
    </row>
    <row r="344">
      <c r="A344" s="38" t="str">
        <f>IFERROR(__xludf.DUMMYFUNCTION("""COMPUTED_VALUE"""),"GIAY1")</f>
        <v>GIAY1</v>
      </c>
      <c r="B344" s="38" t="str">
        <f>IFERROR(__xludf.DUMMYFUNCTION("""COMPUTED_VALUE"""),"37")</f>
        <v>37</v>
      </c>
      <c r="C344" s="38" t="str">
        <f>IFERROR(__xludf.DUMMYFUNCTION("""COMPUTED_VALUE"""),"ĐEN")</f>
        <v>ĐEN</v>
      </c>
      <c r="D344" s="38">
        <f>IFERROR(__xludf.DUMMYFUNCTION("""COMPUTED_VALUE"""),5.0)</f>
        <v>5</v>
      </c>
      <c r="G344" s="38">
        <v>0.0</v>
      </c>
    </row>
    <row r="345">
      <c r="A345" s="38" t="str">
        <f>IFERROR(__xludf.DUMMYFUNCTION("""COMPUTED_VALUE"""),"GIAY1")</f>
        <v>GIAY1</v>
      </c>
      <c r="B345" s="38" t="str">
        <f>IFERROR(__xludf.DUMMYFUNCTION("""COMPUTED_VALUE"""),"38")</f>
        <v>38</v>
      </c>
      <c r="C345" s="38" t="str">
        <f>IFERROR(__xludf.DUMMYFUNCTION("""COMPUTED_VALUE"""),"BE")</f>
        <v>BE</v>
      </c>
      <c r="D345" s="38">
        <f>IFERROR(__xludf.DUMMYFUNCTION("""COMPUTED_VALUE"""),3.0)</f>
        <v>3</v>
      </c>
      <c r="G345" s="38">
        <v>0.0</v>
      </c>
    </row>
    <row r="346">
      <c r="A346" s="38" t="str">
        <f>IFERROR(__xludf.DUMMYFUNCTION("""COMPUTED_VALUE"""),"GIAY1")</f>
        <v>GIAY1</v>
      </c>
      <c r="B346" s="38" t="str">
        <f>IFERROR(__xludf.DUMMYFUNCTION("""COMPUTED_VALUE"""),"38")</f>
        <v>38</v>
      </c>
      <c r="C346" s="38" t="str">
        <f>IFERROR(__xludf.DUMMYFUNCTION("""COMPUTED_VALUE"""),"ĐEN")</f>
        <v>ĐEN</v>
      </c>
      <c r="D346" s="38">
        <f>IFERROR(__xludf.DUMMYFUNCTION("""COMPUTED_VALUE"""),4.0)</f>
        <v>4</v>
      </c>
      <c r="G346" s="38">
        <v>0.0</v>
      </c>
    </row>
    <row r="347">
      <c r="A347" s="38" t="str">
        <f>IFERROR(__xludf.DUMMYFUNCTION("""COMPUTED_VALUE"""),"GIAY1")</f>
        <v>GIAY1</v>
      </c>
      <c r="B347" s="38" t="str">
        <f>IFERROR(__xludf.DUMMYFUNCTION("""COMPUTED_VALUE"""),"39")</f>
        <v>39</v>
      </c>
      <c r="C347" s="38" t="str">
        <f>IFERROR(__xludf.DUMMYFUNCTION("""COMPUTED_VALUE"""),"BE")</f>
        <v>BE</v>
      </c>
      <c r="D347" s="38">
        <f>IFERROR(__xludf.DUMMYFUNCTION("""COMPUTED_VALUE"""),3.0)</f>
        <v>3</v>
      </c>
      <c r="G347" s="38">
        <v>0.0</v>
      </c>
    </row>
    <row r="348">
      <c r="A348" s="38" t="str">
        <f>IFERROR(__xludf.DUMMYFUNCTION("""COMPUTED_VALUE"""),"GIAY1")</f>
        <v>GIAY1</v>
      </c>
      <c r="B348" s="38" t="str">
        <f>IFERROR(__xludf.DUMMYFUNCTION("""COMPUTED_VALUE"""),"39")</f>
        <v>39</v>
      </c>
      <c r="C348" s="38" t="str">
        <f>IFERROR(__xludf.DUMMYFUNCTION("""COMPUTED_VALUE"""),"ĐEN")</f>
        <v>ĐEN</v>
      </c>
      <c r="D348" s="38">
        <f>IFERROR(__xludf.DUMMYFUNCTION("""COMPUTED_VALUE"""),2.0)</f>
        <v>2</v>
      </c>
      <c r="G348" s="38">
        <v>0.0</v>
      </c>
    </row>
    <row r="349">
      <c r="A349" s="38" t="str">
        <f>IFERROR(__xludf.DUMMYFUNCTION("""COMPUTED_VALUE"""),"GIAY1")</f>
        <v>GIAY1</v>
      </c>
      <c r="B349" s="38" t="str">
        <f>IFERROR(__xludf.DUMMYFUNCTION("""COMPUTED_VALUE"""),"40")</f>
        <v>40</v>
      </c>
      <c r="C349" s="38" t="str">
        <f>IFERROR(__xludf.DUMMYFUNCTION("""COMPUTED_VALUE"""),"BE")</f>
        <v>BE</v>
      </c>
      <c r="D349" s="38">
        <f>IFERROR(__xludf.DUMMYFUNCTION("""COMPUTED_VALUE"""),1.0)</f>
        <v>1</v>
      </c>
      <c r="G349" s="38">
        <v>0.0</v>
      </c>
    </row>
    <row r="350">
      <c r="A350" s="38" t="str">
        <f>IFERROR(__xludf.DUMMYFUNCTION("""COMPUTED_VALUE"""),"GIAY1")</f>
        <v>GIAY1</v>
      </c>
      <c r="B350" s="38" t="str">
        <f>IFERROR(__xludf.DUMMYFUNCTION("""COMPUTED_VALUE"""),"40")</f>
        <v>40</v>
      </c>
      <c r="C350" s="38" t="str">
        <f>IFERROR(__xludf.DUMMYFUNCTION("""COMPUTED_VALUE"""),"ĐEN")</f>
        <v>ĐEN</v>
      </c>
      <c r="D350" s="38">
        <f>IFERROR(__xludf.DUMMYFUNCTION("""COMPUTED_VALUE"""),1.0)</f>
        <v>1</v>
      </c>
      <c r="G350" s="38">
        <v>0.0</v>
      </c>
    </row>
    <row r="351">
      <c r="A351" s="38" t="str">
        <f>IFERROR(__xludf.DUMMYFUNCTION("""COMPUTED_VALUE"""),"GIAY2")</f>
        <v>GIAY2</v>
      </c>
      <c r="B351" s="38" t="str">
        <f>IFERROR(__xludf.DUMMYFUNCTION("""COMPUTED_VALUE"""),"37")</f>
        <v>37</v>
      </c>
      <c r="C351" s="38" t="str">
        <f>IFERROR(__xludf.DUMMYFUNCTION("""COMPUTED_VALUE"""),"BE")</f>
        <v>BE</v>
      </c>
      <c r="D351" s="38">
        <f>IFERROR(__xludf.DUMMYFUNCTION("""COMPUTED_VALUE"""),4.0)</f>
        <v>4</v>
      </c>
      <c r="G351" s="38">
        <v>0.0</v>
      </c>
    </row>
    <row r="352">
      <c r="A352" s="38" t="str">
        <f>IFERROR(__xludf.DUMMYFUNCTION("""COMPUTED_VALUE"""),"GIAY2")</f>
        <v>GIAY2</v>
      </c>
      <c r="B352" s="38" t="str">
        <f>IFERROR(__xludf.DUMMYFUNCTION("""COMPUTED_VALUE"""),"38")</f>
        <v>38</v>
      </c>
      <c r="C352" s="38" t="str">
        <f>IFERROR(__xludf.DUMMYFUNCTION("""COMPUTED_VALUE"""),"BE")</f>
        <v>BE</v>
      </c>
      <c r="D352" s="38">
        <f>IFERROR(__xludf.DUMMYFUNCTION("""COMPUTED_VALUE"""),1.0)</f>
        <v>1</v>
      </c>
      <c r="G352" s="38">
        <v>0.0</v>
      </c>
    </row>
    <row r="353">
      <c r="A353" s="38" t="str">
        <f>IFERROR(__xludf.DUMMYFUNCTION("""COMPUTED_VALUE"""),"GIAY2")</f>
        <v>GIAY2</v>
      </c>
      <c r="B353" s="38" t="str">
        <f>IFERROR(__xludf.DUMMYFUNCTION("""COMPUTED_VALUE"""),"38")</f>
        <v>38</v>
      </c>
      <c r="C353" s="38" t="str">
        <f>IFERROR(__xludf.DUMMYFUNCTION("""COMPUTED_VALUE"""),"ĐEN")</f>
        <v>ĐEN</v>
      </c>
      <c r="D353" s="38">
        <f>IFERROR(__xludf.DUMMYFUNCTION("""COMPUTED_VALUE"""),1.0)</f>
        <v>1</v>
      </c>
      <c r="G353" s="38">
        <v>0.0</v>
      </c>
    </row>
    <row r="354">
      <c r="A354" s="38" t="str">
        <f>IFERROR(__xludf.DUMMYFUNCTION("""COMPUTED_VALUE"""),"GIAY2")</f>
        <v>GIAY2</v>
      </c>
      <c r="B354" s="38" t="str">
        <f>IFERROR(__xludf.DUMMYFUNCTION("""COMPUTED_VALUE"""),"39")</f>
        <v>39</v>
      </c>
      <c r="C354" s="38" t="str">
        <f>IFERROR(__xludf.DUMMYFUNCTION("""COMPUTED_VALUE"""),"BE")</f>
        <v>BE</v>
      </c>
      <c r="D354" s="38">
        <f>IFERROR(__xludf.DUMMYFUNCTION("""COMPUTED_VALUE"""),1.0)</f>
        <v>1</v>
      </c>
      <c r="G354" s="38">
        <v>0.0</v>
      </c>
    </row>
    <row r="355">
      <c r="A355" s="38" t="str">
        <f>IFERROR(__xludf.DUMMYFUNCTION("""COMPUTED_VALUE"""),"J001")</f>
        <v>J001</v>
      </c>
      <c r="B355" s="38" t="str">
        <f>IFERROR(__xludf.DUMMYFUNCTION("""COMPUTED_VALUE"""),"L")</f>
        <v>L</v>
      </c>
      <c r="C355" s="38" t="str">
        <f>IFERROR(__xludf.DUMMYFUNCTION("""COMPUTED_VALUE"""),"XANH THAN")</f>
        <v>XANH THAN</v>
      </c>
      <c r="D355" s="38">
        <f>IFERROR(__xludf.DUMMYFUNCTION("""COMPUTED_VALUE"""),1.0)</f>
        <v>1</v>
      </c>
      <c r="G355" s="38">
        <v>0.0</v>
      </c>
    </row>
    <row r="356">
      <c r="A356" s="38" t="str">
        <f>IFERROR(__xludf.DUMMYFUNCTION("""COMPUTED_VALUE"""),"J001")</f>
        <v>J001</v>
      </c>
      <c r="B356" s="38" t="str">
        <f>IFERROR(__xludf.DUMMYFUNCTION("""COMPUTED_VALUE"""),"M")</f>
        <v>M</v>
      </c>
      <c r="C356" s="38" t="str">
        <f>IFERROR(__xludf.DUMMYFUNCTION("""COMPUTED_VALUE"""),"XANH THAN")</f>
        <v>XANH THAN</v>
      </c>
      <c r="D356" s="38">
        <f>IFERROR(__xludf.DUMMYFUNCTION("""COMPUTED_VALUE"""),2.0)</f>
        <v>2</v>
      </c>
      <c r="G356" s="38">
        <v>0.0</v>
      </c>
    </row>
    <row r="357">
      <c r="A357" s="38" t="str">
        <f>IFERROR(__xludf.DUMMYFUNCTION("""COMPUTED_VALUE"""),"J001")</f>
        <v>J001</v>
      </c>
      <c r="B357" s="38" t="str">
        <f>IFERROR(__xludf.DUMMYFUNCTION("""COMPUTED_VALUE"""),"S")</f>
        <v>S</v>
      </c>
      <c r="C357" s="38" t="str">
        <f>IFERROR(__xludf.DUMMYFUNCTION("""COMPUTED_VALUE"""),"XANH THAN")</f>
        <v>XANH THAN</v>
      </c>
      <c r="D357" s="38">
        <f>IFERROR(__xludf.DUMMYFUNCTION("""COMPUTED_VALUE"""),7.0)</f>
        <v>7</v>
      </c>
      <c r="G357" s="38">
        <v>0.0</v>
      </c>
    </row>
    <row r="358">
      <c r="A358" s="38" t="str">
        <f>IFERROR(__xludf.DUMMYFUNCTION("""COMPUTED_VALUE"""),"M001")</f>
        <v>M001</v>
      </c>
      <c r="B358" s="38" t="str">
        <f>IFERROR(__xludf.DUMMYFUNCTION("""COMPUTED_VALUE"""),"35")</f>
        <v>35</v>
      </c>
      <c r="C358" s="38" t="str">
        <f>IFERROR(__xludf.DUMMYFUNCTION("""COMPUTED_VALUE"""),"BE")</f>
        <v>BE</v>
      </c>
      <c r="D358" s="38">
        <f>IFERROR(__xludf.DUMMYFUNCTION("""COMPUTED_VALUE"""),4.0)</f>
        <v>4</v>
      </c>
      <c r="G358" s="38">
        <v>1.0</v>
      </c>
    </row>
    <row r="359">
      <c r="A359" s="38" t="str">
        <f>IFERROR(__xludf.DUMMYFUNCTION("""COMPUTED_VALUE"""),"M001")</f>
        <v>M001</v>
      </c>
      <c r="B359" s="38" t="str">
        <f>IFERROR(__xludf.DUMMYFUNCTION("""COMPUTED_VALUE"""),"35")</f>
        <v>35</v>
      </c>
      <c r="C359" s="38" t="str">
        <f>IFERROR(__xludf.DUMMYFUNCTION("""COMPUTED_VALUE"""),"ĐEN")</f>
        <v>ĐEN</v>
      </c>
      <c r="D359" s="38">
        <f>IFERROR(__xludf.DUMMYFUNCTION("""COMPUTED_VALUE"""),11.0)</f>
        <v>11</v>
      </c>
      <c r="G359" s="38">
        <v>1.0</v>
      </c>
    </row>
    <row r="360">
      <c r="A360" s="38" t="str">
        <f>IFERROR(__xludf.DUMMYFUNCTION("""COMPUTED_VALUE"""),"M001")</f>
        <v>M001</v>
      </c>
      <c r="B360" s="38" t="str">
        <f>IFERROR(__xludf.DUMMYFUNCTION("""COMPUTED_VALUE"""),"36")</f>
        <v>36</v>
      </c>
      <c r="C360" s="38" t="str">
        <f>IFERROR(__xludf.DUMMYFUNCTION("""COMPUTED_VALUE"""),"BE")</f>
        <v>BE</v>
      </c>
      <c r="D360" s="38">
        <f>IFERROR(__xludf.DUMMYFUNCTION("""COMPUTED_VALUE"""),10.0)</f>
        <v>10</v>
      </c>
      <c r="G360" s="38">
        <v>6.0</v>
      </c>
    </row>
    <row r="361">
      <c r="A361" s="38" t="str">
        <f>IFERROR(__xludf.DUMMYFUNCTION("""COMPUTED_VALUE"""),"M001")</f>
        <v>M001</v>
      </c>
      <c r="B361" s="38" t="str">
        <f>IFERROR(__xludf.DUMMYFUNCTION("""COMPUTED_VALUE"""),"36")</f>
        <v>36</v>
      </c>
      <c r="C361" s="38" t="str">
        <f>IFERROR(__xludf.DUMMYFUNCTION("""COMPUTED_VALUE"""),"ĐEN")</f>
        <v>ĐEN</v>
      </c>
      <c r="D361" s="38">
        <f>IFERROR(__xludf.DUMMYFUNCTION("""COMPUTED_VALUE"""),25.0)</f>
        <v>25</v>
      </c>
      <c r="G361" s="38">
        <v>3.0</v>
      </c>
    </row>
    <row r="362">
      <c r="A362" s="38" t="str">
        <f>IFERROR(__xludf.DUMMYFUNCTION("""COMPUTED_VALUE"""),"M001")</f>
        <v>M001</v>
      </c>
      <c r="B362" s="38" t="str">
        <f>IFERROR(__xludf.DUMMYFUNCTION("""COMPUTED_VALUE"""),"37")</f>
        <v>37</v>
      </c>
      <c r="C362" s="38" t="str">
        <f>IFERROR(__xludf.DUMMYFUNCTION("""COMPUTED_VALUE"""),"BE")</f>
        <v>BE</v>
      </c>
      <c r="D362" s="38">
        <f>IFERROR(__xludf.DUMMYFUNCTION("""COMPUTED_VALUE"""),13.0)</f>
        <v>13</v>
      </c>
      <c r="G362" s="38">
        <v>8.0</v>
      </c>
    </row>
    <row r="363">
      <c r="A363" s="38" t="str">
        <f>IFERROR(__xludf.DUMMYFUNCTION("""COMPUTED_VALUE"""),"M001")</f>
        <v>M001</v>
      </c>
      <c r="B363" s="38" t="str">
        <f>IFERROR(__xludf.DUMMYFUNCTION("""COMPUTED_VALUE"""),"37")</f>
        <v>37</v>
      </c>
      <c r="C363" s="38" t="str">
        <f>IFERROR(__xludf.DUMMYFUNCTION("""COMPUTED_VALUE"""),"ĐEN")</f>
        <v>ĐEN</v>
      </c>
      <c r="D363" s="38">
        <f>IFERROR(__xludf.DUMMYFUNCTION("""COMPUTED_VALUE"""),38.0)</f>
        <v>38</v>
      </c>
      <c r="G363" s="38">
        <v>11.0</v>
      </c>
    </row>
    <row r="364">
      <c r="A364" s="38" t="str">
        <f>IFERROR(__xludf.DUMMYFUNCTION("""COMPUTED_VALUE"""),"M001")</f>
        <v>M001</v>
      </c>
      <c r="B364" s="38" t="str">
        <f>IFERROR(__xludf.DUMMYFUNCTION("""COMPUTED_VALUE"""),"38")</f>
        <v>38</v>
      </c>
      <c r="C364" s="38" t="str">
        <f>IFERROR(__xludf.DUMMYFUNCTION("""COMPUTED_VALUE"""),"BE")</f>
        <v>BE</v>
      </c>
      <c r="D364" s="38">
        <f>IFERROR(__xludf.DUMMYFUNCTION("""COMPUTED_VALUE"""),17.0)</f>
        <v>17</v>
      </c>
      <c r="G364" s="38">
        <v>7.0</v>
      </c>
    </row>
    <row r="365">
      <c r="A365" s="38" t="str">
        <f>IFERROR(__xludf.DUMMYFUNCTION("""COMPUTED_VALUE"""),"M001")</f>
        <v>M001</v>
      </c>
      <c r="B365" s="38" t="str">
        <f>IFERROR(__xludf.DUMMYFUNCTION("""COMPUTED_VALUE"""),"38")</f>
        <v>38</v>
      </c>
      <c r="C365" s="38" t="str">
        <f>IFERROR(__xludf.DUMMYFUNCTION("""COMPUTED_VALUE"""),"ĐEN")</f>
        <v>ĐEN</v>
      </c>
      <c r="D365" s="38">
        <f>IFERROR(__xludf.DUMMYFUNCTION("""COMPUTED_VALUE"""),25.0)</f>
        <v>25</v>
      </c>
      <c r="G365" s="38">
        <v>5.0</v>
      </c>
    </row>
    <row r="366">
      <c r="A366" s="38" t="str">
        <f>IFERROR(__xludf.DUMMYFUNCTION("""COMPUTED_VALUE"""),"M001")</f>
        <v>M001</v>
      </c>
      <c r="B366" s="38" t="str">
        <f>IFERROR(__xludf.DUMMYFUNCTION("""COMPUTED_VALUE"""),"39")</f>
        <v>39</v>
      </c>
      <c r="C366" s="38" t="str">
        <f>IFERROR(__xludf.DUMMYFUNCTION("""COMPUTED_VALUE"""),"BE")</f>
        <v>BE</v>
      </c>
      <c r="D366" s="38">
        <f>IFERROR(__xludf.DUMMYFUNCTION("""COMPUTED_VALUE"""),9.0)</f>
        <v>9</v>
      </c>
      <c r="G366" s="38">
        <v>5.0</v>
      </c>
    </row>
    <row r="367">
      <c r="A367" s="38" t="str">
        <f>IFERROR(__xludf.DUMMYFUNCTION("""COMPUTED_VALUE"""),"M001")</f>
        <v>M001</v>
      </c>
      <c r="B367" s="38" t="str">
        <f>IFERROR(__xludf.DUMMYFUNCTION("""COMPUTED_VALUE"""),"39")</f>
        <v>39</v>
      </c>
      <c r="C367" s="38" t="str">
        <f>IFERROR(__xludf.DUMMYFUNCTION("""COMPUTED_VALUE"""),"ĐEN")</f>
        <v>ĐEN</v>
      </c>
      <c r="D367" s="38">
        <f>IFERROR(__xludf.DUMMYFUNCTION("""COMPUTED_VALUE"""),21.0)</f>
        <v>21</v>
      </c>
      <c r="G367" s="38">
        <v>8.0</v>
      </c>
    </row>
    <row r="368">
      <c r="A368" s="38" t="str">
        <f>IFERROR(__xludf.DUMMYFUNCTION("""COMPUTED_VALUE"""),"M001")</f>
        <v>M001</v>
      </c>
      <c r="B368" s="38" t="str">
        <f>IFERROR(__xludf.DUMMYFUNCTION("""COMPUTED_VALUE"""),"40")</f>
        <v>40</v>
      </c>
      <c r="C368" s="38" t="str">
        <f>IFERROR(__xludf.DUMMYFUNCTION("""COMPUTED_VALUE"""),"BE")</f>
        <v>BE</v>
      </c>
      <c r="D368" s="38">
        <f>IFERROR(__xludf.DUMMYFUNCTION("""COMPUTED_VALUE"""),2.0)</f>
        <v>2</v>
      </c>
      <c r="G368" s="38">
        <v>2.0</v>
      </c>
    </row>
    <row r="369">
      <c r="A369" s="38" t="str">
        <f>IFERROR(__xludf.DUMMYFUNCTION("""COMPUTED_VALUE"""),"M001")</f>
        <v>M001</v>
      </c>
      <c r="B369" s="38" t="str">
        <f>IFERROR(__xludf.DUMMYFUNCTION("""COMPUTED_VALUE"""),"40")</f>
        <v>40</v>
      </c>
      <c r="C369" s="38" t="str">
        <f>IFERROR(__xludf.DUMMYFUNCTION("""COMPUTED_VALUE"""),"ĐEN")</f>
        <v>ĐEN</v>
      </c>
      <c r="D369" s="38">
        <f>IFERROR(__xludf.DUMMYFUNCTION("""COMPUTED_VALUE"""),5.0)</f>
        <v>5</v>
      </c>
      <c r="G369" s="38">
        <v>0.0</v>
      </c>
    </row>
    <row r="370">
      <c r="A370" s="38" t="str">
        <f>IFERROR(__xludf.DUMMYFUNCTION("""COMPUTED_VALUE"""),"M003")</f>
        <v>M003</v>
      </c>
      <c r="B370" s="38" t="str">
        <f>IFERROR(__xludf.DUMMYFUNCTION("""COMPUTED_VALUE"""),"L")</f>
        <v>L</v>
      </c>
      <c r="C370" s="38" t="str">
        <f>IFERROR(__xludf.DUMMYFUNCTION("""COMPUTED_VALUE"""),"ĐEN")</f>
        <v>ĐEN</v>
      </c>
      <c r="D370" s="38">
        <f>IFERROR(__xludf.DUMMYFUNCTION("""COMPUTED_VALUE"""),2.0)</f>
        <v>2</v>
      </c>
      <c r="G370" s="38">
        <v>0.0</v>
      </c>
    </row>
    <row r="371">
      <c r="A371" s="38" t="str">
        <f>IFERROR(__xludf.DUMMYFUNCTION("""COMPUTED_VALUE"""),"M004")</f>
        <v>M004</v>
      </c>
      <c r="B371" s="38" t="str">
        <f>IFERROR(__xludf.DUMMYFUNCTION("""COMPUTED_VALUE"""),"FZ")</f>
        <v>FZ</v>
      </c>
      <c r="C371" s="38" t="str">
        <f>IFERROR(__xludf.DUMMYFUNCTION("""COMPUTED_VALUE"""),"GẤU HỒNG")</f>
        <v>GẤU HỒNG</v>
      </c>
      <c r="D371" s="38">
        <f>IFERROR(__xludf.DUMMYFUNCTION("""COMPUTED_VALUE"""),2.0)</f>
        <v>2</v>
      </c>
      <c r="G371" s="38">
        <v>0.0</v>
      </c>
    </row>
    <row r="372">
      <c r="A372" s="38" t="str">
        <f>IFERROR(__xludf.DUMMYFUNCTION("""COMPUTED_VALUE"""),"M004")</f>
        <v>M004</v>
      </c>
      <c r="B372" s="38" t="str">
        <f>IFERROR(__xludf.DUMMYFUNCTION("""COMPUTED_VALUE"""),"FZ")</f>
        <v>FZ</v>
      </c>
      <c r="C372" s="38" t="str">
        <f>IFERROR(__xludf.DUMMYFUNCTION("""COMPUTED_VALUE"""),"GẤU VÀNG")</f>
        <v>GẤU VÀNG</v>
      </c>
      <c r="D372" s="38">
        <f>IFERROR(__xludf.DUMMYFUNCTION("""COMPUTED_VALUE"""),1.0)</f>
        <v>1</v>
      </c>
      <c r="G372" s="38">
        <v>0.0</v>
      </c>
    </row>
    <row r="373">
      <c r="A373" s="38" t="str">
        <f>IFERROR(__xludf.DUMMYFUNCTION("""COMPUTED_VALUE"""),"M004")</f>
        <v>M004</v>
      </c>
      <c r="B373" s="38" t="str">
        <f>IFERROR(__xludf.DUMMYFUNCTION("""COMPUTED_VALUE"""),"FZ")</f>
        <v>FZ</v>
      </c>
      <c r="C373" s="38" t="str">
        <f>IFERROR(__xludf.DUMMYFUNCTION("""COMPUTED_VALUE"""),"GẤU XANH")</f>
        <v>GẤU XANH</v>
      </c>
      <c r="D373" s="38">
        <f>IFERROR(__xludf.DUMMYFUNCTION("""COMPUTED_VALUE"""),1.0)</f>
        <v>1</v>
      </c>
      <c r="G373" s="38">
        <v>0.0</v>
      </c>
    </row>
    <row r="374">
      <c r="A374" s="38" t="str">
        <f>IFERROR(__xludf.DUMMYFUNCTION("""COMPUTED_VALUE"""),"M004")</f>
        <v>M004</v>
      </c>
      <c r="B374" s="38" t="str">
        <f>IFERROR(__xludf.DUMMYFUNCTION("""COMPUTED_VALUE"""),"FZ")</f>
        <v>FZ</v>
      </c>
      <c r="C374" s="38" t="str">
        <f>IFERROR(__xludf.DUMMYFUNCTION("""COMPUTED_VALUE"""),"HỒNG")</f>
        <v>HỒNG</v>
      </c>
      <c r="D374" s="38">
        <f>IFERROR(__xludf.DUMMYFUNCTION("""COMPUTED_VALUE"""),6.0)</f>
        <v>6</v>
      </c>
      <c r="G374" s="38">
        <v>5.0</v>
      </c>
    </row>
    <row r="375">
      <c r="A375" s="38" t="str">
        <f>IFERROR(__xludf.DUMMYFUNCTION("""COMPUTED_VALUE"""),"M004")</f>
        <v>M004</v>
      </c>
      <c r="B375" s="38" t="str">
        <f>IFERROR(__xludf.DUMMYFUNCTION("""COMPUTED_VALUE"""),"FZ")</f>
        <v>FZ</v>
      </c>
      <c r="C375" s="38" t="str">
        <f>IFERROR(__xludf.DUMMYFUNCTION("""COMPUTED_VALUE"""),"SỌC HỒNG")</f>
        <v>SỌC HỒNG</v>
      </c>
      <c r="D375" s="38">
        <f>IFERROR(__xludf.DUMMYFUNCTION("""COMPUTED_VALUE"""),3.0)</f>
        <v>3</v>
      </c>
      <c r="G375" s="38">
        <v>0.0</v>
      </c>
    </row>
    <row r="376">
      <c r="A376" s="38" t="str">
        <f>IFERROR(__xludf.DUMMYFUNCTION("""COMPUTED_VALUE"""),"M004")</f>
        <v>M004</v>
      </c>
      <c r="B376" s="38" t="str">
        <f>IFERROR(__xludf.DUMMYFUNCTION("""COMPUTED_VALUE"""),"FZ")</f>
        <v>FZ</v>
      </c>
      <c r="C376" s="38" t="str">
        <f>IFERROR(__xludf.DUMMYFUNCTION("""COMPUTED_VALUE"""),"SỌC XANH")</f>
        <v>SỌC XANH</v>
      </c>
      <c r="D376" s="38">
        <f>IFERROR(__xludf.DUMMYFUNCTION("""COMPUTED_VALUE"""),3.0)</f>
        <v>3</v>
      </c>
      <c r="G376" s="38">
        <v>0.0</v>
      </c>
    </row>
    <row r="377">
      <c r="A377" s="38" t="str">
        <f>IFERROR(__xludf.DUMMYFUNCTION("""COMPUTED_VALUE"""),"M004")</f>
        <v>M004</v>
      </c>
      <c r="B377" s="38" t="str">
        <f>IFERROR(__xludf.DUMMYFUNCTION("""COMPUTED_VALUE"""),"FZ")</f>
        <v>FZ</v>
      </c>
      <c r="C377" s="38" t="str">
        <f>IFERROR(__xludf.DUMMYFUNCTION("""COMPUTED_VALUE"""),"VÀNG")</f>
        <v>VÀNG</v>
      </c>
      <c r="D377" s="38">
        <f>IFERROR(__xludf.DUMMYFUNCTION("""COMPUTED_VALUE"""),2.0)</f>
        <v>2</v>
      </c>
      <c r="G377" s="38">
        <v>1.0</v>
      </c>
    </row>
    <row r="378">
      <c r="A378" s="38" t="str">
        <f>IFERROR(__xludf.DUMMYFUNCTION("""COMPUTED_VALUE"""),"M004")</f>
        <v>M004</v>
      </c>
      <c r="B378" s="38" t="str">
        <f>IFERROR(__xludf.DUMMYFUNCTION("""COMPUTED_VALUE"""),"FZ")</f>
        <v>FZ</v>
      </c>
      <c r="C378" s="38" t="str">
        <f>IFERROR(__xludf.DUMMYFUNCTION("""COMPUTED_VALUE"""),"XANH NHẠT")</f>
        <v>XANH NHẠT</v>
      </c>
      <c r="D378" s="38">
        <f>IFERROR(__xludf.DUMMYFUNCTION("""COMPUTED_VALUE"""),6.0)</f>
        <v>6</v>
      </c>
      <c r="G378" s="38">
        <v>6.0</v>
      </c>
    </row>
    <row r="379">
      <c r="A379" s="38" t="str">
        <f>IFERROR(__xludf.DUMMYFUNCTION("""COMPUTED_VALUE"""),"M005")</f>
        <v>M005</v>
      </c>
      <c r="B379" s="38" t="str">
        <f>IFERROR(__xludf.DUMMYFUNCTION("""COMPUTED_VALUE"""),"35")</f>
        <v>35</v>
      </c>
      <c r="C379" s="38" t="str">
        <f>IFERROR(__xludf.DUMMYFUNCTION("""COMPUTED_VALUE"""),"NÂU")</f>
        <v>NÂU</v>
      </c>
      <c r="D379" s="38">
        <f>IFERROR(__xludf.DUMMYFUNCTION("""COMPUTED_VALUE"""),2.0)</f>
        <v>2</v>
      </c>
      <c r="G379" s="38">
        <v>2.0</v>
      </c>
    </row>
    <row r="380">
      <c r="A380" s="38" t="str">
        <f>IFERROR(__xludf.DUMMYFUNCTION("""COMPUTED_VALUE"""),"M005")</f>
        <v>M005</v>
      </c>
      <c r="B380" s="38" t="str">
        <f>IFERROR(__xludf.DUMMYFUNCTION("""COMPUTED_VALUE"""),"36")</f>
        <v>36</v>
      </c>
      <c r="C380" s="38" t="str">
        <f>IFERROR(__xludf.DUMMYFUNCTION("""COMPUTED_VALUE"""),"NÂU")</f>
        <v>NÂU</v>
      </c>
      <c r="D380" s="38">
        <f>IFERROR(__xludf.DUMMYFUNCTION("""COMPUTED_VALUE"""),1.0)</f>
        <v>1</v>
      </c>
      <c r="G380" s="38">
        <v>1.0</v>
      </c>
    </row>
    <row r="381">
      <c r="A381" s="38" t="str">
        <f>IFERROR(__xludf.DUMMYFUNCTION("""COMPUTED_VALUE"""),"M005")</f>
        <v>M005</v>
      </c>
      <c r="B381" s="38" t="str">
        <f>IFERROR(__xludf.DUMMYFUNCTION("""COMPUTED_VALUE"""),"36")</f>
        <v>36</v>
      </c>
      <c r="C381" s="38" t="str">
        <f>IFERROR(__xludf.DUMMYFUNCTION("""COMPUTED_VALUE"""),"ĐEN")</f>
        <v>ĐEN</v>
      </c>
      <c r="D381" s="38">
        <f>IFERROR(__xludf.DUMMYFUNCTION("""COMPUTED_VALUE"""),1.0)</f>
        <v>1</v>
      </c>
      <c r="G381" s="38">
        <v>0.0</v>
      </c>
    </row>
    <row r="382">
      <c r="A382" s="38" t="str">
        <f>IFERROR(__xludf.DUMMYFUNCTION("""COMPUTED_VALUE"""),"M005")</f>
        <v>M005</v>
      </c>
      <c r="B382" s="38" t="str">
        <f>IFERROR(__xludf.DUMMYFUNCTION("""COMPUTED_VALUE"""),"37")</f>
        <v>37</v>
      </c>
      <c r="C382" s="38" t="str">
        <f>IFERROR(__xludf.DUMMYFUNCTION("""COMPUTED_VALUE"""),"BE")</f>
        <v>BE</v>
      </c>
      <c r="D382" s="38">
        <f>IFERROR(__xludf.DUMMYFUNCTION("""COMPUTED_VALUE"""),1.0)</f>
        <v>1</v>
      </c>
      <c r="G382" s="38">
        <v>1.0</v>
      </c>
    </row>
    <row r="383">
      <c r="A383" s="38" t="str">
        <f>IFERROR(__xludf.DUMMYFUNCTION("""COMPUTED_VALUE"""),"M005")</f>
        <v>M005</v>
      </c>
      <c r="B383" s="38" t="str">
        <f>IFERROR(__xludf.DUMMYFUNCTION("""COMPUTED_VALUE"""),"37")</f>
        <v>37</v>
      </c>
      <c r="C383" s="38" t="str">
        <f>IFERROR(__xludf.DUMMYFUNCTION("""COMPUTED_VALUE"""),"NÂU")</f>
        <v>NÂU</v>
      </c>
      <c r="D383" s="38">
        <f>IFERROR(__xludf.DUMMYFUNCTION("""COMPUTED_VALUE"""),1.0)</f>
        <v>1</v>
      </c>
      <c r="G383" s="38">
        <v>1.0</v>
      </c>
    </row>
    <row r="384">
      <c r="A384" s="38" t="str">
        <f>IFERROR(__xludf.DUMMYFUNCTION("""COMPUTED_VALUE"""),"M005")</f>
        <v>M005</v>
      </c>
      <c r="B384" s="38" t="str">
        <f>IFERROR(__xludf.DUMMYFUNCTION("""COMPUTED_VALUE"""),"37")</f>
        <v>37</v>
      </c>
      <c r="C384" s="38" t="str">
        <f>IFERROR(__xludf.DUMMYFUNCTION("""COMPUTED_VALUE"""),"ĐEN")</f>
        <v>ĐEN</v>
      </c>
      <c r="D384" s="38">
        <f>IFERROR(__xludf.DUMMYFUNCTION("""COMPUTED_VALUE"""),1.0)</f>
        <v>1</v>
      </c>
      <c r="G384" s="38">
        <v>0.0</v>
      </c>
    </row>
    <row r="385">
      <c r="A385" s="38" t="str">
        <f>IFERROR(__xludf.DUMMYFUNCTION("""COMPUTED_VALUE"""),"M005")</f>
        <v>M005</v>
      </c>
      <c r="B385" s="38" t="str">
        <f>IFERROR(__xludf.DUMMYFUNCTION("""COMPUTED_VALUE"""),"38")</f>
        <v>38</v>
      </c>
      <c r="C385" s="38" t="str">
        <f>IFERROR(__xludf.DUMMYFUNCTION("""COMPUTED_VALUE"""),"NÂU")</f>
        <v>NÂU</v>
      </c>
      <c r="D385" s="38">
        <f>IFERROR(__xludf.DUMMYFUNCTION("""COMPUTED_VALUE"""),4.0)</f>
        <v>4</v>
      </c>
      <c r="G385" s="38">
        <v>1.0</v>
      </c>
    </row>
    <row r="386">
      <c r="A386" s="38" t="str">
        <f>IFERROR(__xludf.DUMMYFUNCTION("""COMPUTED_VALUE"""),"M005")</f>
        <v>M005</v>
      </c>
      <c r="B386" s="38" t="str">
        <f>IFERROR(__xludf.DUMMYFUNCTION("""COMPUTED_VALUE"""),"38")</f>
        <v>38</v>
      </c>
      <c r="C386" s="38" t="str">
        <f>IFERROR(__xludf.DUMMYFUNCTION("""COMPUTED_VALUE"""),"ĐEN")</f>
        <v>ĐEN</v>
      </c>
      <c r="D386" s="38">
        <f>IFERROR(__xludf.DUMMYFUNCTION("""COMPUTED_VALUE"""),1.0)</f>
        <v>1</v>
      </c>
      <c r="G386" s="38">
        <v>0.0</v>
      </c>
    </row>
    <row r="387">
      <c r="A387" s="38" t="str">
        <f>IFERROR(__xludf.DUMMYFUNCTION("""COMPUTED_VALUE"""),"M005")</f>
        <v>M005</v>
      </c>
      <c r="B387" s="38" t="str">
        <f>IFERROR(__xludf.DUMMYFUNCTION("""COMPUTED_VALUE"""),"39")</f>
        <v>39</v>
      </c>
      <c r="C387" s="38" t="str">
        <f>IFERROR(__xludf.DUMMYFUNCTION("""COMPUTED_VALUE"""),"BE")</f>
        <v>BE</v>
      </c>
      <c r="D387" s="38">
        <f>IFERROR(__xludf.DUMMYFUNCTION("""COMPUTED_VALUE"""),1.0)</f>
        <v>1</v>
      </c>
      <c r="G387" s="38">
        <v>0.0</v>
      </c>
    </row>
    <row r="388">
      <c r="A388" s="38" t="str">
        <f>IFERROR(__xludf.DUMMYFUNCTION("""COMPUTED_VALUE"""),"M005")</f>
        <v>M005</v>
      </c>
      <c r="B388" s="38" t="str">
        <f>IFERROR(__xludf.DUMMYFUNCTION("""COMPUTED_VALUE"""),"39")</f>
        <v>39</v>
      </c>
      <c r="C388" s="38" t="str">
        <f>IFERROR(__xludf.DUMMYFUNCTION("""COMPUTED_VALUE"""),"NÂU")</f>
        <v>NÂU</v>
      </c>
      <c r="D388" s="38">
        <f>IFERROR(__xludf.DUMMYFUNCTION("""COMPUTED_VALUE"""),2.0)</f>
        <v>2</v>
      </c>
      <c r="G388" s="38">
        <v>0.0</v>
      </c>
    </row>
    <row r="389">
      <c r="A389" s="38" t="str">
        <f>IFERROR(__xludf.DUMMYFUNCTION("""COMPUTED_VALUE"""),"M006")</f>
        <v>M006</v>
      </c>
      <c r="B389" s="38" t="str">
        <f>IFERROR(__xludf.DUMMYFUNCTION("""COMPUTED_VALUE"""),"FZ")</f>
        <v>FZ</v>
      </c>
      <c r="C389" s="38" t="str">
        <f>IFERROR(__xludf.DUMMYFUNCTION("""COMPUTED_VALUE"""),"BE")</f>
        <v>BE</v>
      </c>
      <c r="D389" s="38">
        <f>IFERROR(__xludf.DUMMYFUNCTION("""COMPUTED_VALUE"""),37.0)</f>
        <v>37</v>
      </c>
      <c r="G389" s="38">
        <v>20.0</v>
      </c>
    </row>
    <row r="390">
      <c r="A390" s="38" t="str">
        <f>IFERROR(__xludf.DUMMYFUNCTION("""COMPUTED_VALUE"""),"M006")</f>
        <v>M006</v>
      </c>
      <c r="B390" s="38" t="str">
        <f>IFERROR(__xludf.DUMMYFUNCTION("""COMPUTED_VALUE"""),"FZ")</f>
        <v>FZ</v>
      </c>
      <c r="C390" s="38" t="str">
        <f>IFERROR(__xludf.DUMMYFUNCTION("""COMPUTED_VALUE"""),"NÂU NHẠT")</f>
        <v>NÂU NHẠT</v>
      </c>
      <c r="D390" s="38">
        <f>IFERROR(__xludf.DUMMYFUNCTION("""COMPUTED_VALUE"""),1.0)</f>
        <v>1</v>
      </c>
      <c r="G390" s="38">
        <v>0.0</v>
      </c>
    </row>
    <row r="391">
      <c r="A391" s="38" t="str">
        <f>IFERROR(__xludf.DUMMYFUNCTION("""COMPUTED_VALUE"""),"M006")</f>
        <v>M006</v>
      </c>
      <c r="B391" s="38" t="str">
        <f>IFERROR(__xludf.DUMMYFUNCTION("""COMPUTED_VALUE"""),"FZ")</f>
        <v>FZ</v>
      </c>
      <c r="C391" s="38" t="str">
        <f>IFERROR(__xludf.DUMMYFUNCTION("""COMPUTED_VALUE"""),"TRẮNG")</f>
        <v>TRẮNG</v>
      </c>
      <c r="D391" s="38">
        <f>IFERROR(__xludf.DUMMYFUNCTION("""COMPUTED_VALUE"""),78.0)</f>
        <v>78</v>
      </c>
      <c r="G391" s="38">
        <v>50.0</v>
      </c>
    </row>
    <row r="392">
      <c r="A392" s="38" t="str">
        <f>IFERROR(__xludf.DUMMYFUNCTION("""COMPUTED_VALUE"""),"M006")</f>
        <v>M006</v>
      </c>
      <c r="B392" s="38" t="str">
        <f>IFERROR(__xludf.DUMMYFUNCTION("""COMPUTED_VALUE"""),"FZ")</f>
        <v>FZ</v>
      </c>
      <c r="C392" s="38" t="str">
        <f>IFERROR(__xludf.DUMMYFUNCTION("""COMPUTED_VALUE"""),"XÁM")</f>
        <v>XÁM</v>
      </c>
      <c r="D392" s="38">
        <f>IFERROR(__xludf.DUMMYFUNCTION("""COMPUTED_VALUE"""),48.0)</f>
        <v>48</v>
      </c>
      <c r="G392" s="38">
        <v>25.0</v>
      </c>
    </row>
    <row r="393">
      <c r="A393" s="38" t="str">
        <f>IFERROR(__xludf.DUMMYFUNCTION("""COMPUTED_VALUE"""),"M006")</f>
        <v>M006</v>
      </c>
      <c r="B393" s="38" t="str">
        <f>IFERROR(__xludf.DUMMYFUNCTION("""COMPUTED_VALUE"""),"FZ")</f>
        <v>FZ</v>
      </c>
      <c r="C393" s="38" t="str">
        <f>IFERROR(__xludf.DUMMYFUNCTION("""COMPUTED_VALUE"""),"ĐEN")</f>
        <v>ĐEN</v>
      </c>
      <c r="D393" s="38">
        <f>IFERROR(__xludf.DUMMYFUNCTION("""COMPUTED_VALUE"""),76.0)</f>
        <v>76</v>
      </c>
      <c r="G393" s="38">
        <v>45.0</v>
      </c>
    </row>
    <row r="394">
      <c r="A394" s="38" t="str">
        <f>IFERROR(__xludf.DUMMYFUNCTION("""COMPUTED_VALUE"""),"M007")</f>
        <v>M007</v>
      </c>
      <c r="B394" s="38" t="str">
        <f>IFERROR(__xludf.DUMMYFUNCTION("""COMPUTED_VALUE"""),"37")</f>
        <v>37</v>
      </c>
      <c r="C394" s="38" t="str">
        <f>IFERROR(__xludf.DUMMYFUNCTION("""COMPUTED_VALUE"""),"ONITSUKA")</f>
        <v>ONITSUKA</v>
      </c>
      <c r="D394" s="38">
        <f>IFERROR(__xludf.DUMMYFUNCTION("""COMPUTED_VALUE"""),1.0)</f>
        <v>1</v>
      </c>
      <c r="G394" s="38">
        <v>0.0</v>
      </c>
    </row>
    <row r="395">
      <c r="A395" s="38" t="str">
        <f>IFERROR(__xludf.DUMMYFUNCTION("""COMPUTED_VALUE"""),"M007")</f>
        <v>M007</v>
      </c>
      <c r="B395" s="38" t="str">
        <f>IFERROR(__xludf.DUMMYFUNCTION("""COMPUTED_VALUE"""),"37")</f>
        <v>37</v>
      </c>
      <c r="C395" s="38" t="str">
        <f>IFERROR(__xludf.DUMMYFUNCTION("""COMPUTED_VALUE"""),"Onitsuka")</f>
        <v>Onitsuka</v>
      </c>
      <c r="D395" s="38">
        <f>IFERROR(__xludf.DUMMYFUNCTION("""COMPUTED_VALUE"""),1.0)</f>
        <v>1</v>
      </c>
      <c r="G395" s="38">
        <v>0.0</v>
      </c>
    </row>
    <row r="396">
      <c r="A396" s="38" t="str">
        <f>IFERROR(__xludf.DUMMYFUNCTION("""COMPUTED_VALUE"""),"M007")</f>
        <v>M007</v>
      </c>
      <c r="B396" s="38" t="str">
        <f>IFERROR(__xludf.DUMMYFUNCTION("""COMPUTED_VALUE"""),"37")</f>
        <v>37</v>
      </c>
      <c r="C396" s="38" t="str">
        <f>IFERROR(__xludf.DUMMYFUNCTION("""COMPUTED_VALUE"""),"Onitsuka ")</f>
        <v>Onitsuka </v>
      </c>
      <c r="D396" s="38">
        <f>IFERROR(__xludf.DUMMYFUNCTION("""COMPUTED_VALUE"""),1.0)</f>
        <v>1</v>
      </c>
      <c r="G396" s="38">
        <v>0.0</v>
      </c>
    </row>
    <row r="397">
      <c r="A397" s="38" t="str">
        <f>IFERROR(__xludf.DUMMYFUNCTION("""COMPUTED_VALUE"""),"M007")</f>
        <v>M007</v>
      </c>
      <c r="B397" s="38" t="str">
        <f>IFERROR(__xludf.DUMMYFUNCTION("""COMPUTED_VALUE"""),"39")</f>
        <v>39</v>
      </c>
      <c r="C397" s="38" t="str">
        <f>IFERROR(__xludf.DUMMYFUNCTION("""COMPUTED_VALUE"""),"Onitsuka")</f>
        <v>Onitsuka</v>
      </c>
      <c r="D397" s="38">
        <f>IFERROR(__xludf.DUMMYFUNCTION("""COMPUTED_VALUE"""),1.0)</f>
        <v>1</v>
      </c>
      <c r="G397" s="38">
        <v>0.0</v>
      </c>
    </row>
    <row r="398">
      <c r="A398" s="38" t="str">
        <f>IFERROR(__xludf.DUMMYFUNCTION("""COMPUTED_VALUE"""),"M007")</f>
        <v>M007</v>
      </c>
      <c r="B398" s="38" t="str">
        <f>IFERROR(__xludf.DUMMYFUNCTION("""COMPUTED_VALUE"""),"FZ")</f>
        <v>FZ</v>
      </c>
      <c r="C398" s="38" t="str">
        <f>IFERROR(__xludf.DUMMYFUNCTION("""COMPUTED_VALUE"""),"Angelia Tran")</f>
        <v>Angelia Tran</v>
      </c>
      <c r="D398" s="38">
        <f>IFERROR(__xludf.DUMMYFUNCTION("""COMPUTED_VALUE"""),1.0)</f>
        <v>1</v>
      </c>
      <c r="G398" s="38">
        <v>0.0</v>
      </c>
    </row>
    <row r="399">
      <c r="A399" s="38" t="str">
        <f>IFERROR(__xludf.DUMMYFUNCTION("""COMPUTED_VALUE"""),"M007")</f>
        <v>M007</v>
      </c>
      <c r="B399" s="38" t="str">
        <f>IFERROR(__xludf.DUMMYFUNCTION("""COMPUTED_VALUE"""),"FZ")</f>
        <v>FZ</v>
      </c>
      <c r="C399" s="38" t="str">
        <f>IFERROR(__xludf.DUMMYFUNCTION("""COMPUTED_VALUE"""),"BUILUONG")</f>
        <v>BUILUONG</v>
      </c>
      <c r="D399" s="38">
        <f>IFERROR(__xludf.DUMMYFUNCTION("""COMPUTED_VALUE"""),1.0)</f>
        <v>1</v>
      </c>
      <c r="G399" s="38">
        <v>0.0</v>
      </c>
    </row>
    <row r="400">
      <c r="A400" s="38" t="str">
        <f>IFERROR(__xludf.DUMMYFUNCTION("""COMPUTED_VALUE"""),"M007")</f>
        <v>M007</v>
      </c>
      <c r="B400" s="38" t="str">
        <f>IFERROR(__xludf.DUMMYFUNCTION("""COMPUTED_VALUE"""),"FZ")</f>
        <v>FZ</v>
      </c>
      <c r="C400" s="38" t="str">
        <f>IFERROR(__xludf.DUMMYFUNCTION("""COMPUTED_VALUE"""),"BichChung")</f>
        <v>BichChung</v>
      </c>
      <c r="D400" s="38">
        <f>IFERROR(__xludf.DUMMYFUNCTION("""COMPUTED_VALUE"""),1.0)</f>
        <v>1</v>
      </c>
      <c r="G400" s="38">
        <v>0.0</v>
      </c>
    </row>
    <row r="401">
      <c r="A401" s="38" t="str">
        <f>IFERROR(__xludf.DUMMYFUNCTION("""COMPUTED_VALUE"""),"M007")</f>
        <v>M007</v>
      </c>
      <c r="B401" s="38" t="str">
        <f>IFERROR(__xludf.DUMMYFUNCTION("""COMPUTED_VALUE"""),"FZ")</f>
        <v>FZ</v>
      </c>
      <c r="C401" s="38" t="str">
        <f>IFERROR(__xludf.DUMMYFUNCTION("""COMPUTED_VALUE"""),"CAOKHANHUYEN")</f>
        <v>CAOKHANHUYEN</v>
      </c>
      <c r="D401" s="38">
        <f>IFERROR(__xludf.DUMMYFUNCTION("""COMPUTED_VALUE"""),1.0)</f>
        <v>1</v>
      </c>
      <c r="G401" s="38">
        <v>0.0</v>
      </c>
    </row>
    <row r="402">
      <c r="A402" s="38" t="str">
        <f>IFERROR(__xludf.DUMMYFUNCTION("""COMPUTED_VALUE"""),"M007")</f>
        <v>M007</v>
      </c>
      <c r="B402" s="38" t="str">
        <f>IFERROR(__xludf.DUMMYFUNCTION("""COMPUTED_VALUE"""),"FZ")</f>
        <v>FZ</v>
      </c>
      <c r="C402" s="38" t="str">
        <f>IFERROR(__xludf.DUMMYFUNCTION("""COMPUTED_VALUE"""),"DAOTHITRA")</f>
        <v>DAOTHITRA</v>
      </c>
      <c r="D402" s="38">
        <f>IFERROR(__xludf.DUMMYFUNCTION("""COMPUTED_VALUE"""),1.0)</f>
        <v>1</v>
      </c>
      <c r="G402" s="38">
        <v>0.0</v>
      </c>
    </row>
    <row r="403">
      <c r="A403" s="38" t="str">
        <f>IFERROR(__xludf.DUMMYFUNCTION("""COMPUTED_VALUE"""),"M007")</f>
        <v>M007</v>
      </c>
      <c r="B403" s="38" t="str">
        <f>IFERROR(__xludf.DUMMYFUNCTION("""COMPUTED_VALUE"""),"FZ")</f>
        <v>FZ</v>
      </c>
      <c r="C403" s="38" t="str">
        <f>IFERROR(__xludf.DUMMYFUNCTION("""COMPUTED_VALUE"""),"DONGOCUYEN")</f>
        <v>DONGOCUYEN</v>
      </c>
      <c r="D403" s="38">
        <f>IFERROR(__xludf.DUMMYFUNCTION("""COMPUTED_VALUE"""),1.0)</f>
        <v>1</v>
      </c>
      <c r="G403" s="38">
        <v>0.0</v>
      </c>
    </row>
    <row r="404">
      <c r="A404" s="38" t="str">
        <f>IFERROR(__xludf.DUMMYFUNCTION("""COMPUTED_VALUE"""),"M007")</f>
        <v>M007</v>
      </c>
      <c r="B404" s="38" t="str">
        <f>IFERROR(__xludf.DUMMYFUNCTION("""COMPUTED_VALUE"""),"FZ")</f>
        <v>FZ</v>
      </c>
      <c r="C404" s="38" t="str">
        <f>IFERROR(__xludf.DUMMYFUNCTION("""COMPUTED_VALUE"""),"DUONGNGOCTHAO")</f>
        <v>DUONGNGOCTHAO</v>
      </c>
      <c r="D404" s="38">
        <f>IFERROR(__xludf.DUMMYFUNCTION("""COMPUTED_VALUE"""),2.0)</f>
        <v>2</v>
      </c>
      <c r="G404" s="38">
        <v>0.0</v>
      </c>
    </row>
    <row r="405">
      <c r="A405" s="38" t="str">
        <f>IFERROR(__xludf.DUMMYFUNCTION("""COMPUTED_VALUE"""),"M007")</f>
        <v>M007</v>
      </c>
      <c r="B405" s="38" t="str">
        <f>IFERROR(__xludf.DUMMYFUNCTION("""COMPUTED_VALUE"""),"FZ")</f>
        <v>FZ</v>
      </c>
      <c r="C405" s="38" t="str">
        <f>IFERROR(__xludf.DUMMYFUNCTION("""COMPUTED_VALUE"""),"DUONGNHUMAILINH")</f>
        <v>DUONGNHUMAILINH</v>
      </c>
      <c r="D405" s="38">
        <f>IFERROR(__xludf.DUMMYFUNCTION("""COMPUTED_VALUE"""),1.0)</f>
        <v>1</v>
      </c>
      <c r="G405" s="38">
        <v>0.0</v>
      </c>
    </row>
    <row r="406">
      <c r="A406" s="38" t="str">
        <f>IFERROR(__xludf.DUMMYFUNCTION("""COMPUTED_VALUE"""),"M007")</f>
        <v>M007</v>
      </c>
      <c r="B406" s="38" t="str">
        <f>IFERROR(__xludf.DUMMYFUNCTION("""COMPUTED_VALUE"""),"FZ")</f>
        <v>FZ</v>
      </c>
      <c r="C406" s="38" t="str">
        <f>IFERROR(__xludf.DUMMYFUNCTION("""COMPUTED_VALUE"""),"DaoThiTring")</f>
        <v>DaoThiTring</v>
      </c>
      <c r="D406" s="38">
        <f>IFERROR(__xludf.DUMMYFUNCTION("""COMPUTED_VALUE"""),1.0)</f>
        <v>1</v>
      </c>
      <c r="G406" s="38">
        <v>0.0</v>
      </c>
    </row>
    <row r="407">
      <c r="A407" s="38" t="str">
        <f>IFERROR(__xludf.DUMMYFUNCTION("""COMPUTED_VALUE"""),"M007")</f>
        <v>M007</v>
      </c>
      <c r="B407" s="38" t="str">
        <f>IFERROR(__xludf.DUMMYFUNCTION("""COMPUTED_VALUE"""),"FZ")</f>
        <v>FZ</v>
      </c>
      <c r="C407" s="38" t="str">
        <f>IFERROR(__xludf.DUMMYFUNCTION("""COMPUTED_VALUE"""),"GIALINH")</f>
        <v>GIALINH</v>
      </c>
      <c r="D407" s="38">
        <f>IFERROR(__xludf.DUMMYFUNCTION("""COMPUTED_VALUE"""),1.0)</f>
        <v>1</v>
      </c>
      <c r="G407" s="38">
        <v>0.0</v>
      </c>
    </row>
    <row r="408">
      <c r="A408" s="38" t="str">
        <f>IFERROR(__xludf.DUMMYFUNCTION("""COMPUTED_VALUE"""),"M007")</f>
        <v>M007</v>
      </c>
      <c r="B408" s="38" t="str">
        <f>IFERROR(__xludf.DUMMYFUNCTION("""COMPUTED_VALUE"""),"FZ")</f>
        <v>FZ</v>
      </c>
      <c r="C408" s="38" t="str">
        <f>IFERROR(__xludf.DUMMYFUNCTION("""COMPUTED_VALUE"""),"GIANGVU")</f>
        <v>GIANGVU</v>
      </c>
      <c r="D408" s="38">
        <f>IFERROR(__xludf.DUMMYFUNCTION("""COMPUTED_VALUE"""),2.0)</f>
        <v>2</v>
      </c>
      <c r="G408" s="38">
        <v>0.0</v>
      </c>
    </row>
    <row r="409">
      <c r="A409" s="38" t="str">
        <f>IFERROR(__xludf.DUMMYFUNCTION("""COMPUTED_VALUE"""),"M007")</f>
        <v>M007</v>
      </c>
      <c r="B409" s="38" t="str">
        <f>IFERROR(__xludf.DUMMYFUNCTION("""COMPUTED_VALUE"""),"FZ")</f>
        <v>FZ</v>
      </c>
      <c r="C409" s="38" t="str">
        <f>IFERROR(__xludf.DUMMYFUNCTION("""COMPUTED_VALUE"""),"HALINH")</f>
        <v>HALINH</v>
      </c>
      <c r="D409" s="38">
        <f>IFERROR(__xludf.DUMMYFUNCTION("""COMPUTED_VALUE"""),1.0)</f>
        <v>1</v>
      </c>
      <c r="G409" s="38">
        <v>0.0</v>
      </c>
    </row>
    <row r="410">
      <c r="A410" s="38" t="str">
        <f>IFERROR(__xludf.DUMMYFUNCTION("""COMPUTED_VALUE"""),"M007")</f>
        <v>M007</v>
      </c>
      <c r="B410" s="38" t="str">
        <f>IFERROR(__xludf.DUMMYFUNCTION("""COMPUTED_VALUE"""),"FZ")</f>
        <v>FZ</v>
      </c>
      <c r="C410" s="38" t="str">
        <f>IFERROR(__xludf.DUMMYFUNCTION("""COMPUTED_VALUE"""),"HALONG")</f>
        <v>HALONG</v>
      </c>
      <c r="D410" s="38">
        <f>IFERROR(__xludf.DUMMYFUNCTION("""COMPUTED_VALUE"""),1.0)</f>
        <v>1</v>
      </c>
      <c r="G410" s="38">
        <v>0.0</v>
      </c>
    </row>
    <row r="411">
      <c r="A411" s="38" t="str">
        <f>IFERROR(__xludf.DUMMYFUNCTION("""COMPUTED_VALUE"""),"M007")</f>
        <v>M007</v>
      </c>
      <c r="B411" s="38" t="str">
        <f>IFERROR(__xludf.DUMMYFUNCTION("""COMPUTED_VALUE"""),"FZ")</f>
        <v>FZ</v>
      </c>
      <c r="C411" s="38" t="str">
        <f>IFERROR(__xludf.DUMMYFUNCTION("""COMPUTED_VALUE"""),"HANGUYEN")</f>
        <v>HANGUYEN</v>
      </c>
      <c r="D411" s="38">
        <f>IFERROR(__xludf.DUMMYFUNCTION("""COMPUTED_VALUE"""),1.0)</f>
        <v>1</v>
      </c>
      <c r="G411" s="38">
        <v>0.0</v>
      </c>
    </row>
    <row r="412">
      <c r="A412" s="38" t="str">
        <f>IFERROR(__xludf.DUMMYFUNCTION("""COMPUTED_VALUE"""),"M007")</f>
        <v>M007</v>
      </c>
      <c r="B412" s="38" t="str">
        <f>IFERROR(__xludf.DUMMYFUNCTION("""COMPUTED_VALUE"""),"FZ")</f>
        <v>FZ</v>
      </c>
      <c r="C412" s="38" t="str">
        <f>IFERROR(__xludf.DUMMYFUNCTION("""COMPUTED_VALUE"""),"HATHIQUYNH")</f>
        <v>HATHIQUYNH</v>
      </c>
      <c r="D412" s="38">
        <f>IFERROR(__xludf.DUMMYFUNCTION("""COMPUTED_VALUE"""),1.0)</f>
        <v>1</v>
      </c>
      <c r="G412" s="38">
        <v>0.0</v>
      </c>
    </row>
    <row r="413">
      <c r="A413" s="38" t="str">
        <f>IFERROR(__xludf.DUMMYFUNCTION("""COMPUTED_VALUE"""),"M007")</f>
        <v>M007</v>
      </c>
      <c r="B413" s="38" t="str">
        <f>IFERROR(__xludf.DUMMYFUNCTION("""COMPUTED_VALUE"""),"FZ")</f>
        <v>FZ</v>
      </c>
      <c r="C413" s="38" t="str">
        <f>IFERROR(__xludf.DUMMYFUNCTION("""COMPUTED_VALUE"""),"HUETRINH")</f>
        <v>HUETRINH</v>
      </c>
      <c r="D413" s="38">
        <f>IFERROR(__xludf.DUMMYFUNCTION("""COMPUTED_VALUE"""),1.0)</f>
        <v>1</v>
      </c>
      <c r="G413" s="38">
        <v>0.0</v>
      </c>
    </row>
    <row r="414">
      <c r="A414" s="38" t="str">
        <f>IFERROR(__xludf.DUMMYFUNCTION("""COMPUTED_VALUE"""),"M007")</f>
        <v>M007</v>
      </c>
      <c r="B414" s="38" t="str">
        <f>IFERROR(__xludf.DUMMYFUNCTION("""COMPUTED_VALUE"""),"FZ")</f>
        <v>FZ</v>
      </c>
      <c r="C414" s="38" t="str">
        <f>IFERROR(__xludf.DUMMYFUNCTION("""COMPUTED_VALUE"""),"HUONGAKI")</f>
        <v>HUONGAKI</v>
      </c>
      <c r="D414" s="38">
        <f>IFERROR(__xludf.DUMMYFUNCTION("""COMPUTED_VALUE"""),1.0)</f>
        <v>1</v>
      </c>
      <c r="G414" s="38">
        <v>0.0</v>
      </c>
    </row>
    <row r="415">
      <c r="A415" s="38" t="str">
        <f>IFERROR(__xludf.DUMMYFUNCTION("""COMPUTED_VALUE"""),"M007")</f>
        <v>M007</v>
      </c>
      <c r="B415" s="38" t="str">
        <f>IFERROR(__xludf.DUMMYFUNCTION("""COMPUTED_VALUE"""),"FZ")</f>
        <v>FZ</v>
      </c>
      <c r="C415" s="38" t="str">
        <f>IFERROR(__xludf.DUMMYFUNCTION("""COMPUTED_VALUE"""),"HUONGLY")</f>
        <v>HUONGLY</v>
      </c>
      <c r="D415" s="38">
        <f>IFERROR(__xludf.DUMMYFUNCTION("""COMPUTED_VALUE"""),1.0)</f>
        <v>1</v>
      </c>
      <c r="G415" s="38">
        <v>0.0</v>
      </c>
    </row>
    <row r="416">
      <c r="A416" s="38" t="str">
        <f>IFERROR(__xludf.DUMMYFUNCTION("""COMPUTED_VALUE"""),"M007")</f>
        <v>M007</v>
      </c>
      <c r="B416" s="38" t="str">
        <f>IFERROR(__xludf.DUMMYFUNCTION("""COMPUTED_VALUE"""),"FZ")</f>
        <v>FZ</v>
      </c>
      <c r="C416" s="38" t="str">
        <f>IFERROR(__xludf.DUMMYFUNCTION("""COMPUTED_VALUE"""),"HUYENTRANG")</f>
        <v>HUYENTRANG</v>
      </c>
      <c r="D416" s="38">
        <f>IFERROR(__xludf.DUMMYFUNCTION("""COMPUTED_VALUE"""),1.0)</f>
        <v>1</v>
      </c>
      <c r="G416" s="38">
        <v>0.0</v>
      </c>
    </row>
    <row r="417">
      <c r="A417" s="38" t="str">
        <f>IFERROR(__xludf.DUMMYFUNCTION("""COMPUTED_VALUE"""),"M007")</f>
        <v>M007</v>
      </c>
      <c r="B417" s="38" t="str">
        <f>IFERROR(__xludf.DUMMYFUNCTION("""COMPUTED_VALUE"""),"FZ")</f>
        <v>FZ</v>
      </c>
      <c r="C417" s="38" t="str">
        <f>IFERROR(__xludf.DUMMYFUNCTION("""COMPUTED_VALUE"""),"HUYNHVY")</f>
        <v>HUYNHVY</v>
      </c>
      <c r="D417" s="38">
        <f>IFERROR(__xludf.DUMMYFUNCTION("""COMPUTED_VALUE"""),1.0)</f>
        <v>1</v>
      </c>
      <c r="G417" s="38">
        <v>0.0</v>
      </c>
    </row>
    <row r="418">
      <c r="A418" s="38" t="str">
        <f>IFERROR(__xludf.DUMMYFUNCTION("""COMPUTED_VALUE"""),"M007")</f>
        <v>M007</v>
      </c>
      <c r="B418" s="38" t="str">
        <f>IFERROR(__xludf.DUMMYFUNCTION("""COMPUTED_VALUE"""),"FZ")</f>
        <v>FZ</v>
      </c>
      <c r="C418" s="38" t="str">
        <f>IFERROR(__xludf.DUMMYFUNCTION("""COMPUTED_VALUE"""),"HoanTran")</f>
        <v>HoanTran</v>
      </c>
      <c r="D418" s="38">
        <f>IFERROR(__xludf.DUMMYFUNCTION("""COMPUTED_VALUE"""),1.0)</f>
        <v>1</v>
      </c>
      <c r="G418" s="38">
        <v>0.0</v>
      </c>
    </row>
    <row r="419">
      <c r="A419" s="38" t="str">
        <f>IFERROR(__xludf.DUMMYFUNCTION("""COMPUTED_VALUE"""),"M007")</f>
        <v>M007</v>
      </c>
      <c r="B419" s="38" t="str">
        <f>IFERROR(__xludf.DUMMYFUNCTION("""COMPUTED_VALUE"""),"FZ")</f>
        <v>FZ</v>
      </c>
      <c r="C419" s="38" t="str">
        <f>IFERROR(__xludf.DUMMYFUNCTION("""COMPUTED_VALUE"""),"KIMDUYEN")</f>
        <v>KIMDUYEN</v>
      </c>
      <c r="D419" s="38">
        <f>IFERROR(__xludf.DUMMYFUNCTION("""COMPUTED_VALUE"""),1.0)</f>
        <v>1</v>
      </c>
      <c r="G419" s="38">
        <v>0.0</v>
      </c>
    </row>
    <row r="420">
      <c r="A420" s="38" t="str">
        <f>IFERROR(__xludf.DUMMYFUNCTION("""COMPUTED_VALUE"""),"M007")</f>
        <v>M007</v>
      </c>
      <c r="B420" s="38" t="str">
        <f>IFERROR(__xludf.DUMMYFUNCTION("""COMPUTED_VALUE"""),"FZ")</f>
        <v>FZ</v>
      </c>
      <c r="C420" s="38" t="str">
        <f>IFERROR(__xludf.DUMMYFUNCTION("""COMPUTED_VALUE"""),"Kaoru")</f>
        <v>Kaoru</v>
      </c>
      <c r="D420" s="38">
        <f>IFERROR(__xludf.DUMMYFUNCTION("""COMPUTED_VALUE"""),1.0)</f>
        <v>1</v>
      </c>
      <c r="G420" s="38">
        <v>0.0</v>
      </c>
    </row>
    <row r="421">
      <c r="A421" s="38" t="str">
        <f>IFERROR(__xludf.DUMMYFUNCTION("""COMPUTED_VALUE"""),"M007")</f>
        <v>M007</v>
      </c>
      <c r="B421" s="38" t="str">
        <f>IFERROR(__xludf.DUMMYFUNCTION("""COMPUTED_VALUE"""),"FZ")</f>
        <v>FZ</v>
      </c>
      <c r="C421" s="38" t="str">
        <f>IFERROR(__xludf.DUMMYFUNCTION("""COMPUTED_VALUE"""),"LAMLAM")</f>
        <v>LAMLAM</v>
      </c>
      <c r="D421" s="38">
        <f>IFERROR(__xludf.DUMMYFUNCTION("""COMPUTED_VALUE"""),1.0)</f>
        <v>1</v>
      </c>
      <c r="G421" s="38">
        <v>0.0</v>
      </c>
    </row>
    <row r="422">
      <c r="A422" s="38" t="str">
        <f>IFERROR(__xludf.DUMMYFUNCTION("""COMPUTED_VALUE"""),"M007")</f>
        <v>M007</v>
      </c>
      <c r="B422" s="38" t="str">
        <f>IFERROR(__xludf.DUMMYFUNCTION("""COMPUTED_VALUE"""),"FZ")</f>
        <v>FZ</v>
      </c>
      <c r="C422" s="38" t="str">
        <f>IFERROR(__xludf.DUMMYFUNCTION("""COMPUTED_VALUE"""),"LEYU")</f>
        <v>LEYU</v>
      </c>
      <c r="D422" s="38">
        <f>IFERROR(__xludf.DUMMYFUNCTION("""COMPUTED_VALUE"""),1.0)</f>
        <v>1</v>
      </c>
      <c r="G422" s="38">
        <v>0.0</v>
      </c>
    </row>
    <row r="423">
      <c r="A423" s="38" t="str">
        <f>IFERROR(__xludf.DUMMYFUNCTION("""COMPUTED_VALUE"""),"M007")</f>
        <v>M007</v>
      </c>
      <c r="B423" s="38" t="str">
        <f>IFERROR(__xludf.DUMMYFUNCTION("""COMPUTED_VALUE"""),"FZ")</f>
        <v>FZ</v>
      </c>
      <c r="C423" s="38" t="str">
        <f>IFERROR(__xludf.DUMMYFUNCTION("""COMPUTED_VALUE"""),"LINHEM")</f>
        <v>LINHEM</v>
      </c>
      <c r="D423" s="38">
        <f>IFERROR(__xludf.DUMMYFUNCTION("""COMPUTED_VALUE"""),1.0)</f>
        <v>1</v>
      </c>
      <c r="G423" s="38">
        <v>0.0</v>
      </c>
    </row>
    <row r="424">
      <c r="A424" s="38" t="str">
        <f>IFERROR(__xludf.DUMMYFUNCTION("""COMPUTED_VALUE"""),"M007")</f>
        <v>M007</v>
      </c>
      <c r="B424" s="38" t="str">
        <f>IFERROR(__xludf.DUMMYFUNCTION("""COMPUTED_VALUE"""),"FZ")</f>
        <v>FZ</v>
      </c>
      <c r="C424" s="38" t="str">
        <f>IFERROR(__xludf.DUMMYFUNCTION("""COMPUTED_VALUE"""),"Lam Lam")</f>
        <v>Lam Lam</v>
      </c>
      <c r="D424" s="38">
        <f>IFERROR(__xludf.DUMMYFUNCTION("""COMPUTED_VALUE"""),1.0)</f>
        <v>1</v>
      </c>
      <c r="G424" s="38">
        <v>0.0</v>
      </c>
    </row>
    <row r="425">
      <c r="A425" s="38" t="str">
        <f>IFERROR(__xludf.DUMMYFUNCTION("""COMPUTED_VALUE"""),"M007")</f>
        <v>M007</v>
      </c>
      <c r="B425" s="38" t="str">
        <f>IFERROR(__xludf.DUMMYFUNCTION("""COMPUTED_VALUE"""),"FZ")</f>
        <v>FZ</v>
      </c>
      <c r="C425" s="38" t="str">
        <f>IFERROR(__xludf.DUMMYFUNCTION("""COMPUTED_VALUE"""),"LiLy")</f>
        <v>LiLy</v>
      </c>
      <c r="D425" s="38">
        <f>IFERROR(__xludf.DUMMYFUNCTION("""COMPUTED_VALUE"""),2.0)</f>
        <v>2</v>
      </c>
      <c r="G425" s="38">
        <v>0.0</v>
      </c>
    </row>
    <row r="426">
      <c r="A426" s="38" t="str">
        <f>IFERROR(__xludf.DUMMYFUNCTION("""COMPUTED_VALUE"""),"M007")</f>
        <v>M007</v>
      </c>
      <c r="B426" s="38" t="str">
        <f>IFERROR(__xludf.DUMMYFUNCTION("""COMPUTED_VALUE"""),"FZ")</f>
        <v>FZ</v>
      </c>
      <c r="C426" s="38" t="str">
        <f>IFERROR(__xludf.DUMMYFUNCTION("""COMPUTED_VALUE"""),"Lily")</f>
        <v>Lily</v>
      </c>
      <c r="D426" s="38">
        <f>IFERROR(__xludf.DUMMYFUNCTION("""COMPUTED_VALUE"""),1.0)</f>
        <v>1</v>
      </c>
      <c r="G426" s="38">
        <v>0.0</v>
      </c>
    </row>
    <row r="427">
      <c r="A427" s="38" t="str">
        <f>IFERROR(__xludf.DUMMYFUNCTION("""COMPUTED_VALUE"""),"M007")</f>
        <v>M007</v>
      </c>
      <c r="B427" s="38" t="str">
        <f>IFERROR(__xludf.DUMMYFUNCTION("""COMPUTED_VALUE"""),"FZ")</f>
        <v>FZ</v>
      </c>
      <c r="C427" s="38" t="str">
        <f>IFERROR(__xludf.DUMMYFUNCTION("""COMPUTED_VALUE"""),"MAITHANHGIANG")</f>
        <v>MAITHANHGIANG</v>
      </c>
      <c r="D427" s="38">
        <f>IFERROR(__xludf.DUMMYFUNCTION("""COMPUTED_VALUE"""),1.0)</f>
        <v>1</v>
      </c>
      <c r="G427" s="38">
        <v>0.0</v>
      </c>
    </row>
    <row r="428">
      <c r="A428" s="38" t="str">
        <f>IFERROR(__xludf.DUMMYFUNCTION("""COMPUTED_VALUE"""),"M007")</f>
        <v>M007</v>
      </c>
      <c r="B428" s="38" t="str">
        <f>IFERROR(__xludf.DUMMYFUNCTION("""COMPUTED_VALUE"""),"FZ")</f>
        <v>FZ</v>
      </c>
      <c r="C428" s="38" t="str">
        <f>IFERROR(__xludf.DUMMYFUNCTION("""COMPUTED_VALUE"""),"MOONLEE")</f>
        <v>MOONLEE</v>
      </c>
      <c r="D428" s="38">
        <f>IFERROR(__xludf.DUMMYFUNCTION("""COMPUTED_VALUE"""),1.0)</f>
        <v>1</v>
      </c>
      <c r="G428" s="38">
        <v>0.0</v>
      </c>
    </row>
    <row r="429">
      <c r="A429" s="38" t="str">
        <f>IFERROR(__xludf.DUMMYFUNCTION("""COMPUTED_VALUE"""),"M007")</f>
        <v>M007</v>
      </c>
      <c r="B429" s="38" t="str">
        <f>IFERROR(__xludf.DUMMYFUNCTION("""COMPUTED_VALUE"""),"FZ")</f>
        <v>FZ</v>
      </c>
      <c r="C429" s="38" t="str">
        <f>IFERROR(__xludf.DUMMYFUNCTION("""COMPUTED_VALUE"""),"MY YU")</f>
        <v>MY YU</v>
      </c>
      <c r="D429" s="38">
        <f>IFERROR(__xludf.DUMMYFUNCTION("""COMPUTED_VALUE"""),1.0)</f>
        <v>1</v>
      </c>
      <c r="G429" s="38">
        <v>0.0</v>
      </c>
    </row>
    <row r="430">
      <c r="A430" s="38" t="str">
        <f>IFERROR(__xludf.DUMMYFUNCTION("""COMPUTED_VALUE"""),"M007")</f>
        <v>M007</v>
      </c>
      <c r="B430" s="38" t="str">
        <f>IFERROR(__xludf.DUMMYFUNCTION("""COMPUTED_VALUE"""),"FZ")</f>
        <v>FZ</v>
      </c>
      <c r="C430" s="38" t="str">
        <f>IFERROR(__xludf.DUMMYFUNCTION("""COMPUTED_VALUE"""),"NANAPURPLE")</f>
        <v>NANAPURPLE</v>
      </c>
      <c r="D430" s="38">
        <f>IFERROR(__xludf.DUMMYFUNCTION("""COMPUTED_VALUE"""),1.0)</f>
        <v>1</v>
      </c>
      <c r="G430" s="38">
        <v>0.0</v>
      </c>
    </row>
    <row r="431">
      <c r="A431" s="38" t="str">
        <f>IFERROR(__xludf.DUMMYFUNCTION("""COMPUTED_VALUE"""),"M007")</f>
        <v>M007</v>
      </c>
      <c r="B431" s="38" t="str">
        <f>IFERROR(__xludf.DUMMYFUNCTION("""COMPUTED_VALUE"""),"FZ")</f>
        <v>FZ</v>
      </c>
      <c r="C431" s="38" t="str">
        <f>IFERROR(__xludf.DUMMYFUNCTION("""COMPUTED_VALUE"""),"NGATSURI")</f>
        <v>NGATSURI</v>
      </c>
      <c r="D431" s="38">
        <f>IFERROR(__xludf.DUMMYFUNCTION("""COMPUTED_VALUE"""),1.0)</f>
        <v>1</v>
      </c>
      <c r="G431" s="38">
        <v>0.0</v>
      </c>
    </row>
    <row r="432">
      <c r="A432" s="38" t="str">
        <f>IFERROR(__xludf.DUMMYFUNCTION("""COMPUTED_VALUE"""),"M007")</f>
        <v>M007</v>
      </c>
      <c r="B432" s="38" t="str">
        <f>IFERROR(__xludf.DUMMYFUNCTION("""COMPUTED_VALUE"""),"FZ")</f>
        <v>FZ</v>
      </c>
      <c r="C432" s="38" t="str">
        <f>IFERROR(__xludf.DUMMYFUNCTION("""COMPUTED_VALUE"""),"NGOCANH")</f>
        <v>NGOCANH</v>
      </c>
      <c r="D432" s="38">
        <f>IFERROR(__xludf.DUMMYFUNCTION("""COMPUTED_VALUE"""),1.0)</f>
        <v>1</v>
      </c>
      <c r="G432" s="38">
        <v>0.0</v>
      </c>
    </row>
    <row r="433">
      <c r="A433" s="38" t="str">
        <f>IFERROR(__xludf.DUMMYFUNCTION("""COMPUTED_VALUE"""),"M007")</f>
        <v>M007</v>
      </c>
      <c r="B433" s="38" t="str">
        <f>IFERROR(__xludf.DUMMYFUNCTION("""COMPUTED_VALUE"""),"FZ")</f>
        <v>FZ</v>
      </c>
      <c r="C433" s="38" t="str">
        <f>IFERROR(__xludf.DUMMYFUNCTION("""COMPUTED_VALUE"""),"NGUYENDUYEN")</f>
        <v>NGUYENDUYEN</v>
      </c>
      <c r="D433" s="38">
        <f>IFERROR(__xludf.DUMMYFUNCTION("""COMPUTED_VALUE"""),2.0)</f>
        <v>2</v>
      </c>
      <c r="G433" s="38">
        <v>0.0</v>
      </c>
    </row>
    <row r="434">
      <c r="A434" s="38" t="str">
        <f>IFERROR(__xludf.DUMMYFUNCTION("""COMPUTED_VALUE"""),"M007")</f>
        <v>M007</v>
      </c>
      <c r="B434" s="38" t="str">
        <f>IFERROR(__xludf.DUMMYFUNCTION("""COMPUTED_VALUE"""),"FZ")</f>
        <v>FZ</v>
      </c>
      <c r="C434" s="38" t="str">
        <f>IFERROR(__xludf.DUMMYFUNCTION("""COMPUTED_VALUE"""),"NGUYENTHAO")</f>
        <v>NGUYENTHAO</v>
      </c>
      <c r="D434" s="38">
        <f>IFERROR(__xludf.DUMMYFUNCTION("""COMPUTED_VALUE"""),1.0)</f>
        <v>1</v>
      </c>
      <c r="G434" s="38">
        <v>0.0</v>
      </c>
    </row>
    <row r="435">
      <c r="A435" s="38" t="str">
        <f>IFERROR(__xludf.DUMMYFUNCTION("""COMPUTED_VALUE"""),"M007")</f>
        <v>M007</v>
      </c>
      <c r="B435" s="38" t="str">
        <f>IFERROR(__xludf.DUMMYFUNCTION("""COMPUTED_VALUE"""),"FZ")</f>
        <v>FZ</v>
      </c>
      <c r="C435" s="38" t="str">
        <f>IFERROR(__xludf.DUMMYFUNCTION("""COMPUTED_VALUE"""),"NGUYENTHIHANG")</f>
        <v>NGUYENTHIHANG</v>
      </c>
      <c r="D435" s="38">
        <f>IFERROR(__xludf.DUMMYFUNCTION("""COMPUTED_VALUE"""),2.0)</f>
        <v>2</v>
      </c>
      <c r="G435" s="38">
        <v>0.0</v>
      </c>
    </row>
    <row r="436">
      <c r="A436" s="38" t="str">
        <f>IFERROR(__xludf.DUMMYFUNCTION("""COMPUTED_VALUE"""),"M007")</f>
        <v>M007</v>
      </c>
      <c r="B436" s="38" t="str">
        <f>IFERROR(__xludf.DUMMYFUNCTION("""COMPUTED_VALUE"""),"FZ")</f>
        <v>FZ</v>
      </c>
      <c r="C436" s="38" t="str">
        <f>IFERROR(__xludf.DUMMYFUNCTION("""COMPUTED_VALUE"""),"NHUNGDO")</f>
        <v>NHUNGDO</v>
      </c>
      <c r="D436" s="38">
        <f>IFERROR(__xludf.DUMMYFUNCTION("""COMPUTED_VALUE"""),2.0)</f>
        <v>2</v>
      </c>
      <c r="G436" s="38">
        <v>0.0</v>
      </c>
    </row>
    <row r="437">
      <c r="A437" s="38" t="str">
        <f>IFERROR(__xludf.DUMMYFUNCTION("""COMPUTED_VALUE"""),"M007")</f>
        <v>M007</v>
      </c>
      <c r="B437" s="38" t="str">
        <f>IFERROR(__xludf.DUMMYFUNCTION("""COMPUTED_VALUE"""),"FZ")</f>
        <v>FZ</v>
      </c>
      <c r="C437" s="38" t="str">
        <f>IFERROR(__xludf.DUMMYFUNCTION("""COMPUTED_VALUE"""),"NhatGiang")</f>
        <v>NhatGiang</v>
      </c>
      <c r="D437" s="38">
        <f>IFERROR(__xludf.DUMMYFUNCTION("""COMPUTED_VALUE"""),1.0)</f>
        <v>1</v>
      </c>
      <c r="G437" s="38">
        <v>0.0</v>
      </c>
    </row>
    <row r="438">
      <c r="A438" s="38" t="str">
        <f>IFERROR(__xludf.DUMMYFUNCTION("""COMPUTED_VALUE"""),"M007")</f>
        <v>M007</v>
      </c>
      <c r="B438" s="38" t="str">
        <f>IFERROR(__xludf.DUMMYFUNCTION("""COMPUTED_VALUE"""),"FZ")</f>
        <v>FZ</v>
      </c>
      <c r="C438" s="38" t="str">
        <f>IFERROR(__xludf.DUMMYFUNCTION("""COMPUTED_VALUE"""),"NuaDo")</f>
        <v>NuaDo</v>
      </c>
      <c r="D438" s="38">
        <f>IFERROR(__xludf.DUMMYFUNCTION("""COMPUTED_VALUE"""),1.0)</f>
        <v>1</v>
      </c>
      <c r="G438" s="38">
        <v>0.0</v>
      </c>
    </row>
    <row r="439">
      <c r="A439" s="38" t="str">
        <f>IFERROR(__xludf.DUMMYFUNCTION("""COMPUTED_VALUE"""),"M007")</f>
        <v>M007</v>
      </c>
      <c r="B439" s="38" t="str">
        <f>IFERROR(__xludf.DUMMYFUNCTION("""COMPUTED_VALUE"""),"FZ")</f>
        <v>FZ</v>
      </c>
      <c r="C439" s="38" t="str">
        <f>IFERROR(__xludf.DUMMYFUNCTION("""COMPUTED_VALUE"""),"PHAMLE")</f>
        <v>PHAMLE</v>
      </c>
      <c r="D439" s="38">
        <f>IFERROR(__xludf.DUMMYFUNCTION("""COMPUTED_VALUE"""),1.0)</f>
        <v>1</v>
      </c>
      <c r="G439" s="38">
        <v>0.0</v>
      </c>
    </row>
    <row r="440">
      <c r="A440" s="38" t="str">
        <f>IFERROR(__xludf.DUMMYFUNCTION("""COMPUTED_VALUE"""),"M007")</f>
        <v>M007</v>
      </c>
      <c r="B440" s="38" t="str">
        <f>IFERROR(__xludf.DUMMYFUNCTION("""COMPUTED_VALUE"""),"FZ")</f>
        <v>FZ</v>
      </c>
      <c r="C440" s="38" t="str">
        <f>IFERROR(__xludf.DUMMYFUNCTION("""COMPUTED_VALUE"""),"PHANTRANG")</f>
        <v>PHANTRANG</v>
      </c>
      <c r="D440" s="38">
        <f>IFERROR(__xludf.DUMMYFUNCTION("""COMPUTED_VALUE"""),1.0)</f>
        <v>1</v>
      </c>
      <c r="G440" s="38">
        <v>0.0</v>
      </c>
    </row>
    <row r="441">
      <c r="A441" s="38" t="str">
        <f>IFERROR(__xludf.DUMMYFUNCTION("""COMPUTED_VALUE"""),"M007")</f>
        <v>M007</v>
      </c>
      <c r="B441" s="38" t="str">
        <f>IFERROR(__xludf.DUMMYFUNCTION("""COMPUTED_VALUE"""),"FZ")</f>
        <v>FZ</v>
      </c>
      <c r="C441" s="38" t="str">
        <f>IFERROR(__xludf.DUMMYFUNCTION("""COMPUTED_VALUE"""),"PHUONGNHU")</f>
        <v>PHUONGNHU</v>
      </c>
      <c r="D441" s="38">
        <f>IFERROR(__xludf.DUMMYFUNCTION("""COMPUTED_VALUE"""),1.0)</f>
        <v>1</v>
      </c>
      <c r="G441" s="38">
        <v>0.0</v>
      </c>
    </row>
    <row r="442">
      <c r="A442" s="38" t="str">
        <f>IFERROR(__xludf.DUMMYFUNCTION("""COMPUTED_VALUE"""),"M007")</f>
        <v>M007</v>
      </c>
      <c r="B442" s="38" t="str">
        <f>IFERROR(__xludf.DUMMYFUNCTION("""COMPUTED_VALUE"""),"FZ")</f>
        <v>FZ</v>
      </c>
      <c r="C442" s="38" t="str">
        <f>IFERROR(__xludf.DUMMYFUNCTION("""COMPUTED_VALUE"""),"PHUONGQUYEN")</f>
        <v>PHUONGQUYEN</v>
      </c>
      <c r="D442" s="38">
        <f>IFERROR(__xludf.DUMMYFUNCTION("""COMPUTED_VALUE"""),1.0)</f>
        <v>1</v>
      </c>
      <c r="G442" s="38">
        <v>0.0</v>
      </c>
    </row>
    <row r="443">
      <c r="A443" s="38" t="str">
        <f>IFERROR(__xludf.DUMMYFUNCTION("""COMPUTED_VALUE"""),"M007")</f>
        <v>M007</v>
      </c>
      <c r="B443" s="38" t="str">
        <f>IFERROR(__xludf.DUMMYFUNCTION("""COMPUTED_VALUE"""),"FZ")</f>
        <v>FZ</v>
      </c>
      <c r="C443" s="38" t="str">
        <f>IFERROR(__xludf.DUMMYFUNCTION("""COMPUTED_VALUE"""),"SINHNGUYEN")</f>
        <v>SINHNGUYEN</v>
      </c>
      <c r="D443" s="38">
        <f>IFERROR(__xludf.DUMMYFUNCTION("""COMPUTED_VALUE"""),1.0)</f>
        <v>1</v>
      </c>
      <c r="G443" s="38">
        <v>0.0</v>
      </c>
    </row>
    <row r="444">
      <c r="A444" s="38" t="str">
        <f>IFERROR(__xludf.DUMMYFUNCTION("""COMPUTED_VALUE"""),"M007")</f>
        <v>M007</v>
      </c>
      <c r="B444" s="38" t="str">
        <f>IFERROR(__xludf.DUMMYFUNCTION("""COMPUTED_VALUE"""),"FZ")</f>
        <v>FZ</v>
      </c>
      <c r="C444" s="38" t="str">
        <f>IFERROR(__xludf.DUMMYFUNCTION("""COMPUTED_VALUE"""),"SOPH TRAN")</f>
        <v>SOPH TRAN</v>
      </c>
      <c r="D444" s="38">
        <f>IFERROR(__xludf.DUMMYFUNCTION("""COMPUTED_VALUE"""),2.0)</f>
        <v>2</v>
      </c>
      <c r="G444" s="38">
        <v>0.0</v>
      </c>
    </row>
    <row r="445">
      <c r="A445" s="38" t="str">
        <f>IFERROR(__xludf.DUMMYFUNCTION("""COMPUTED_VALUE"""),"M007")</f>
        <v>M007</v>
      </c>
      <c r="B445" s="38" t="str">
        <f>IFERROR(__xludf.DUMMYFUNCTION("""COMPUTED_VALUE"""),"FZ")</f>
        <v>FZ</v>
      </c>
      <c r="C445" s="38" t="str">
        <f>IFERROR(__xludf.DUMMYFUNCTION("""COMPUTED_VALUE"""),"THANHTHUY")</f>
        <v>THANHTHUY</v>
      </c>
      <c r="D445" s="38">
        <f>IFERROR(__xludf.DUMMYFUNCTION("""COMPUTED_VALUE"""),1.0)</f>
        <v>1</v>
      </c>
      <c r="G445" s="38">
        <v>0.0</v>
      </c>
    </row>
    <row r="446">
      <c r="A446" s="38" t="str">
        <f>IFERROR(__xludf.DUMMYFUNCTION("""COMPUTED_VALUE"""),"M007")</f>
        <v>M007</v>
      </c>
      <c r="B446" s="38" t="str">
        <f>IFERROR(__xludf.DUMMYFUNCTION("""COMPUTED_VALUE"""),"FZ")</f>
        <v>FZ</v>
      </c>
      <c r="C446" s="38" t="str">
        <f>IFERROR(__xludf.DUMMYFUNCTION("""COMPUTED_VALUE"""),"THAOVY")</f>
        <v>THAOVY</v>
      </c>
      <c r="D446" s="38">
        <f>IFERROR(__xludf.DUMMYFUNCTION("""COMPUTED_VALUE"""),1.0)</f>
        <v>1</v>
      </c>
      <c r="G446" s="38">
        <v>0.0</v>
      </c>
    </row>
    <row r="447">
      <c r="A447" s="38" t="str">
        <f>IFERROR(__xludf.DUMMYFUNCTION("""COMPUTED_VALUE"""),"M007")</f>
        <v>M007</v>
      </c>
      <c r="B447" s="38" t="str">
        <f>IFERROR(__xludf.DUMMYFUNCTION("""COMPUTED_VALUE"""),"FZ")</f>
        <v>FZ</v>
      </c>
      <c r="C447" s="38" t="str">
        <f>IFERROR(__xludf.DUMMYFUNCTION("""COMPUTED_VALUE"""),"THUONGBUI")</f>
        <v>THUONGBUI</v>
      </c>
      <c r="D447" s="38">
        <f>IFERROR(__xludf.DUMMYFUNCTION("""COMPUTED_VALUE"""),3.0)</f>
        <v>3</v>
      </c>
      <c r="G447" s="38">
        <v>0.0</v>
      </c>
    </row>
    <row r="448">
      <c r="A448" s="38" t="str">
        <f>IFERROR(__xludf.DUMMYFUNCTION("""COMPUTED_VALUE"""),"M007")</f>
        <v>M007</v>
      </c>
      <c r="B448" s="38" t="str">
        <f>IFERROR(__xludf.DUMMYFUNCTION("""COMPUTED_VALUE"""),"FZ")</f>
        <v>FZ</v>
      </c>
      <c r="C448" s="38" t="str">
        <f>IFERROR(__xludf.DUMMYFUNCTION("""COMPUTED_VALUE"""),"THUONGVU")</f>
        <v>THUONGVU</v>
      </c>
      <c r="D448" s="38">
        <f>IFERROR(__xludf.DUMMYFUNCTION("""COMPUTED_VALUE"""),1.0)</f>
        <v>1</v>
      </c>
      <c r="G448" s="38">
        <v>0.0</v>
      </c>
    </row>
    <row r="449">
      <c r="A449" s="38" t="str">
        <f>IFERROR(__xludf.DUMMYFUNCTION("""COMPUTED_VALUE"""),"M007")</f>
        <v>M007</v>
      </c>
      <c r="B449" s="38" t="str">
        <f>IFERROR(__xludf.DUMMYFUNCTION("""COMPUTED_VALUE"""),"FZ")</f>
        <v>FZ</v>
      </c>
      <c r="C449" s="38" t="str">
        <f>IFERROR(__xludf.DUMMYFUNCTION("""COMPUTED_VALUE"""),"THUYTRANGG")</f>
        <v>THUYTRANGG</v>
      </c>
      <c r="D449" s="38">
        <f>IFERROR(__xludf.DUMMYFUNCTION("""COMPUTED_VALUE"""),1.0)</f>
        <v>1</v>
      </c>
      <c r="G449" s="38">
        <v>0.0</v>
      </c>
    </row>
    <row r="450">
      <c r="A450" s="38" t="str">
        <f>IFERROR(__xludf.DUMMYFUNCTION("""COMPUTED_VALUE"""),"M007")</f>
        <v>M007</v>
      </c>
      <c r="B450" s="38" t="str">
        <f>IFERROR(__xludf.DUMMYFUNCTION("""COMPUTED_VALUE"""),"FZ")</f>
        <v>FZ</v>
      </c>
      <c r="C450" s="38" t="str">
        <f>IFERROR(__xludf.DUMMYFUNCTION("""COMPUTED_VALUE"""),"TRAMANH")</f>
        <v>TRAMANH</v>
      </c>
      <c r="D450" s="38">
        <f>IFERROR(__xludf.DUMMYFUNCTION("""COMPUTED_VALUE"""),1.0)</f>
        <v>1</v>
      </c>
      <c r="G450" s="38">
        <v>0.0</v>
      </c>
    </row>
    <row r="451">
      <c r="A451" s="38" t="str">
        <f>IFERROR(__xludf.DUMMYFUNCTION("""COMPUTED_VALUE"""),"M007")</f>
        <v>M007</v>
      </c>
      <c r="B451" s="38" t="str">
        <f>IFERROR(__xludf.DUMMYFUNCTION("""COMPUTED_VALUE"""),"FZ")</f>
        <v>FZ</v>
      </c>
      <c r="C451" s="38" t="str">
        <f>IFERROR(__xludf.DUMMYFUNCTION("""COMPUTED_VALUE"""),"TRANG")</f>
        <v>TRANG</v>
      </c>
      <c r="D451" s="38">
        <f>IFERROR(__xludf.DUMMYFUNCTION("""COMPUTED_VALUE"""),1.0)</f>
        <v>1</v>
      </c>
      <c r="G451" s="38">
        <v>0.0</v>
      </c>
    </row>
    <row r="452">
      <c r="A452" s="38" t="str">
        <f>IFERROR(__xludf.DUMMYFUNCTION("""COMPUTED_VALUE"""),"M007")</f>
        <v>M007</v>
      </c>
      <c r="B452" s="38" t="str">
        <f>IFERROR(__xludf.DUMMYFUNCTION("""COMPUTED_VALUE"""),"FZ")</f>
        <v>FZ</v>
      </c>
      <c r="C452" s="38" t="str">
        <f>IFERROR(__xludf.DUMMYFUNCTION("""COMPUTED_VALUE"""),"TRANGTHIEU")</f>
        <v>TRANGTHIEU</v>
      </c>
      <c r="D452" s="38">
        <f>IFERROR(__xludf.DUMMYFUNCTION("""COMPUTED_VALUE"""),1.0)</f>
        <v>1</v>
      </c>
      <c r="G452" s="38">
        <v>0.0</v>
      </c>
    </row>
    <row r="453">
      <c r="A453" s="38" t="str">
        <f>IFERROR(__xludf.DUMMYFUNCTION("""COMPUTED_VALUE"""),"M007")</f>
        <v>M007</v>
      </c>
      <c r="B453" s="38" t="str">
        <f>IFERROR(__xludf.DUMMYFUNCTION("""COMPUTED_VALUE"""),"FZ")</f>
        <v>FZ</v>
      </c>
      <c r="C453" s="38" t="str">
        <f>IFERROR(__xludf.DUMMYFUNCTION("""COMPUTED_VALUE"""),"TRANNHATLE")</f>
        <v>TRANNHATLE</v>
      </c>
      <c r="D453" s="38">
        <f>IFERROR(__xludf.DUMMYFUNCTION("""COMPUTED_VALUE"""),1.0)</f>
        <v>1</v>
      </c>
      <c r="G453" s="38">
        <v>0.0</v>
      </c>
    </row>
    <row r="454">
      <c r="A454" s="38" t="str">
        <f>IFERROR(__xludf.DUMMYFUNCTION("""COMPUTED_VALUE"""),"M007")</f>
        <v>M007</v>
      </c>
      <c r="B454" s="38" t="str">
        <f>IFERROR(__xludf.DUMMYFUNCTION("""COMPUTED_VALUE"""),"FZ")</f>
        <v>FZ</v>
      </c>
      <c r="C454" s="38" t="str">
        <f>IFERROR(__xludf.DUMMYFUNCTION("""COMPUTED_VALUE"""),"TranToaiMy")</f>
        <v>TranToaiMy</v>
      </c>
      <c r="D454" s="38">
        <f>IFERROR(__xludf.DUMMYFUNCTION("""COMPUTED_VALUE"""),1.0)</f>
        <v>1</v>
      </c>
      <c r="G454" s="38">
        <v>0.0</v>
      </c>
    </row>
    <row r="455">
      <c r="A455" s="38" t="str">
        <f>IFERROR(__xludf.DUMMYFUNCTION("""COMPUTED_VALUE"""),"M007")</f>
        <v>M007</v>
      </c>
      <c r="B455" s="38" t="str">
        <f>IFERROR(__xludf.DUMMYFUNCTION("""COMPUTED_VALUE"""),"FZ")</f>
        <v>FZ</v>
      </c>
      <c r="C455" s="38" t="str">
        <f>IFERROR(__xludf.DUMMYFUNCTION("""COMPUTED_VALUE"""),"VanCherr")</f>
        <v>VanCherr</v>
      </c>
      <c r="D455" s="38">
        <f>IFERROR(__xludf.DUMMYFUNCTION("""COMPUTED_VALUE"""),1.0)</f>
        <v>1</v>
      </c>
      <c r="G455" s="38">
        <v>0.0</v>
      </c>
    </row>
    <row r="456">
      <c r="A456" s="38" t="str">
        <f>IFERROR(__xludf.DUMMYFUNCTION("""COMPUTED_VALUE"""),"M007")</f>
        <v>M007</v>
      </c>
      <c r="B456" s="38" t="str">
        <f>IFERROR(__xludf.DUMMYFUNCTION("""COMPUTED_VALUE"""),"FZ")</f>
        <v>FZ</v>
      </c>
      <c r="C456" s="38" t="str">
        <f>IFERROR(__xludf.DUMMYFUNCTION("""COMPUTED_VALUE"""),"VuThiKimDung")</f>
        <v>VuThiKimDung</v>
      </c>
      <c r="D456" s="38">
        <f>IFERROR(__xludf.DUMMYFUNCTION("""COMPUTED_VALUE"""),1.0)</f>
        <v>1</v>
      </c>
      <c r="G456" s="38">
        <v>0.0</v>
      </c>
    </row>
    <row r="457">
      <c r="A457" s="38" t="str">
        <f>IFERROR(__xludf.DUMMYFUNCTION("""COMPUTED_VALUE"""),"M007")</f>
        <v>M007</v>
      </c>
      <c r="B457" s="38" t="str">
        <f>IFERROR(__xludf.DUMMYFUNCTION("""COMPUTED_VALUE"""),"FZ")</f>
        <v>FZ</v>
      </c>
      <c r="C457" s="38" t="str">
        <f>IFERROR(__xludf.DUMMYFUNCTION("""COMPUTED_VALUE"""),"VuThuHuong")</f>
        <v>VuThuHuong</v>
      </c>
      <c r="D457" s="38">
        <f>IFERROR(__xludf.DUMMYFUNCTION("""COMPUTED_VALUE"""),1.0)</f>
        <v>1</v>
      </c>
      <c r="G457" s="38">
        <v>0.0</v>
      </c>
    </row>
    <row r="458">
      <c r="A458" s="38" t="str">
        <f>IFERROR(__xludf.DUMMYFUNCTION("""COMPUTED_VALUE"""),"M007")</f>
        <v>M007</v>
      </c>
      <c r="B458" s="38" t="str">
        <f>IFERROR(__xludf.DUMMYFUNCTION("""COMPUTED_VALUE"""),"FZ")</f>
        <v>FZ</v>
      </c>
      <c r="C458" s="38" t="str">
        <f>IFERROR(__xludf.DUMMYFUNCTION("""COMPUTED_VALUE"""),"YT8856865344530")</f>
        <v>YT8856865344530</v>
      </c>
      <c r="D458" s="38">
        <f>IFERROR(__xludf.DUMMYFUNCTION("""COMPUTED_VALUE"""),1.0)</f>
        <v>1</v>
      </c>
      <c r="G458" s="38">
        <v>0.0</v>
      </c>
    </row>
    <row r="459">
      <c r="A459" s="38" t="str">
        <f>IFERROR(__xludf.DUMMYFUNCTION("""COMPUTED_VALUE"""),"M007")</f>
        <v>M007</v>
      </c>
      <c r="B459" s="38" t="str">
        <f>IFERROR(__xludf.DUMMYFUNCTION("""COMPUTED_VALUE"""),"FZ")</f>
        <v>FZ</v>
      </c>
      <c r="C459" s="38" t="str">
        <f>IFERROR(__xludf.DUMMYFUNCTION("""COMPUTED_VALUE"""),"vuthikimdung")</f>
        <v>vuthikimdung</v>
      </c>
      <c r="D459" s="38">
        <f>IFERROR(__xludf.DUMMYFUNCTION("""COMPUTED_VALUE"""),1.0)</f>
        <v>1</v>
      </c>
      <c r="G459" s="38">
        <v>0.0</v>
      </c>
    </row>
    <row r="460">
      <c r="A460" s="38" t="str">
        <f>IFERROR(__xludf.DUMMYFUNCTION("""COMPUTED_VALUE"""),"M007")</f>
        <v>M007</v>
      </c>
      <c r="B460" s="38" t="str">
        <f>IFERROR(__xludf.DUMMYFUNCTION("""COMPUTED_VALUE"""),"M")</f>
        <v>M</v>
      </c>
      <c r="C460" s="38" t="str">
        <f>IFERROR(__xludf.DUMMYFUNCTION("""COMPUTED_VALUE"""),"NHUNG KULS")</f>
        <v>NHUNG KULS</v>
      </c>
      <c r="D460" s="38">
        <f>IFERROR(__xludf.DUMMYFUNCTION("""COMPUTED_VALUE"""),1.0)</f>
        <v>1</v>
      </c>
      <c r="G460" s="38">
        <v>0.0</v>
      </c>
    </row>
    <row r="461">
      <c r="A461" s="38" t="str">
        <f>IFERROR(__xludf.DUMMYFUNCTION("""COMPUTED_VALUE"""),"M008")</f>
        <v>M008</v>
      </c>
      <c r="B461" s="38" t="str">
        <f>IFERROR(__xludf.DUMMYFUNCTION("""COMPUTED_VALUE"""),"FZ")</f>
        <v>FZ</v>
      </c>
      <c r="C461" s="38" t="str">
        <f>IFERROR(__xludf.DUMMYFUNCTION("""COMPUTED_VALUE"""),"XÁM")</f>
        <v>XÁM</v>
      </c>
      <c r="D461" s="38">
        <f>IFERROR(__xludf.DUMMYFUNCTION("""COMPUTED_VALUE"""),1.0)</f>
        <v>1</v>
      </c>
      <c r="G461" s="38">
        <v>0.0</v>
      </c>
    </row>
    <row r="462">
      <c r="A462" s="38" t="str">
        <f>IFERROR(__xludf.DUMMYFUNCTION("""COMPUTED_VALUE"""),"M008")</f>
        <v>M008</v>
      </c>
      <c r="B462" s="38" t="str">
        <f>IFERROR(__xludf.DUMMYFUNCTION("""COMPUTED_VALUE"""),"L")</f>
        <v>L</v>
      </c>
      <c r="C462" s="38" t="str">
        <f>IFERROR(__xludf.DUMMYFUNCTION("""COMPUTED_VALUE"""),"HỒNG")</f>
        <v>HỒNG</v>
      </c>
      <c r="D462" s="38">
        <f>IFERROR(__xludf.DUMMYFUNCTION("""COMPUTED_VALUE"""),1.0)</f>
        <v>1</v>
      </c>
      <c r="G462" s="38">
        <v>0.0</v>
      </c>
    </row>
    <row r="463">
      <c r="A463" s="38" t="str">
        <f>IFERROR(__xludf.DUMMYFUNCTION("""COMPUTED_VALUE"""),"M008")</f>
        <v>M008</v>
      </c>
      <c r="B463" s="38" t="str">
        <f>IFERROR(__xludf.DUMMYFUNCTION("""COMPUTED_VALUE"""),"L")</f>
        <v>L</v>
      </c>
      <c r="C463" s="38" t="str">
        <f>IFERROR(__xludf.DUMMYFUNCTION("""COMPUTED_VALUE"""),"TÍM")</f>
        <v>TÍM</v>
      </c>
      <c r="D463" s="38">
        <f>IFERROR(__xludf.DUMMYFUNCTION("""COMPUTED_VALUE"""),1.0)</f>
        <v>1</v>
      </c>
      <c r="G463" s="38">
        <v>0.0</v>
      </c>
    </row>
    <row r="464">
      <c r="A464" s="38" t="str">
        <f>IFERROR(__xludf.DUMMYFUNCTION("""COMPUTED_VALUE"""),"M008")</f>
        <v>M008</v>
      </c>
      <c r="B464" s="38" t="str">
        <f>IFERROR(__xludf.DUMMYFUNCTION("""COMPUTED_VALUE"""),"L")</f>
        <v>L</v>
      </c>
      <c r="C464" s="38" t="str">
        <f>IFERROR(__xludf.DUMMYFUNCTION("""COMPUTED_VALUE"""),"VÀNG")</f>
        <v>VÀNG</v>
      </c>
      <c r="D464" s="38">
        <f>IFERROR(__xludf.DUMMYFUNCTION("""COMPUTED_VALUE"""),2.0)</f>
        <v>2</v>
      </c>
      <c r="G464" s="38">
        <v>0.0</v>
      </c>
    </row>
    <row r="465">
      <c r="A465" s="38" t="str">
        <f>IFERROR(__xludf.DUMMYFUNCTION("""COMPUTED_VALUE"""),"M008")</f>
        <v>M008</v>
      </c>
      <c r="B465" s="38" t="str">
        <f>IFERROR(__xludf.DUMMYFUNCTION("""COMPUTED_VALUE"""),"L")</f>
        <v>L</v>
      </c>
      <c r="C465" s="38" t="str">
        <f>IFERROR(__xludf.DUMMYFUNCTION("""COMPUTED_VALUE"""),"XANH LÁ")</f>
        <v>XANH LÁ</v>
      </c>
      <c r="D465" s="38">
        <f>IFERROR(__xludf.DUMMYFUNCTION("""COMPUTED_VALUE"""),1.0)</f>
        <v>1</v>
      </c>
      <c r="G465" s="38">
        <v>0.0</v>
      </c>
    </row>
    <row r="466">
      <c r="A466" s="38" t="str">
        <f>IFERROR(__xludf.DUMMYFUNCTION("""COMPUTED_VALUE"""),"M008")</f>
        <v>M008</v>
      </c>
      <c r="B466" s="38" t="str">
        <f>IFERROR(__xludf.DUMMYFUNCTION("""COMPUTED_VALUE"""),"L")</f>
        <v>L</v>
      </c>
      <c r="C466" s="38" t="str">
        <f>IFERROR(__xludf.DUMMYFUNCTION("""COMPUTED_VALUE"""),"XÁM")</f>
        <v>XÁM</v>
      </c>
      <c r="D466" s="38">
        <f>IFERROR(__xludf.DUMMYFUNCTION("""COMPUTED_VALUE"""),2.0)</f>
        <v>2</v>
      </c>
      <c r="G466" s="38">
        <v>0.0</v>
      </c>
    </row>
    <row r="467">
      <c r="A467" s="38" t="str">
        <f>IFERROR(__xludf.DUMMYFUNCTION("""COMPUTED_VALUE"""),"M008")</f>
        <v>M008</v>
      </c>
      <c r="B467" s="38" t="str">
        <f>IFERROR(__xludf.DUMMYFUNCTION("""COMPUTED_VALUE"""),"M")</f>
        <v>M</v>
      </c>
      <c r="C467" s="38" t="str">
        <f>IFERROR(__xludf.DUMMYFUNCTION("""COMPUTED_VALUE"""),"HỒNG")</f>
        <v>HỒNG</v>
      </c>
      <c r="D467" s="38">
        <f>IFERROR(__xludf.DUMMYFUNCTION("""COMPUTED_VALUE"""),3.0)</f>
        <v>3</v>
      </c>
      <c r="G467" s="38">
        <v>0.0</v>
      </c>
    </row>
    <row r="468">
      <c r="A468" s="38" t="str">
        <f>IFERROR(__xludf.DUMMYFUNCTION("""COMPUTED_VALUE"""),"M008")</f>
        <v>M008</v>
      </c>
      <c r="B468" s="38" t="str">
        <f>IFERROR(__xludf.DUMMYFUNCTION("""COMPUTED_VALUE"""),"M")</f>
        <v>M</v>
      </c>
      <c r="C468" s="38" t="str">
        <f>IFERROR(__xludf.DUMMYFUNCTION("""COMPUTED_VALUE"""),"TRẮNG")</f>
        <v>TRẮNG</v>
      </c>
      <c r="D468" s="38">
        <f>IFERROR(__xludf.DUMMYFUNCTION("""COMPUTED_VALUE"""),2.0)</f>
        <v>2</v>
      </c>
      <c r="G468" s="38">
        <v>0.0</v>
      </c>
    </row>
    <row r="469">
      <c r="A469" s="38" t="str">
        <f>IFERROR(__xludf.DUMMYFUNCTION("""COMPUTED_VALUE"""),"M008")</f>
        <v>M008</v>
      </c>
      <c r="B469" s="38" t="str">
        <f>IFERROR(__xludf.DUMMYFUNCTION("""COMPUTED_VALUE"""),"M")</f>
        <v>M</v>
      </c>
      <c r="C469" s="38" t="str">
        <f>IFERROR(__xludf.DUMMYFUNCTION("""COMPUTED_VALUE"""),"VÀNG")</f>
        <v>VÀNG</v>
      </c>
      <c r="D469" s="38">
        <f>IFERROR(__xludf.DUMMYFUNCTION("""COMPUTED_VALUE"""),1.0)</f>
        <v>1</v>
      </c>
      <c r="G469" s="38">
        <v>0.0</v>
      </c>
    </row>
    <row r="470">
      <c r="A470" s="38" t="str">
        <f>IFERROR(__xludf.DUMMYFUNCTION("""COMPUTED_VALUE"""),"M008")</f>
        <v>M008</v>
      </c>
      <c r="B470" s="38" t="str">
        <f>IFERROR(__xludf.DUMMYFUNCTION("""COMPUTED_VALUE"""),"M")</f>
        <v>M</v>
      </c>
      <c r="C470" s="38" t="str">
        <f>IFERROR(__xludf.DUMMYFUNCTION("""COMPUTED_VALUE"""),"XÁM")</f>
        <v>XÁM</v>
      </c>
      <c r="D470" s="38">
        <f>IFERROR(__xludf.DUMMYFUNCTION("""COMPUTED_VALUE"""),2.0)</f>
        <v>2</v>
      </c>
      <c r="G470" s="38">
        <v>0.0</v>
      </c>
    </row>
    <row r="471">
      <c r="A471" s="38" t="str">
        <f>IFERROR(__xludf.DUMMYFUNCTION("""COMPUTED_VALUE"""),"M009")</f>
        <v>M009</v>
      </c>
      <c r="B471" s="38" t="str">
        <f>IFERROR(__xludf.DUMMYFUNCTION("""COMPUTED_VALUE"""),"2XL")</f>
        <v>2XL</v>
      </c>
      <c r="C471" s="38" t="str">
        <f>IFERROR(__xludf.DUMMYFUNCTION("""COMPUTED_VALUE"""),"XANH THAN")</f>
        <v>XANH THAN</v>
      </c>
      <c r="D471" s="38">
        <f>IFERROR(__xludf.DUMMYFUNCTION("""COMPUTED_VALUE"""),6.0)</f>
        <v>6</v>
      </c>
      <c r="G471" s="38">
        <v>0.0</v>
      </c>
    </row>
    <row r="472">
      <c r="A472" s="38" t="str">
        <f>IFERROR(__xludf.DUMMYFUNCTION("""COMPUTED_VALUE"""),"M009")</f>
        <v>M009</v>
      </c>
      <c r="B472" s="38" t="str">
        <f>IFERROR(__xludf.DUMMYFUNCTION("""COMPUTED_VALUE"""),"2XL")</f>
        <v>2XL</v>
      </c>
      <c r="C472" s="38" t="str">
        <f>IFERROR(__xludf.DUMMYFUNCTION("""COMPUTED_VALUE"""),"XÁM")</f>
        <v>XÁM</v>
      </c>
      <c r="D472" s="38">
        <f>IFERROR(__xludf.DUMMYFUNCTION("""COMPUTED_VALUE"""),3.0)</f>
        <v>3</v>
      </c>
      <c r="G472" s="38">
        <v>0.0</v>
      </c>
    </row>
    <row r="473">
      <c r="A473" s="38" t="str">
        <f>IFERROR(__xludf.DUMMYFUNCTION("""COMPUTED_VALUE"""),"M009")</f>
        <v>M009</v>
      </c>
      <c r="B473" s="38" t="str">
        <f>IFERROR(__xludf.DUMMYFUNCTION("""COMPUTED_VALUE"""),"2XL")</f>
        <v>2XL</v>
      </c>
      <c r="C473" s="38" t="str">
        <f>IFERROR(__xludf.DUMMYFUNCTION("""COMPUTED_VALUE"""),"ĐEN")</f>
        <v>ĐEN</v>
      </c>
      <c r="D473" s="38">
        <f>IFERROR(__xludf.DUMMYFUNCTION("""COMPUTED_VALUE"""),6.0)</f>
        <v>6</v>
      </c>
      <c r="G473" s="38">
        <v>0.0</v>
      </c>
    </row>
    <row r="474">
      <c r="A474" s="38" t="str">
        <f>IFERROR(__xludf.DUMMYFUNCTION("""COMPUTED_VALUE"""),"M009")</f>
        <v>M009</v>
      </c>
      <c r="B474" s="38" t="str">
        <f>IFERROR(__xludf.DUMMYFUNCTION("""COMPUTED_VALUE"""),"3XL")</f>
        <v>3XL</v>
      </c>
      <c r="C474" s="38" t="str">
        <f>IFERROR(__xludf.DUMMYFUNCTION("""COMPUTED_VALUE"""),"XANH THAN")</f>
        <v>XANH THAN</v>
      </c>
      <c r="D474" s="38">
        <f>IFERROR(__xludf.DUMMYFUNCTION("""COMPUTED_VALUE"""),3.0)</f>
        <v>3</v>
      </c>
      <c r="G474" s="38">
        <v>0.0</v>
      </c>
    </row>
    <row r="475">
      <c r="A475" s="38" t="str">
        <f>IFERROR(__xludf.DUMMYFUNCTION("""COMPUTED_VALUE"""),"M009")</f>
        <v>M009</v>
      </c>
      <c r="B475" s="38" t="str">
        <f>IFERROR(__xludf.DUMMYFUNCTION("""COMPUTED_VALUE"""),"3XL")</f>
        <v>3XL</v>
      </c>
      <c r="C475" s="38" t="str">
        <f>IFERROR(__xludf.DUMMYFUNCTION("""COMPUTED_VALUE"""),"ĐEN")</f>
        <v>ĐEN</v>
      </c>
      <c r="D475" s="38">
        <f>IFERROR(__xludf.DUMMYFUNCTION("""COMPUTED_VALUE"""),3.0)</f>
        <v>3</v>
      </c>
      <c r="G475" s="38">
        <v>0.0</v>
      </c>
    </row>
    <row r="476">
      <c r="A476" s="38" t="str">
        <f>IFERROR(__xludf.DUMMYFUNCTION("""COMPUTED_VALUE"""),"M009")</f>
        <v>M009</v>
      </c>
      <c r="B476" s="38" t="str">
        <f>IFERROR(__xludf.DUMMYFUNCTION("""COMPUTED_VALUE"""),"5XL")</f>
        <v>5XL</v>
      </c>
      <c r="C476" s="38" t="str">
        <f>IFERROR(__xludf.DUMMYFUNCTION("""COMPUTED_VALUE"""),"XÁM")</f>
        <v>XÁM</v>
      </c>
      <c r="D476" s="38">
        <f>IFERROR(__xludf.DUMMYFUNCTION("""COMPUTED_VALUE"""),1.0)</f>
        <v>1</v>
      </c>
      <c r="G476" s="38">
        <v>0.0</v>
      </c>
    </row>
    <row r="477">
      <c r="A477" s="38" t="str">
        <f>IFERROR(__xludf.DUMMYFUNCTION("""COMPUTED_VALUE"""),"M009")</f>
        <v>M009</v>
      </c>
      <c r="B477" s="38" t="str">
        <f>IFERROR(__xludf.DUMMYFUNCTION("""COMPUTED_VALUE"""),"5XL")</f>
        <v>5XL</v>
      </c>
      <c r="C477" s="38" t="str">
        <f>IFERROR(__xludf.DUMMYFUNCTION("""COMPUTED_VALUE"""),"ĐEN")</f>
        <v>ĐEN</v>
      </c>
      <c r="D477" s="38">
        <f>IFERROR(__xludf.DUMMYFUNCTION("""COMPUTED_VALUE"""),1.0)</f>
        <v>1</v>
      </c>
      <c r="G477" s="38">
        <v>0.0</v>
      </c>
    </row>
    <row r="478">
      <c r="A478" s="38" t="str">
        <f>IFERROR(__xludf.DUMMYFUNCTION("""COMPUTED_VALUE"""),"M009")</f>
        <v>M009</v>
      </c>
      <c r="B478" s="38" t="str">
        <f>IFERROR(__xludf.DUMMYFUNCTION("""COMPUTED_VALUE"""),"L")</f>
        <v>L</v>
      </c>
      <c r="C478" s="38" t="str">
        <f>IFERROR(__xludf.DUMMYFUNCTION("""COMPUTED_VALUE"""),"XANH THAN")</f>
        <v>XANH THAN</v>
      </c>
      <c r="D478" s="38">
        <f>IFERROR(__xludf.DUMMYFUNCTION("""COMPUTED_VALUE"""),3.0)</f>
        <v>3</v>
      </c>
      <c r="G478" s="38">
        <v>0.0</v>
      </c>
    </row>
    <row r="479">
      <c r="A479" s="38" t="str">
        <f>IFERROR(__xludf.DUMMYFUNCTION("""COMPUTED_VALUE"""),"M009")</f>
        <v>M009</v>
      </c>
      <c r="B479" s="38" t="str">
        <f>IFERROR(__xludf.DUMMYFUNCTION("""COMPUTED_VALUE"""),"L")</f>
        <v>L</v>
      </c>
      <c r="C479" s="38" t="str">
        <f>IFERROR(__xludf.DUMMYFUNCTION("""COMPUTED_VALUE"""),"XÁM")</f>
        <v>XÁM</v>
      </c>
      <c r="D479" s="38">
        <f>IFERROR(__xludf.DUMMYFUNCTION("""COMPUTED_VALUE"""),5.0)</f>
        <v>5</v>
      </c>
      <c r="G479" s="38">
        <v>0.0</v>
      </c>
    </row>
    <row r="480">
      <c r="A480" s="38" t="str">
        <f>IFERROR(__xludf.DUMMYFUNCTION("""COMPUTED_VALUE"""),"M009")</f>
        <v>M009</v>
      </c>
      <c r="B480" s="38" t="str">
        <f>IFERROR(__xludf.DUMMYFUNCTION("""COMPUTED_VALUE"""),"L")</f>
        <v>L</v>
      </c>
      <c r="C480" s="38" t="str">
        <f>IFERROR(__xludf.DUMMYFUNCTION("""COMPUTED_VALUE"""),"ĐEN")</f>
        <v>ĐEN</v>
      </c>
      <c r="D480" s="38">
        <f>IFERROR(__xludf.DUMMYFUNCTION("""COMPUTED_VALUE"""),10.0)</f>
        <v>10</v>
      </c>
      <c r="G480" s="38">
        <v>0.0</v>
      </c>
    </row>
    <row r="481">
      <c r="A481" s="38" t="str">
        <f>IFERROR(__xludf.DUMMYFUNCTION("""COMPUTED_VALUE"""),"M009")</f>
        <v>M009</v>
      </c>
      <c r="B481" s="38" t="str">
        <f>IFERROR(__xludf.DUMMYFUNCTION("""COMPUTED_VALUE"""),"M")</f>
        <v>M</v>
      </c>
      <c r="C481" s="38" t="str">
        <f>IFERROR(__xludf.DUMMYFUNCTION("""COMPUTED_VALUE"""),"XANH THAN")</f>
        <v>XANH THAN</v>
      </c>
      <c r="D481" s="38">
        <f>IFERROR(__xludf.DUMMYFUNCTION("""COMPUTED_VALUE"""),2.0)</f>
        <v>2</v>
      </c>
      <c r="G481" s="38">
        <v>0.0</v>
      </c>
    </row>
    <row r="482">
      <c r="A482" s="38" t="str">
        <f>IFERROR(__xludf.DUMMYFUNCTION("""COMPUTED_VALUE"""),"M009")</f>
        <v>M009</v>
      </c>
      <c r="B482" s="38" t="str">
        <f>IFERROR(__xludf.DUMMYFUNCTION("""COMPUTED_VALUE"""),"M")</f>
        <v>M</v>
      </c>
      <c r="C482" s="38" t="str">
        <f>IFERROR(__xludf.DUMMYFUNCTION("""COMPUTED_VALUE"""),"XÁM")</f>
        <v>XÁM</v>
      </c>
      <c r="D482" s="38">
        <f>IFERROR(__xludf.DUMMYFUNCTION("""COMPUTED_VALUE"""),4.0)</f>
        <v>4</v>
      </c>
      <c r="G482" s="38">
        <v>0.0</v>
      </c>
    </row>
    <row r="483">
      <c r="A483" s="38" t="str">
        <f>IFERROR(__xludf.DUMMYFUNCTION("""COMPUTED_VALUE"""),"M009")</f>
        <v>M009</v>
      </c>
      <c r="B483" s="38" t="str">
        <f>IFERROR(__xludf.DUMMYFUNCTION("""COMPUTED_VALUE"""),"M")</f>
        <v>M</v>
      </c>
      <c r="C483" s="38" t="str">
        <f>IFERROR(__xludf.DUMMYFUNCTION("""COMPUTED_VALUE"""),"ĐEN")</f>
        <v>ĐEN</v>
      </c>
      <c r="D483" s="38">
        <f>IFERROR(__xludf.DUMMYFUNCTION("""COMPUTED_VALUE"""),7.0)</f>
        <v>7</v>
      </c>
      <c r="G483" s="38">
        <v>0.0</v>
      </c>
    </row>
    <row r="484">
      <c r="A484" s="38" t="str">
        <f>IFERROR(__xludf.DUMMYFUNCTION("""COMPUTED_VALUE"""),"M009")</f>
        <v>M009</v>
      </c>
      <c r="B484" s="38" t="str">
        <f>IFERROR(__xludf.DUMMYFUNCTION("""COMPUTED_VALUE"""),"XL")</f>
        <v>XL</v>
      </c>
      <c r="C484" s="38" t="str">
        <f>IFERROR(__xludf.DUMMYFUNCTION("""COMPUTED_VALUE"""),"XANH THAN")</f>
        <v>XANH THAN</v>
      </c>
      <c r="D484" s="38">
        <f>IFERROR(__xludf.DUMMYFUNCTION("""COMPUTED_VALUE"""),3.0)</f>
        <v>3</v>
      </c>
      <c r="G484" s="38">
        <v>0.0</v>
      </c>
    </row>
    <row r="485">
      <c r="A485" s="38" t="str">
        <f>IFERROR(__xludf.DUMMYFUNCTION("""COMPUTED_VALUE"""),"M009")</f>
        <v>M009</v>
      </c>
      <c r="B485" s="38" t="str">
        <f>IFERROR(__xludf.DUMMYFUNCTION("""COMPUTED_VALUE"""),"XL")</f>
        <v>XL</v>
      </c>
      <c r="C485" s="38" t="str">
        <f>IFERROR(__xludf.DUMMYFUNCTION("""COMPUTED_VALUE"""),"XÁM")</f>
        <v>XÁM</v>
      </c>
      <c r="D485" s="38">
        <f>IFERROR(__xludf.DUMMYFUNCTION("""COMPUTED_VALUE"""),9.0)</f>
        <v>9</v>
      </c>
      <c r="G485" s="38">
        <v>0.0</v>
      </c>
    </row>
    <row r="486">
      <c r="A486" s="38" t="str">
        <f>IFERROR(__xludf.DUMMYFUNCTION("""COMPUTED_VALUE"""),"M009")</f>
        <v>M009</v>
      </c>
      <c r="B486" s="38" t="str">
        <f>IFERROR(__xludf.DUMMYFUNCTION("""COMPUTED_VALUE"""),"XL")</f>
        <v>XL</v>
      </c>
      <c r="C486" s="38" t="str">
        <f>IFERROR(__xludf.DUMMYFUNCTION("""COMPUTED_VALUE"""),"ĐEN")</f>
        <v>ĐEN</v>
      </c>
      <c r="D486" s="38">
        <f>IFERROR(__xludf.DUMMYFUNCTION("""COMPUTED_VALUE"""),9.0)</f>
        <v>9</v>
      </c>
      <c r="G486" s="38">
        <v>0.0</v>
      </c>
    </row>
    <row r="487">
      <c r="A487" s="38" t="str">
        <f>IFERROR(__xludf.DUMMYFUNCTION("""COMPUTED_VALUE"""),"M010")</f>
        <v>M010</v>
      </c>
      <c r="B487" s="38" t="str">
        <f>IFERROR(__xludf.DUMMYFUNCTION("""COMPUTED_VALUE"""),"FZ")</f>
        <v>FZ</v>
      </c>
      <c r="C487" s="38" t="str">
        <f>IFERROR(__xludf.DUMMYFUNCTION("""COMPUTED_VALUE"""),"TRẮNG")</f>
        <v>TRẮNG</v>
      </c>
      <c r="D487" s="38">
        <f>IFERROR(__xludf.DUMMYFUNCTION("""COMPUTED_VALUE"""),55.0)</f>
        <v>55</v>
      </c>
      <c r="G487" s="38">
        <v>0.0</v>
      </c>
    </row>
    <row r="488">
      <c r="A488" s="38" t="str">
        <f>IFERROR(__xludf.DUMMYFUNCTION("""COMPUTED_VALUE"""),"M011")</f>
        <v>M011</v>
      </c>
      <c r="B488" s="38" t="str">
        <f>IFERROR(__xludf.DUMMYFUNCTION("""COMPUTED_VALUE"""),"FZ")</f>
        <v>FZ</v>
      </c>
      <c r="C488" s="38" t="str">
        <f>IFERROR(__xludf.DUMMYFUNCTION("""COMPUTED_VALUE"""),"BREAKME")</f>
        <v>BREAKME</v>
      </c>
      <c r="D488" s="38">
        <f>IFERROR(__xludf.DUMMYFUNCTION("""COMPUTED_VALUE"""),4.0)</f>
        <v>4</v>
      </c>
      <c r="G488" s="38">
        <v>0.0</v>
      </c>
    </row>
    <row r="489">
      <c r="A489" s="38" t="str">
        <f>IFERROR(__xludf.DUMMYFUNCTION("""COMPUTED_VALUE"""),"M011")</f>
        <v>M011</v>
      </c>
      <c r="B489" s="38" t="str">
        <f>IFERROR(__xludf.DUMMYFUNCTION("""COMPUTED_VALUE"""),"FZ")</f>
        <v>FZ</v>
      </c>
      <c r="C489" s="38" t="str">
        <f>IFERROR(__xludf.DUMMYFUNCTION("""COMPUTED_VALUE"""),"NEW MOTION")</f>
        <v>NEW MOTION</v>
      </c>
      <c r="D489" s="38">
        <f>IFERROR(__xludf.DUMMYFUNCTION("""COMPUTED_VALUE"""),2.0)</f>
        <v>2</v>
      </c>
      <c r="G489" s="38">
        <v>0.0</v>
      </c>
    </row>
    <row r="490">
      <c r="A490" s="38" t="str">
        <f>IFERROR(__xludf.DUMMYFUNCTION("""COMPUTED_VALUE"""),"M011")</f>
        <v>M011</v>
      </c>
      <c r="B490" s="38" t="str">
        <f>IFERROR(__xludf.DUMMYFUNCTION("""COMPUTED_VALUE"""),"FZ")</f>
        <v>FZ</v>
      </c>
      <c r="C490" s="38" t="str">
        <f>IFERROR(__xludf.DUMMYFUNCTION("""COMPUTED_VALUE"""),"VINTAGE BOUQUET")</f>
        <v>VINTAGE BOUQUET</v>
      </c>
      <c r="D490" s="38">
        <f>IFERROR(__xludf.DUMMYFUNCTION("""COMPUTED_VALUE"""),4.0)</f>
        <v>4</v>
      </c>
      <c r="G490" s="38">
        <v>0.0</v>
      </c>
    </row>
    <row r="491">
      <c r="A491" s="38" t="str">
        <f>IFERROR(__xludf.DUMMYFUNCTION("""COMPUTED_VALUE"""),"M012")</f>
        <v>M012</v>
      </c>
      <c r="B491" s="38" t="str">
        <f>IFERROR(__xludf.DUMMYFUNCTION("""COMPUTED_VALUE"""),"FZ")</f>
        <v>FZ</v>
      </c>
      <c r="C491" s="38" t="str">
        <f>IFERROR(__xludf.DUMMYFUNCTION("""COMPUTED_VALUE"""),"NÂU")</f>
        <v>NÂU</v>
      </c>
      <c r="D491" s="38">
        <f>IFERROR(__xludf.DUMMYFUNCTION("""COMPUTED_VALUE"""),9.0)</f>
        <v>9</v>
      </c>
      <c r="G491" s="38">
        <v>0.0</v>
      </c>
    </row>
    <row r="492">
      <c r="A492" s="38" t="str">
        <f>IFERROR(__xludf.DUMMYFUNCTION("""COMPUTED_VALUE"""),"M012")</f>
        <v>M012</v>
      </c>
      <c r="B492" s="38" t="str">
        <f>IFERROR(__xludf.DUMMYFUNCTION("""COMPUTED_VALUE"""),"FZ")</f>
        <v>FZ</v>
      </c>
      <c r="C492" s="38" t="str">
        <f>IFERROR(__xludf.DUMMYFUNCTION("""COMPUTED_VALUE"""),"TÍM")</f>
        <v>TÍM</v>
      </c>
      <c r="D492" s="38">
        <f>IFERROR(__xludf.DUMMYFUNCTION("""COMPUTED_VALUE"""),10.0)</f>
        <v>10</v>
      </c>
      <c r="G492" s="38">
        <v>0.0</v>
      </c>
    </row>
    <row r="493">
      <c r="A493" s="38" t="str">
        <f>IFERROR(__xludf.DUMMYFUNCTION("""COMPUTED_VALUE"""),"M012")</f>
        <v>M012</v>
      </c>
      <c r="B493" s="38" t="str">
        <f>IFERROR(__xludf.DUMMYFUNCTION("""COMPUTED_VALUE"""),"FZ")</f>
        <v>FZ</v>
      </c>
      <c r="C493" s="38" t="str">
        <f>IFERROR(__xludf.DUMMYFUNCTION("""COMPUTED_VALUE"""),"VÀNG")</f>
        <v>VÀNG</v>
      </c>
      <c r="D493" s="38">
        <f>IFERROR(__xludf.DUMMYFUNCTION("""COMPUTED_VALUE"""),26.0)</f>
        <v>26</v>
      </c>
      <c r="G493" s="38">
        <v>0.0</v>
      </c>
    </row>
    <row r="494">
      <c r="A494" s="38" t="str">
        <f>IFERROR(__xludf.DUMMYFUNCTION("""COMPUTED_VALUE"""),"M012")</f>
        <v>M012</v>
      </c>
      <c r="B494" s="38" t="str">
        <f>IFERROR(__xludf.DUMMYFUNCTION("""COMPUTED_VALUE"""),"FZ")</f>
        <v>FZ</v>
      </c>
      <c r="C494" s="38" t="str">
        <f>IFERROR(__xludf.DUMMYFUNCTION("""COMPUTED_VALUE"""),"XANH NHẠT")</f>
        <v>XANH NHẠT</v>
      </c>
      <c r="D494" s="38">
        <f>IFERROR(__xludf.DUMMYFUNCTION("""COMPUTED_VALUE"""),11.0)</f>
        <v>11</v>
      </c>
      <c r="G494" s="38">
        <v>0.0</v>
      </c>
    </row>
    <row r="495">
      <c r="A495" s="38" t="str">
        <f>IFERROR(__xludf.DUMMYFUNCTION("""COMPUTED_VALUE"""),"M012")</f>
        <v>M012</v>
      </c>
      <c r="B495" s="38" t="str">
        <f>IFERROR(__xludf.DUMMYFUNCTION("""COMPUTED_VALUE"""),"FZ")</f>
        <v>FZ</v>
      </c>
      <c r="C495" s="38" t="str">
        <f>IFERROR(__xludf.DUMMYFUNCTION("""COMPUTED_VALUE"""),"ĐỎ")</f>
        <v>ĐỎ</v>
      </c>
      <c r="D495" s="38">
        <f>IFERROR(__xludf.DUMMYFUNCTION("""COMPUTED_VALUE"""),8.0)</f>
        <v>8</v>
      </c>
      <c r="G495" s="38">
        <v>0.0</v>
      </c>
    </row>
    <row r="496">
      <c r="A496" s="38" t="str">
        <f>IFERROR(__xludf.DUMMYFUNCTION("""COMPUTED_VALUE"""),"M013")</f>
        <v>M013</v>
      </c>
      <c r="B496" s="38" t="str">
        <f>IFERROR(__xludf.DUMMYFUNCTION("""COMPUTED_VALUE"""),"FZ")</f>
        <v>FZ</v>
      </c>
      <c r="C496" s="38" t="str">
        <f>IFERROR(__xludf.DUMMYFUNCTION("""COMPUTED_VALUE"""),"NÂU")</f>
        <v>NÂU</v>
      </c>
      <c r="D496" s="38">
        <f>IFERROR(__xludf.DUMMYFUNCTION("""COMPUTED_VALUE"""),41.0)</f>
        <v>41</v>
      </c>
      <c r="G496" s="38">
        <v>0.0</v>
      </c>
    </row>
    <row r="497">
      <c r="A497" s="38" t="str">
        <f>IFERROR(__xludf.DUMMYFUNCTION("""COMPUTED_VALUE"""),"M014")</f>
        <v>M014</v>
      </c>
      <c r="B497" s="38" t="str">
        <f>IFERROR(__xludf.DUMMYFUNCTION("""COMPUTED_VALUE"""),"FZ")</f>
        <v>FZ</v>
      </c>
      <c r="C497" s="38" t="str">
        <f>IFERROR(__xludf.DUMMYFUNCTION("""COMPUTED_VALUE"""),"TÍM")</f>
        <v>TÍM</v>
      </c>
      <c r="D497" s="38">
        <f>IFERROR(__xludf.DUMMYFUNCTION("""COMPUTED_VALUE"""),6.0)</f>
        <v>6</v>
      </c>
      <c r="G497" s="38">
        <v>0.0</v>
      </c>
    </row>
    <row r="498">
      <c r="A498" s="38" t="str">
        <f>IFERROR(__xludf.DUMMYFUNCTION("""COMPUTED_VALUE"""),"M015")</f>
        <v>M015</v>
      </c>
      <c r="B498" s="38" t="str">
        <f>IFERROR(__xludf.DUMMYFUNCTION("""COMPUTED_VALUE"""),"2XL")</f>
        <v>2XL</v>
      </c>
      <c r="C498" s="38" t="str">
        <f>IFERROR(__xludf.DUMMYFUNCTION("""COMPUTED_VALUE"""),"XÁM")</f>
        <v>XÁM</v>
      </c>
      <c r="D498" s="38">
        <f>IFERROR(__xludf.DUMMYFUNCTION("""COMPUTED_VALUE"""),1.0)</f>
        <v>1</v>
      </c>
      <c r="G498" s="38">
        <v>0.0</v>
      </c>
    </row>
    <row r="499">
      <c r="A499" s="38" t="str">
        <f>IFERROR(__xludf.DUMMYFUNCTION("""COMPUTED_VALUE"""),"M015")</f>
        <v>M015</v>
      </c>
      <c r="B499" s="38" t="str">
        <f>IFERROR(__xludf.DUMMYFUNCTION("""COMPUTED_VALUE"""),"3XL")</f>
        <v>3XL</v>
      </c>
      <c r="C499" s="38" t="str">
        <f>IFERROR(__xludf.DUMMYFUNCTION("""COMPUTED_VALUE"""),"ĐEN")</f>
        <v>ĐEN</v>
      </c>
      <c r="D499" s="38">
        <f>IFERROR(__xludf.DUMMYFUNCTION("""COMPUTED_VALUE"""),1.0)</f>
        <v>1</v>
      </c>
      <c r="G499" s="38">
        <v>0.0</v>
      </c>
    </row>
    <row r="500">
      <c r="A500" s="38" t="str">
        <f>IFERROR(__xludf.DUMMYFUNCTION("""COMPUTED_VALUE"""),"M015")</f>
        <v>M015</v>
      </c>
      <c r="B500" s="38" t="str">
        <f>IFERROR(__xludf.DUMMYFUNCTION("""COMPUTED_VALUE"""),"L")</f>
        <v>L</v>
      </c>
      <c r="C500" s="38" t="str">
        <f>IFERROR(__xludf.DUMMYFUNCTION("""COMPUTED_VALUE"""),"BE")</f>
        <v>BE</v>
      </c>
      <c r="D500" s="38">
        <f>IFERROR(__xludf.DUMMYFUNCTION("""COMPUTED_VALUE"""),1.0)</f>
        <v>1</v>
      </c>
      <c r="G500" s="38">
        <v>0.0</v>
      </c>
    </row>
    <row r="501">
      <c r="A501" s="38" t="str">
        <f>IFERROR(__xludf.DUMMYFUNCTION("""COMPUTED_VALUE"""),"M015")</f>
        <v>M015</v>
      </c>
      <c r="B501" s="38" t="str">
        <f>IFERROR(__xludf.DUMMYFUNCTION("""COMPUTED_VALUE"""),"L")</f>
        <v>L</v>
      </c>
      <c r="C501" s="38" t="str">
        <f>IFERROR(__xludf.DUMMYFUNCTION("""COMPUTED_VALUE"""),"TÍM")</f>
        <v>TÍM</v>
      </c>
      <c r="D501" s="38">
        <f>IFERROR(__xludf.DUMMYFUNCTION("""COMPUTED_VALUE"""),1.0)</f>
        <v>1</v>
      </c>
      <c r="G501" s="38">
        <v>0.0</v>
      </c>
    </row>
    <row r="502">
      <c r="A502" s="38" t="str">
        <f>IFERROR(__xludf.DUMMYFUNCTION("""COMPUTED_VALUE"""),"M015")</f>
        <v>M015</v>
      </c>
      <c r="B502" s="38" t="str">
        <f>IFERROR(__xludf.DUMMYFUNCTION("""COMPUTED_VALUE"""),"L")</f>
        <v>L</v>
      </c>
      <c r="C502" s="38" t="str">
        <f>IFERROR(__xludf.DUMMYFUNCTION("""COMPUTED_VALUE"""),"XANH LÁ")</f>
        <v>XANH LÁ</v>
      </c>
      <c r="D502" s="38">
        <f>IFERROR(__xludf.DUMMYFUNCTION("""COMPUTED_VALUE"""),1.0)</f>
        <v>1</v>
      </c>
      <c r="G502" s="38">
        <v>0.0</v>
      </c>
    </row>
    <row r="503">
      <c r="A503" s="38" t="str">
        <f>IFERROR(__xludf.DUMMYFUNCTION("""COMPUTED_VALUE"""),"M015")</f>
        <v>M015</v>
      </c>
      <c r="B503" s="38" t="str">
        <f>IFERROR(__xludf.DUMMYFUNCTION("""COMPUTED_VALUE"""),"L")</f>
        <v>L</v>
      </c>
      <c r="C503" s="38" t="str">
        <f>IFERROR(__xludf.DUMMYFUNCTION("""COMPUTED_VALUE"""),"XÁM")</f>
        <v>XÁM</v>
      </c>
      <c r="D503" s="38">
        <f>IFERROR(__xludf.DUMMYFUNCTION("""COMPUTED_VALUE"""),2.0)</f>
        <v>2</v>
      </c>
      <c r="G503" s="38">
        <v>0.0</v>
      </c>
    </row>
    <row r="504">
      <c r="A504" s="38" t="str">
        <f>IFERROR(__xludf.DUMMYFUNCTION("""COMPUTED_VALUE"""),"M015")</f>
        <v>M015</v>
      </c>
      <c r="B504" s="38" t="str">
        <f>IFERROR(__xludf.DUMMYFUNCTION("""COMPUTED_VALUE"""),"L")</f>
        <v>L</v>
      </c>
      <c r="C504" s="38" t="str">
        <f>IFERROR(__xludf.DUMMYFUNCTION("""COMPUTED_VALUE"""),"ĐEN")</f>
        <v>ĐEN</v>
      </c>
      <c r="D504" s="38">
        <f>IFERROR(__xludf.DUMMYFUNCTION("""COMPUTED_VALUE"""),4.0)</f>
        <v>4</v>
      </c>
      <c r="G504" s="38">
        <v>0.0</v>
      </c>
    </row>
    <row r="505">
      <c r="A505" s="38" t="str">
        <f>IFERROR(__xludf.DUMMYFUNCTION("""COMPUTED_VALUE"""),"M015")</f>
        <v>M015</v>
      </c>
      <c r="B505" s="38" t="str">
        <f>IFERROR(__xludf.DUMMYFUNCTION("""COMPUTED_VALUE"""),"M")</f>
        <v>M</v>
      </c>
      <c r="C505" s="38" t="str">
        <f>IFERROR(__xludf.DUMMYFUNCTION("""COMPUTED_VALUE"""),"BE")</f>
        <v>BE</v>
      </c>
      <c r="D505" s="38">
        <f>IFERROR(__xludf.DUMMYFUNCTION("""COMPUTED_VALUE"""),6.0)</f>
        <v>6</v>
      </c>
      <c r="G505" s="38">
        <v>0.0</v>
      </c>
    </row>
    <row r="506">
      <c r="A506" s="38" t="str">
        <f>IFERROR(__xludf.DUMMYFUNCTION("""COMPUTED_VALUE"""),"M015")</f>
        <v>M015</v>
      </c>
      <c r="B506" s="38" t="str">
        <f>IFERROR(__xludf.DUMMYFUNCTION("""COMPUTED_VALUE"""),"M")</f>
        <v>M</v>
      </c>
      <c r="C506" s="38" t="str">
        <f>IFERROR(__xludf.DUMMYFUNCTION("""COMPUTED_VALUE"""),"HỒNG")</f>
        <v>HỒNG</v>
      </c>
      <c r="D506" s="38">
        <f>IFERROR(__xludf.DUMMYFUNCTION("""COMPUTED_VALUE"""),3.0)</f>
        <v>3</v>
      </c>
      <c r="G506" s="38">
        <v>0.0</v>
      </c>
    </row>
    <row r="507">
      <c r="A507" s="38" t="str">
        <f>IFERROR(__xludf.DUMMYFUNCTION("""COMPUTED_VALUE"""),"M015")</f>
        <v>M015</v>
      </c>
      <c r="B507" s="38" t="str">
        <f>IFERROR(__xludf.DUMMYFUNCTION("""COMPUTED_VALUE"""),"M")</f>
        <v>M</v>
      </c>
      <c r="C507" s="38" t="str">
        <f>IFERROR(__xludf.DUMMYFUNCTION("""COMPUTED_VALUE"""),"TÍM")</f>
        <v>TÍM</v>
      </c>
      <c r="D507" s="38">
        <f>IFERROR(__xludf.DUMMYFUNCTION("""COMPUTED_VALUE"""),1.0)</f>
        <v>1</v>
      </c>
      <c r="G507" s="38">
        <v>0.0</v>
      </c>
    </row>
    <row r="508">
      <c r="A508" s="38" t="str">
        <f>IFERROR(__xludf.DUMMYFUNCTION("""COMPUTED_VALUE"""),"M015")</f>
        <v>M015</v>
      </c>
      <c r="B508" s="38" t="str">
        <f>IFERROR(__xludf.DUMMYFUNCTION("""COMPUTED_VALUE"""),"M")</f>
        <v>M</v>
      </c>
      <c r="C508" s="38" t="str">
        <f>IFERROR(__xludf.DUMMYFUNCTION("""COMPUTED_VALUE"""),"XANH LÁ")</f>
        <v>XANH LÁ</v>
      </c>
      <c r="D508" s="38">
        <f>IFERROR(__xludf.DUMMYFUNCTION("""COMPUTED_VALUE"""),8.0)</f>
        <v>8</v>
      </c>
      <c r="G508" s="38">
        <v>0.0</v>
      </c>
    </row>
    <row r="509">
      <c r="A509" s="38" t="str">
        <f>IFERROR(__xludf.DUMMYFUNCTION("""COMPUTED_VALUE"""),"M015")</f>
        <v>M015</v>
      </c>
      <c r="B509" s="38" t="str">
        <f>IFERROR(__xludf.DUMMYFUNCTION("""COMPUTED_VALUE"""),"M")</f>
        <v>M</v>
      </c>
      <c r="C509" s="38" t="str">
        <f>IFERROR(__xludf.DUMMYFUNCTION("""COMPUTED_VALUE"""),"XÁM")</f>
        <v>XÁM</v>
      </c>
      <c r="D509" s="38">
        <f>IFERROR(__xludf.DUMMYFUNCTION("""COMPUTED_VALUE"""),1.0)</f>
        <v>1</v>
      </c>
      <c r="G509" s="38">
        <v>0.0</v>
      </c>
    </row>
    <row r="510">
      <c r="A510" s="38" t="str">
        <f>IFERROR(__xludf.DUMMYFUNCTION("""COMPUTED_VALUE"""),"M015")</f>
        <v>M015</v>
      </c>
      <c r="B510" s="38" t="str">
        <f>IFERROR(__xludf.DUMMYFUNCTION("""COMPUTED_VALUE"""),"M")</f>
        <v>M</v>
      </c>
      <c r="C510" s="38" t="str">
        <f>IFERROR(__xludf.DUMMYFUNCTION("""COMPUTED_VALUE"""),"ĐEN")</f>
        <v>ĐEN</v>
      </c>
      <c r="D510" s="38">
        <f>IFERROR(__xludf.DUMMYFUNCTION("""COMPUTED_VALUE"""),4.0)</f>
        <v>4</v>
      </c>
      <c r="G510" s="38">
        <v>0.0</v>
      </c>
    </row>
    <row r="511">
      <c r="A511" s="38" t="str">
        <f>IFERROR(__xludf.DUMMYFUNCTION("""COMPUTED_VALUE"""),"M015")</f>
        <v>M015</v>
      </c>
      <c r="B511" s="38" t="str">
        <f>IFERROR(__xludf.DUMMYFUNCTION("""COMPUTED_VALUE"""),"S")</f>
        <v>S</v>
      </c>
      <c r="C511" s="38" t="str">
        <f>IFERROR(__xludf.DUMMYFUNCTION("""COMPUTED_VALUE"""),"BE")</f>
        <v>BE</v>
      </c>
      <c r="D511" s="38">
        <f>IFERROR(__xludf.DUMMYFUNCTION("""COMPUTED_VALUE"""),5.0)</f>
        <v>5</v>
      </c>
      <c r="G511" s="38">
        <v>0.0</v>
      </c>
    </row>
    <row r="512">
      <c r="A512" s="38" t="str">
        <f>IFERROR(__xludf.DUMMYFUNCTION("""COMPUTED_VALUE"""),"M015")</f>
        <v>M015</v>
      </c>
      <c r="B512" s="38" t="str">
        <f>IFERROR(__xludf.DUMMYFUNCTION("""COMPUTED_VALUE"""),"S")</f>
        <v>S</v>
      </c>
      <c r="C512" s="38" t="str">
        <f>IFERROR(__xludf.DUMMYFUNCTION("""COMPUTED_VALUE"""),"HỒNG")</f>
        <v>HỒNG</v>
      </c>
      <c r="D512" s="38">
        <f>IFERROR(__xludf.DUMMYFUNCTION("""COMPUTED_VALUE"""),3.0)</f>
        <v>3</v>
      </c>
      <c r="G512" s="38">
        <v>0.0</v>
      </c>
    </row>
    <row r="513">
      <c r="A513" s="38" t="str">
        <f>IFERROR(__xludf.DUMMYFUNCTION("""COMPUTED_VALUE"""),"M015")</f>
        <v>M015</v>
      </c>
      <c r="B513" s="38" t="str">
        <f>IFERROR(__xludf.DUMMYFUNCTION("""COMPUTED_VALUE"""),"S")</f>
        <v>S</v>
      </c>
      <c r="C513" s="38" t="str">
        <f>IFERROR(__xludf.DUMMYFUNCTION("""COMPUTED_VALUE"""),"XANH LÁ")</f>
        <v>XANH LÁ</v>
      </c>
      <c r="D513" s="38">
        <f>IFERROR(__xludf.DUMMYFUNCTION("""COMPUTED_VALUE"""),2.0)</f>
        <v>2</v>
      </c>
      <c r="G513" s="38">
        <v>0.0</v>
      </c>
    </row>
    <row r="514">
      <c r="A514" s="38" t="str">
        <f>IFERROR(__xludf.DUMMYFUNCTION("""COMPUTED_VALUE"""),"M015")</f>
        <v>M015</v>
      </c>
      <c r="B514" s="38" t="str">
        <f>IFERROR(__xludf.DUMMYFUNCTION("""COMPUTED_VALUE"""),"S")</f>
        <v>S</v>
      </c>
      <c r="C514" s="38" t="str">
        <f>IFERROR(__xludf.DUMMYFUNCTION("""COMPUTED_VALUE"""),"XÁM")</f>
        <v>XÁM</v>
      </c>
      <c r="D514" s="38">
        <f>IFERROR(__xludf.DUMMYFUNCTION("""COMPUTED_VALUE"""),5.0)</f>
        <v>5</v>
      </c>
      <c r="G514" s="38">
        <v>0.0</v>
      </c>
    </row>
    <row r="515">
      <c r="A515" s="38" t="str">
        <f>IFERROR(__xludf.DUMMYFUNCTION("""COMPUTED_VALUE"""),"M015")</f>
        <v>M015</v>
      </c>
      <c r="B515" s="38" t="str">
        <f>IFERROR(__xludf.DUMMYFUNCTION("""COMPUTED_VALUE"""),"S")</f>
        <v>S</v>
      </c>
      <c r="C515" s="38" t="str">
        <f>IFERROR(__xludf.DUMMYFUNCTION("""COMPUTED_VALUE"""),"ĐEN")</f>
        <v>ĐEN</v>
      </c>
      <c r="D515" s="38">
        <f>IFERROR(__xludf.DUMMYFUNCTION("""COMPUTED_VALUE"""),4.0)</f>
        <v>4</v>
      </c>
      <c r="G515" s="38">
        <v>0.0</v>
      </c>
    </row>
    <row r="516">
      <c r="A516" s="38" t="str">
        <f>IFERROR(__xludf.DUMMYFUNCTION("""COMPUTED_VALUE"""),"M015")</f>
        <v>M015</v>
      </c>
      <c r="B516" s="38" t="str">
        <f>IFERROR(__xludf.DUMMYFUNCTION("""COMPUTED_VALUE"""),"XL")</f>
        <v>XL</v>
      </c>
      <c r="C516" s="38" t="str">
        <f>IFERROR(__xludf.DUMMYFUNCTION("""COMPUTED_VALUE"""),"XÁM")</f>
        <v>XÁM</v>
      </c>
      <c r="D516" s="38">
        <f>IFERROR(__xludf.DUMMYFUNCTION("""COMPUTED_VALUE"""),1.0)</f>
        <v>1</v>
      </c>
      <c r="G516" s="38">
        <v>0.0</v>
      </c>
    </row>
    <row r="517">
      <c r="A517" s="38" t="str">
        <f>IFERROR(__xludf.DUMMYFUNCTION("""COMPUTED_VALUE"""),"M016")</f>
        <v>M016</v>
      </c>
      <c r="B517" s="38" t="str">
        <f>IFERROR(__xludf.DUMMYFUNCTION("""COMPUTED_VALUE"""),"L")</f>
        <v>L</v>
      </c>
      <c r="C517" s="38" t="str">
        <f>IFERROR(__xludf.DUMMYFUNCTION("""COMPUTED_VALUE"""),"TRẮNG")</f>
        <v>TRẮNG</v>
      </c>
      <c r="D517" s="38">
        <f>IFERROR(__xludf.DUMMYFUNCTION("""COMPUTED_VALUE"""),6.0)</f>
        <v>6</v>
      </c>
      <c r="G517" s="38">
        <v>0.0</v>
      </c>
    </row>
    <row r="518">
      <c r="A518" s="38" t="str">
        <f>IFERROR(__xludf.DUMMYFUNCTION("""COMPUTED_VALUE"""),"M016")</f>
        <v>M016</v>
      </c>
      <c r="B518" s="38" t="str">
        <f>IFERROR(__xludf.DUMMYFUNCTION("""COMPUTED_VALUE"""),"L")</f>
        <v>L</v>
      </c>
      <c r="C518" s="38" t="str">
        <f>IFERROR(__xludf.DUMMYFUNCTION("""COMPUTED_VALUE"""),"XANH THAN")</f>
        <v>XANH THAN</v>
      </c>
      <c r="D518" s="38">
        <f>IFERROR(__xludf.DUMMYFUNCTION("""COMPUTED_VALUE"""),4.0)</f>
        <v>4</v>
      </c>
      <c r="G518" s="38">
        <v>0.0</v>
      </c>
    </row>
    <row r="519">
      <c r="A519" s="38" t="str">
        <f>IFERROR(__xludf.DUMMYFUNCTION("""COMPUTED_VALUE"""),"M016")</f>
        <v>M016</v>
      </c>
      <c r="B519" s="38" t="str">
        <f>IFERROR(__xludf.DUMMYFUNCTION("""COMPUTED_VALUE"""),"L")</f>
        <v>L</v>
      </c>
      <c r="C519" s="38" t="str">
        <f>IFERROR(__xludf.DUMMYFUNCTION("""COMPUTED_VALUE"""),"XÁM")</f>
        <v>XÁM</v>
      </c>
      <c r="D519" s="38">
        <f>IFERROR(__xludf.DUMMYFUNCTION("""COMPUTED_VALUE"""),6.0)</f>
        <v>6</v>
      </c>
      <c r="G519" s="38">
        <v>0.0</v>
      </c>
    </row>
    <row r="520">
      <c r="A520" s="38" t="str">
        <f>IFERROR(__xludf.DUMMYFUNCTION("""COMPUTED_VALUE"""),"M016")</f>
        <v>M016</v>
      </c>
      <c r="B520" s="38" t="str">
        <f>IFERROR(__xludf.DUMMYFUNCTION("""COMPUTED_VALUE"""),"L")</f>
        <v>L</v>
      </c>
      <c r="C520" s="38" t="str">
        <f>IFERROR(__xludf.DUMMYFUNCTION("""COMPUTED_VALUE"""),"ĐEN")</f>
        <v>ĐEN</v>
      </c>
      <c r="D520" s="38">
        <f>IFERROR(__xludf.DUMMYFUNCTION("""COMPUTED_VALUE"""),5.0)</f>
        <v>5</v>
      </c>
      <c r="G520" s="38">
        <v>0.0</v>
      </c>
    </row>
    <row r="521">
      <c r="A521" s="38" t="str">
        <f>IFERROR(__xludf.DUMMYFUNCTION("""COMPUTED_VALUE"""),"M016")</f>
        <v>M016</v>
      </c>
      <c r="B521" s="38" t="str">
        <f>IFERROR(__xludf.DUMMYFUNCTION("""COMPUTED_VALUE"""),"M")</f>
        <v>M</v>
      </c>
      <c r="C521" s="38" t="str">
        <f>IFERROR(__xludf.DUMMYFUNCTION("""COMPUTED_VALUE"""),"TRẮNG")</f>
        <v>TRẮNG</v>
      </c>
      <c r="D521" s="38">
        <f>IFERROR(__xludf.DUMMYFUNCTION("""COMPUTED_VALUE"""),6.0)</f>
        <v>6</v>
      </c>
      <c r="G521" s="38">
        <v>0.0</v>
      </c>
    </row>
    <row r="522">
      <c r="A522" s="38" t="str">
        <f>IFERROR(__xludf.DUMMYFUNCTION("""COMPUTED_VALUE"""),"M016")</f>
        <v>M016</v>
      </c>
      <c r="B522" s="38" t="str">
        <f>IFERROR(__xludf.DUMMYFUNCTION("""COMPUTED_VALUE"""),"M")</f>
        <v>M</v>
      </c>
      <c r="C522" s="38" t="str">
        <f>IFERROR(__xludf.DUMMYFUNCTION("""COMPUTED_VALUE"""),"XANH THAN")</f>
        <v>XANH THAN</v>
      </c>
      <c r="D522" s="38">
        <f>IFERROR(__xludf.DUMMYFUNCTION("""COMPUTED_VALUE"""),3.0)</f>
        <v>3</v>
      </c>
      <c r="G522" s="38">
        <v>0.0</v>
      </c>
    </row>
    <row r="523">
      <c r="A523" s="38" t="str">
        <f>IFERROR(__xludf.DUMMYFUNCTION("""COMPUTED_VALUE"""),"M016")</f>
        <v>M016</v>
      </c>
      <c r="B523" s="38" t="str">
        <f>IFERROR(__xludf.DUMMYFUNCTION("""COMPUTED_VALUE"""),"M")</f>
        <v>M</v>
      </c>
      <c r="C523" s="38" t="str">
        <f>IFERROR(__xludf.DUMMYFUNCTION("""COMPUTED_VALUE"""),"XÁM")</f>
        <v>XÁM</v>
      </c>
      <c r="D523" s="38">
        <f>IFERROR(__xludf.DUMMYFUNCTION("""COMPUTED_VALUE"""),2.0)</f>
        <v>2</v>
      </c>
      <c r="G523" s="38">
        <v>0.0</v>
      </c>
    </row>
    <row r="524">
      <c r="A524" s="38" t="str">
        <f>IFERROR(__xludf.DUMMYFUNCTION("""COMPUTED_VALUE"""),"M016")</f>
        <v>M016</v>
      </c>
      <c r="B524" s="38" t="str">
        <f>IFERROR(__xludf.DUMMYFUNCTION("""COMPUTED_VALUE"""),"M")</f>
        <v>M</v>
      </c>
      <c r="C524" s="38" t="str">
        <f>IFERROR(__xludf.DUMMYFUNCTION("""COMPUTED_VALUE"""),"ĐEN")</f>
        <v>ĐEN</v>
      </c>
      <c r="D524" s="38">
        <f>IFERROR(__xludf.DUMMYFUNCTION("""COMPUTED_VALUE"""),5.0)</f>
        <v>5</v>
      </c>
      <c r="G524" s="38">
        <v>0.0</v>
      </c>
    </row>
    <row r="525">
      <c r="A525" s="38" t="str">
        <f>IFERROR(__xludf.DUMMYFUNCTION("""COMPUTED_VALUE"""),"M016")</f>
        <v>M016</v>
      </c>
      <c r="B525" s="38" t="str">
        <f>IFERROR(__xludf.DUMMYFUNCTION("""COMPUTED_VALUE"""),"XL")</f>
        <v>XL</v>
      </c>
      <c r="C525" s="38" t="str">
        <f>IFERROR(__xludf.DUMMYFUNCTION("""COMPUTED_VALUE"""),"TRẮNG")</f>
        <v>TRẮNG</v>
      </c>
      <c r="D525" s="38">
        <f>IFERROR(__xludf.DUMMYFUNCTION("""COMPUTED_VALUE"""),4.0)</f>
        <v>4</v>
      </c>
      <c r="G525" s="38">
        <v>0.0</v>
      </c>
    </row>
    <row r="526">
      <c r="A526" s="38" t="str">
        <f>IFERROR(__xludf.DUMMYFUNCTION("""COMPUTED_VALUE"""),"M016")</f>
        <v>M016</v>
      </c>
      <c r="B526" s="38" t="str">
        <f>IFERROR(__xludf.DUMMYFUNCTION("""COMPUTED_VALUE"""),"XL")</f>
        <v>XL</v>
      </c>
      <c r="C526" s="38" t="str">
        <f>IFERROR(__xludf.DUMMYFUNCTION("""COMPUTED_VALUE"""),"ĐEN")</f>
        <v>ĐEN</v>
      </c>
      <c r="D526" s="38">
        <f>IFERROR(__xludf.DUMMYFUNCTION("""COMPUTED_VALUE"""),4.0)</f>
        <v>4</v>
      </c>
      <c r="G526" s="38">
        <v>0.0</v>
      </c>
    </row>
    <row r="527">
      <c r="A527" s="38" t="str">
        <f>IFERROR(__xludf.DUMMYFUNCTION("""COMPUTED_VALUE"""),"M017")</f>
        <v>M017</v>
      </c>
      <c r="B527" s="38" t="str">
        <f>IFERROR(__xludf.DUMMYFUNCTION("""COMPUTED_VALUE"""),"2XL")</f>
        <v>2XL</v>
      </c>
      <c r="C527" s="38" t="str">
        <f>IFERROR(__xludf.DUMMYFUNCTION("""COMPUTED_VALUE"""),"2")</f>
        <v>2</v>
      </c>
      <c r="D527" s="38">
        <f>IFERROR(__xludf.DUMMYFUNCTION("""COMPUTED_VALUE"""),1.0)</f>
        <v>1</v>
      </c>
      <c r="G527" s="38">
        <v>0.0</v>
      </c>
    </row>
    <row r="528">
      <c r="A528" s="38" t="str">
        <f>IFERROR(__xludf.DUMMYFUNCTION("""COMPUTED_VALUE"""),"M017")</f>
        <v>M017</v>
      </c>
      <c r="B528" s="38" t="str">
        <f>IFERROR(__xludf.DUMMYFUNCTION("""COMPUTED_VALUE"""),"2XL")</f>
        <v>2XL</v>
      </c>
      <c r="C528" s="38" t="str">
        <f>IFERROR(__xludf.DUMMYFUNCTION("""COMPUTED_VALUE"""),"3")</f>
        <v>3</v>
      </c>
      <c r="D528" s="38">
        <f>IFERROR(__xludf.DUMMYFUNCTION("""COMPUTED_VALUE"""),1.0)</f>
        <v>1</v>
      </c>
      <c r="G528" s="38">
        <v>0.0</v>
      </c>
    </row>
    <row r="529">
      <c r="A529" s="38" t="str">
        <f>IFERROR(__xludf.DUMMYFUNCTION("""COMPUTED_VALUE"""),"M017")</f>
        <v>M017</v>
      </c>
      <c r="B529" s="38" t="str">
        <f>IFERROR(__xludf.DUMMYFUNCTION("""COMPUTED_VALUE"""),"FZ")</f>
        <v>FZ</v>
      </c>
      <c r="C529" s="38" t="str">
        <f>IFERROR(__xludf.DUMMYFUNCTION("""COMPUTED_VALUE"""),"3")</f>
        <v>3</v>
      </c>
      <c r="D529" s="38">
        <f>IFERROR(__xludf.DUMMYFUNCTION("""COMPUTED_VALUE"""),1.0)</f>
        <v>1</v>
      </c>
      <c r="G529" s="38">
        <v>0.0</v>
      </c>
    </row>
    <row r="530">
      <c r="A530" s="38" t="str">
        <f>IFERROR(__xludf.DUMMYFUNCTION("""COMPUTED_VALUE"""),"M017")</f>
        <v>M017</v>
      </c>
      <c r="B530" s="38" t="str">
        <f>IFERROR(__xludf.DUMMYFUNCTION("""COMPUTED_VALUE"""),"FZ")</f>
        <v>FZ</v>
      </c>
      <c r="C530" s="38" t="str">
        <f>IFERROR(__xludf.DUMMYFUNCTION("""COMPUTED_VALUE"""),"4")</f>
        <v>4</v>
      </c>
      <c r="D530" s="38">
        <f>IFERROR(__xludf.DUMMYFUNCTION("""COMPUTED_VALUE"""),1.0)</f>
        <v>1</v>
      </c>
      <c r="G530" s="38">
        <v>0.0</v>
      </c>
    </row>
    <row r="531">
      <c r="A531" s="38" t="str">
        <f>IFERROR(__xludf.DUMMYFUNCTION("""COMPUTED_VALUE"""),"M017")</f>
        <v>M017</v>
      </c>
      <c r="B531" s="38" t="str">
        <f>IFERROR(__xludf.DUMMYFUNCTION("""COMPUTED_VALUE"""),"L")</f>
        <v>L</v>
      </c>
      <c r="C531" s="38" t="str">
        <f>IFERROR(__xludf.DUMMYFUNCTION("""COMPUTED_VALUE"""),"1")</f>
        <v>1</v>
      </c>
      <c r="D531" s="38">
        <f>IFERROR(__xludf.DUMMYFUNCTION("""COMPUTED_VALUE"""),3.0)</f>
        <v>3</v>
      </c>
      <c r="G531" s="38">
        <v>0.0</v>
      </c>
    </row>
    <row r="532">
      <c r="A532" s="38" t="str">
        <f>IFERROR(__xludf.DUMMYFUNCTION("""COMPUTED_VALUE"""),"M017")</f>
        <v>M017</v>
      </c>
      <c r="B532" s="38" t="str">
        <f>IFERROR(__xludf.DUMMYFUNCTION("""COMPUTED_VALUE"""),"L")</f>
        <v>L</v>
      </c>
      <c r="C532" s="38" t="str">
        <f>IFERROR(__xludf.DUMMYFUNCTION("""COMPUTED_VALUE"""),"3")</f>
        <v>3</v>
      </c>
      <c r="D532" s="38">
        <f>IFERROR(__xludf.DUMMYFUNCTION("""COMPUTED_VALUE"""),2.0)</f>
        <v>2</v>
      </c>
      <c r="G532" s="38">
        <v>0.0</v>
      </c>
    </row>
    <row r="533">
      <c r="A533" s="38" t="str">
        <f>IFERROR(__xludf.DUMMYFUNCTION("""COMPUTED_VALUE"""),"M017")</f>
        <v>M017</v>
      </c>
      <c r="B533" s="38" t="str">
        <f>IFERROR(__xludf.DUMMYFUNCTION("""COMPUTED_VALUE"""),"L")</f>
        <v>L</v>
      </c>
      <c r="C533" s="38" t="str">
        <f>IFERROR(__xludf.DUMMYFUNCTION("""COMPUTED_VALUE"""),"4")</f>
        <v>4</v>
      </c>
      <c r="D533" s="38">
        <f>IFERROR(__xludf.DUMMYFUNCTION("""COMPUTED_VALUE"""),1.0)</f>
        <v>1</v>
      </c>
      <c r="G533" s="38">
        <v>0.0</v>
      </c>
    </row>
    <row r="534">
      <c r="A534" s="38" t="str">
        <f>IFERROR(__xludf.DUMMYFUNCTION("""COMPUTED_VALUE"""),"M017")</f>
        <v>M017</v>
      </c>
      <c r="B534" s="38" t="str">
        <f>IFERROR(__xludf.DUMMYFUNCTION("""COMPUTED_VALUE"""),"L")</f>
        <v>L</v>
      </c>
      <c r="C534" s="38" t="str">
        <f>IFERROR(__xludf.DUMMYFUNCTION("""COMPUTED_VALUE"""),"5")</f>
        <v>5</v>
      </c>
      <c r="D534" s="38">
        <f>IFERROR(__xludf.DUMMYFUNCTION("""COMPUTED_VALUE"""),1.0)</f>
        <v>1</v>
      </c>
      <c r="G534" s="38">
        <v>0.0</v>
      </c>
    </row>
    <row r="535">
      <c r="A535" s="38" t="str">
        <f>IFERROR(__xludf.DUMMYFUNCTION("""COMPUTED_VALUE"""),"M017")</f>
        <v>M017</v>
      </c>
      <c r="B535" s="38" t="str">
        <f>IFERROR(__xludf.DUMMYFUNCTION("""COMPUTED_VALUE"""),"L")</f>
        <v>L</v>
      </c>
      <c r="C535" s="38" t="str">
        <f>IFERROR(__xludf.DUMMYFUNCTION("""COMPUTED_VALUE"""),"6")</f>
        <v>6</v>
      </c>
      <c r="D535" s="38">
        <f>IFERROR(__xludf.DUMMYFUNCTION("""COMPUTED_VALUE"""),1.0)</f>
        <v>1</v>
      </c>
      <c r="G535" s="38">
        <v>0.0</v>
      </c>
    </row>
    <row r="536">
      <c r="A536" s="38" t="str">
        <f>IFERROR(__xludf.DUMMYFUNCTION("""COMPUTED_VALUE"""),"M018")</f>
        <v>M018</v>
      </c>
      <c r="B536" s="38" t="str">
        <f>IFERROR(__xludf.DUMMYFUNCTION("""COMPUTED_VALUE"""),"FZ")</f>
        <v>FZ</v>
      </c>
      <c r="C536" s="38" t="str">
        <f>IFERROR(__xludf.DUMMYFUNCTION("""COMPUTED_VALUE"""),"BE")</f>
        <v>BE</v>
      </c>
      <c r="D536" s="38">
        <f>IFERROR(__xludf.DUMMYFUNCTION("""COMPUTED_VALUE"""),26.0)</f>
        <v>26</v>
      </c>
      <c r="G536" s="38">
        <v>0.0</v>
      </c>
    </row>
    <row r="537">
      <c r="A537" s="38" t="str">
        <f>IFERROR(__xludf.DUMMYFUNCTION("""COMPUTED_VALUE"""),"M019")</f>
        <v>M019</v>
      </c>
      <c r="B537" s="38" t="str">
        <f>IFERROR(__xludf.DUMMYFUNCTION("""COMPUTED_VALUE"""),"35")</f>
        <v>35</v>
      </c>
      <c r="C537" s="38" t="str">
        <f>IFERROR(__xludf.DUMMYFUNCTION("""COMPUTED_VALUE"""),"XÁM")</f>
        <v>XÁM</v>
      </c>
      <c r="D537" s="38">
        <f>IFERROR(__xludf.DUMMYFUNCTION("""COMPUTED_VALUE"""),1.0)</f>
        <v>1</v>
      </c>
      <c r="G537" s="38">
        <v>0.0</v>
      </c>
    </row>
    <row r="538">
      <c r="A538" s="38" t="str">
        <f>IFERROR(__xludf.DUMMYFUNCTION("""COMPUTED_VALUE"""),"M019")</f>
        <v>M019</v>
      </c>
      <c r="B538" s="38" t="str">
        <f>IFERROR(__xludf.DUMMYFUNCTION("""COMPUTED_VALUE"""),"36")</f>
        <v>36</v>
      </c>
      <c r="C538" s="38" t="str">
        <f>IFERROR(__xludf.DUMMYFUNCTION("""COMPUTED_VALUE"""),"NÂU")</f>
        <v>NÂU</v>
      </c>
      <c r="D538" s="38">
        <f>IFERROR(__xludf.DUMMYFUNCTION("""COMPUTED_VALUE"""),1.0)</f>
        <v>1</v>
      </c>
      <c r="G538" s="38">
        <v>0.0</v>
      </c>
    </row>
    <row r="539">
      <c r="A539" s="38" t="str">
        <f>IFERROR(__xludf.DUMMYFUNCTION("""COMPUTED_VALUE"""),"M019")</f>
        <v>M019</v>
      </c>
      <c r="B539" s="38" t="str">
        <f>IFERROR(__xludf.DUMMYFUNCTION("""COMPUTED_VALUE"""),"37")</f>
        <v>37</v>
      </c>
      <c r="C539" s="38" t="str">
        <f>IFERROR(__xludf.DUMMYFUNCTION("""COMPUTED_VALUE"""),"NÂU")</f>
        <v>NÂU</v>
      </c>
      <c r="D539" s="38">
        <f>IFERROR(__xludf.DUMMYFUNCTION("""COMPUTED_VALUE"""),1.0)</f>
        <v>1</v>
      </c>
      <c r="G539" s="38">
        <v>0.0</v>
      </c>
    </row>
    <row r="540">
      <c r="A540" s="38" t="str">
        <f>IFERROR(__xludf.DUMMYFUNCTION("""COMPUTED_VALUE"""),"M019")</f>
        <v>M019</v>
      </c>
      <c r="B540" s="38" t="str">
        <f>IFERROR(__xludf.DUMMYFUNCTION("""COMPUTED_VALUE"""),"37")</f>
        <v>37</v>
      </c>
      <c r="C540" s="38" t="str">
        <f>IFERROR(__xludf.DUMMYFUNCTION("""COMPUTED_VALUE"""),"ĐEN")</f>
        <v>ĐEN</v>
      </c>
      <c r="D540" s="38">
        <f>IFERROR(__xludf.DUMMYFUNCTION("""COMPUTED_VALUE"""),5.0)</f>
        <v>5</v>
      </c>
      <c r="G540" s="38">
        <v>0.0</v>
      </c>
    </row>
    <row r="541">
      <c r="A541" s="38" t="str">
        <f>IFERROR(__xludf.DUMMYFUNCTION("""COMPUTED_VALUE"""),"M019")</f>
        <v>M019</v>
      </c>
      <c r="B541" s="38" t="str">
        <f>IFERROR(__xludf.DUMMYFUNCTION("""COMPUTED_VALUE"""),"38")</f>
        <v>38</v>
      </c>
      <c r="C541" s="38" t="str">
        <f>IFERROR(__xludf.DUMMYFUNCTION("""COMPUTED_VALUE"""),"NÂU")</f>
        <v>NÂU</v>
      </c>
      <c r="D541" s="38">
        <f>IFERROR(__xludf.DUMMYFUNCTION("""COMPUTED_VALUE"""),3.0)</f>
        <v>3</v>
      </c>
      <c r="G541" s="38">
        <v>0.0</v>
      </c>
    </row>
    <row r="542">
      <c r="A542" s="38" t="str">
        <f>IFERROR(__xludf.DUMMYFUNCTION("""COMPUTED_VALUE"""),"M019")</f>
        <v>M019</v>
      </c>
      <c r="B542" s="38" t="str">
        <f>IFERROR(__xludf.DUMMYFUNCTION("""COMPUTED_VALUE"""),"38")</f>
        <v>38</v>
      </c>
      <c r="C542" s="38" t="str">
        <f>IFERROR(__xludf.DUMMYFUNCTION("""COMPUTED_VALUE"""),"ĐEN")</f>
        <v>ĐEN</v>
      </c>
      <c r="D542" s="38">
        <f>IFERROR(__xludf.DUMMYFUNCTION("""COMPUTED_VALUE"""),3.0)</f>
        <v>3</v>
      </c>
      <c r="G542" s="38">
        <v>0.0</v>
      </c>
    </row>
    <row r="543">
      <c r="A543" s="38" t="str">
        <f>IFERROR(__xludf.DUMMYFUNCTION("""COMPUTED_VALUE"""),"M019")</f>
        <v>M019</v>
      </c>
      <c r="B543" s="38" t="str">
        <f>IFERROR(__xludf.DUMMYFUNCTION("""COMPUTED_VALUE"""),"38")</f>
        <v>38</v>
      </c>
      <c r="C543" s="38" t="str">
        <f>IFERROR(__xludf.DUMMYFUNCTION("""COMPUTED_VALUE"""),"ĐỎ")</f>
        <v>ĐỎ</v>
      </c>
      <c r="D543" s="38">
        <f>IFERROR(__xludf.DUMMYFUNCTION("""COMPUTED_VALUE"""),1.0)</f>
        <v>1</v>
      </c>
      <c r="G543" s="38">
        <v>0.0</v>
      </c>
    </row>
    <row r="544">
      <c r="A544" s="38" t="str">
        <f>IFERROR(__xludf.DUMMYFUNCTION("""COMPUTED_VALUE"""),"M019")</f>
        <v>M019</v>
      </c>
      <c r="B544" s="38" t="str">
        <f>IFERROR(__xludf.DUMMYFUNCTION("""COMPUTED_VALUE"""),"39")</f>
        <v>39</v>
      </c>
      <c r="C544" s="38" t="str">
        <f>IFERROR(__xludf.DUMMYFUNCTION("""COMPUTED_VALUE"""),"ĐEN")</f>
        <v>ĐEN</v>
      </c>
      <c r="D544" s="38">
        <f>IFERROR(__xludf.DUMMYFUNCTION("""COMPUTED_VALUE"""),1.0)</f>
        <v>1</v>
      </c>
      <c r="G544" s="38">
        <v>0.0</v>
      </c>
    </row>
    <row r="545">
      <c r="A545" s="38" t="str">
        <f>IFERROR(__xludf.DUMMYFUNCTION("""COMPUTED_VALUE"""),"M019")</f>
        <v>M019</v>
      </c>
      <c r="B545" s="38" t="str">
        <f>IFERROR(__xludf.DUMMYFUNCTION("""COMPUTED_VALUE"""),"39")</f>
        <v>39</v>
      </c>
      <c r="C545" s="38" t="str">
        <f>IFERROR(__xludf.DUMMYFUNCTION("""COMPUTED_VALUE"""),"ĐỎ")</f>
        <v>ĐỎ</v>
      </c>
      <c r="D545" s="38">
        <f>IFERROR(__xludf.DUMMYFUNCTION("""COMPUTED_VALUE"""),1.0)</f>
        <v>1</v>
      </c>
      <c r="G545" s="38">
        <v>0.0</v>
      </c>
    </row>
    <row r="546">
      <c r="A546" s="38" t="str">
        <f>IFERROR(__xludf.DUMMYFUNCTION("""COMPUTED_VALUE"""),"M020")</f>
        <v>M020</v>
      </c>
      <c r="B546" s="38" t="str">
        <f>IFERROR(__xludf.DUMMYFUNCTION("""COMPUTED_VALUE"""),"FZ")</f>
        <v>FZ</v>
      </c>
      <c r="C546" s="38"/>
      <c r="D546" s="38">
        <f>IFERROR(__xludf.DUMMYFUNCTION("""COMPUTED_VALUE"""),2.0)</f>
        <v>2</v>
      </c>
      <c r="G546" s="38">
        <v>0.0</v>
      </c>
    </row>
    <row r="547">
      <c r="A547" s="38" t="str">
        <f>IFERROR(__xludf.DUMMYFUNCTION("""COMPUTED_VALUE"""),"M020")</f>
        <v>M020</v>
      </c>
      <c r="B547" s="38" t="str">
        <f>IFERROR(__xludf.DUMMYFUNCTION("""COMPUTED_VALUE"""),"FZ")</f>
        <v>FZ</v>
      </c>
      <c r="C547" s="38" t="str">
        <f>IFERROR(__xludf.DUMMYFUNCTION("""COMPUTED_VALUE"""),"XANH LÁ")</f>
        <v>XANH LÁ</v>
      </c>
      <c r="D547" s="38">
        <f>IFERROR(__xludf.DUMMYFUNCTION("""COMPUTED_VALUE"""),64.0)</f>
        <v>64</v>
      </c>
      <c r="G547" s="38">
        <v>0.0</v>
      </c>
    </row>
    <row r="548">
      <c r="A548" s="38" t="str">
        <f>IFERROR(__xludf.DUMMYFUNCTION("""COMPUTED_VALUE"""),"M021")</f>
        <v>M021</v>
      </c>
      <c r="B548" s="38" t="str">
        <f>IFERROR(__xludf.DUMMYFUNCTION("""COMPUTED_VALUE"""),"2XL")</f>
        <v>2XL</v>
      </c>
      <c r="C548" s="38" t="str">
        <f>IFERROR(__xludf.DUMMYFUNCTION("""COMPUTED_VALUE"""),"HỒNG CHÓ")</f>
        <v>HỒNG CHÓ</v>
      </c>
      <c r="D548" s="38">
        <f>IFERROR(__xludf.DUMMYFUNCTION("""COMPUTED_VALUE"""),2.0)</f>
        <v>2</v>
      </c>
      <c r="G548" s="38">
        <v>0.0</v>
      </c>
    </row>
    <row r="549">
      <c r="A549" s="38" t="str">
        <f>IFERROR(__xludf.DUMMYFUNCTION("""COMPUTED_VALUE"""),"M021")</f>
        <v>M021</v>
      </c>
      <c r="B549" s="38" t="str">
        <f>IFERROR(__xludf.DUMMYFUNCTION("""COMPUTED_VALUE"""),"2XL")</f>
        <v>2XL</v>
      </c>
      <c r="C549" s="38" t="str">
        <f>IFERROR(__xludf.DUMMYFUNCTION("""COMPUTED_VALUE"""),"VÀNG CHÓ")</f>
        <v>VÀNG CHÓ</v>
      </c>
      <c r="D549" s="38">
        <f>IFERROR(__xludf.DUMMYFUNCTION("""COMPUTED_VALUE"""),2.0)</f>
        <v>2</v>
      </c>
      <c r="G549" s="38">
        <v>0.0</v>
      </c>
    </row>
    <row r="550">
      <c r="A550" s="38" t="str">
        <f>IFERROR(__xludf.DUMMYFUNCTION("""COMPUTED_VALUE"""),"M021")</f>
        <v>M021</v>
      </c>
      <c r="B550" s="38" t="str">
        <f>IFERROR(__xludf.DUMMYFUNCTION("""COMPUTED_VALUE"""),"L")</f>
        <v>L</v>
      </c>
      <c r="C550" s="38" t="str">
        <f>IFERROR(__xludf.DUMMYFUNCTION("""COMPUTED_VALUE"""),"HỒNG CHÓ")</f>
        <v>HỒNG CHÓ</v>
      </c>
      <c r="D550" s="38">
        <f>IFERROR(__xludf.DUMMYFUNCTION("""COMPUTED_VALUE"""),7.0)</f>
        <v>7</v>
      </c>
      <c r="G550" s="38">
        <v>0.0</v>
      </c>
    </row>
    <row r="551">
      <c r="A551" s="38" t="str">
        <f>IFERROR(__xludf.DUMMYFUNCTION("""COMPUTED_VALUE"""),"M021")</f>
        <v>M021</v>
      </c>
      <c r="B551" s="38" t="str">
        <f>IFERROR(__xludf.DUMMYFUNCTION("""COMPUTED_VALUE"""),"L")</f>
        <v>L</v>
      </c>
      <c r="C551" s="38" t="str">
        <f>IFERROR(__xludf.DUMMYFUNCTION("""COMPUTED_VALUE"""),"HỒNG KITTY")</f>
        <v>HỒNG KITTY</v>
      </c>
      <c r="D551" s="38">
        <f>IFERROR(__xludf.DUMMYFUNCTION("""COMPUTED_VALUE"""),2.0)</f>
        <v>2</v>
      </c>
      <c r="G551" s="38">
        <v>0.0</v>
      </c>
    </row>
    <row r="552">
      <c r="A552" s="38" t="str">
        <f>IFERROR(__xludf.DUMMYFUNCTION("""COMPUTED_VALUE"""),"M021")</f>
        <v>M021</v>
      </c>
      <c r="B552" s="38" t="str">
        <f>IFERROR(__xludf.DUMMYFUNCTION("""COMPUTED_VALUE"""),"L")</f>
        <v>L</v>
      </c>
      <c r="C552" s="38" t="str">
        <f>IFERROR(__xludf.DUMMYFUNCTION("""COMPUTED_VALUE"""),"VÀNG CHÓ")</f>
        <v>VÀNG CHÓ</v>
      </c>
      <c r="D552" s="38">
        <f>IFERROR(__xludf.DUMMYFUNCTION("""COMPUTED_VALUE"""),12.0)</f>
        <v>12</v>
      </c>
      <c r="G552" s="38">
        <v>0.0</v>
      </c>
    </row>
    <row r="553">
      <c r="A553" s="38" t="str">
        <f>IFERROR(__xludf.DUMMYFUNCTION("""COMPUTED_VALUE"""),"M021")</f>
        <v>M021</v>
      </c>
      <c r="B553" s="38" t="str">
        <f>IFERROR(__xludf.DUMMYFUNCTION("""COMPUTED_VALUE"""),"L")</f>
        <v>L</v>
      </c>
      <c r="C553" s="38" t="str">
        <f>IFERROR(__xludf.DUMMYFUNCTION("""COMPUTED_VALUE"""),"XANH CHÓ")</f>
        <v>XANH CHÓ</v>
      </c>
      <c r="D553" s="38">
        <f>IFERROR(__xludf.DUMMYFUNCTION("""COMPUTED_VALUE"""),1.0)</f>
        <v>1</v>
      </c>
      <c r="G553" s="38">
        <v>0.0</v>
      </c>
    </row>
    <row r="554">
      <c r="A554" s="38" t="str">
        <f>IFERROR(__xludf.DUMMYFUNCTION("""COMPUTED_VALUE"""),"M021")</f>
        <v>M021</v>
      </c>
      <c r="B554" s="38" t="str">
        <f>IFERROR(__xludf.DUMMYFUNCTION("""COMPUTED_VALUE"""),"M")</f>
        <v>M</v>
      </c>
      <c r="C554" s="38" t="str">
        <f>IFERROR(__xludf.DUMMYFUNCTION("""COMPUTED_VALUE"""),"HỒNG CHÓ")</f>
        <v>HỒNG CHÓ</v>
      </c>
      <c r="D554" s="38">
        <f>IFERROR(__xludf.DUMMYFUNCTION("""COMPUTED_VALUE"""),4.0)</f>
        <v>4</v>
      </c>
      <c r="G554" s="38">
        <v>0.0</v>
      </c>
    </row>
    <row r="555">
      <c r="A555" s="38" t="str">
        <f>IFERROR(__xludf.DUMMYFUNCTION("""COMPUTED_VALUE"""),"M021")</f>
        <v>M021</v>
      </c>
      <c r="B555" s="38" t="str">
        <f>IFERROR(__xludf.DUMMYFUNCTION("""COMPUTED_VALUE"""),"M")</f>
        <v>M</v>
      </c>
      <c r="C555" s="38" t="str">
        <f>IFERROR(__xludf.DUMMYFUNCTION("""COMPUTED_VALUE"""),"HỒNG KITTY")</f>
        <v>HỒNG KITTY</v>
      </c>
      <c r="D555" s="38">
        <f>IFERROR(__xludf.DUMMYFUNCTION("""COMPUTED_VALUE"""),2.0)</f>
        <v>2</v>
      </c>
      <c r="G555" s="38">
        <v>0.0</v>
      </c>
    </row>
    <row r="556">
      <c r="A556" s="38" t="str">
        <f>IFERROR(__xludf.DUMMYFUNCTION("""COMPUTED_VALUE"""),"M021")</f>
        <v>M021</v>
      </c>
      <c r="B556" s="38" t="str">
        <f>IFERROR(__xludf.DUMMYFUNCTION("""COMPUTED_VALUE"""),"M")</f>
        <v>M</v>
      </c>
      <c r="C556" s="38" t="str">
        <f>IFERROR(__xludf.DUMMYFUNCTION("""COMPUTED_VALUE"""),"VÀNG CHÓ")</f>
        <v>VÀNG CHÓ</v>
      </c>
      <c r="D556" s="38">
        <f>IFERROR(__xludf.DUMMYFUNCTION("""COMPUTED_VALUE"""),7.0)</f>
        <v>7</v>
      </c>
      <c r="G556" s="38">
        <v>0.0</v>
      </c>
    </row>
    <row r="557">
      <c r="A557" s="38" t="str">
        <f>IFERROR(__xludf.DUMMYFUNCTION("""COMPUTED_VALUE"""),"M021")</f>
        <v>M021</v>
      </c>
      <c r="B557" s="38" t="str">
        <f>IFERROR(__xludf.DUMMYFUNCTION("""COMPUTED_VALUE"""),"M")</f>
        <v>M</v>
      </c>
      <c r="C557" s="38" t="str">
        <f>IFERROR(__xludf.DUMMYFUNCTION("""COMPUTED_VALUE"""),"XANH CHÓ")</f>
        <v>XANH CHÓ</v>
      </c>
      <c r="D557" s="38">
        <f>IFERROR(__xludf.DUMMYFUNCTION("""COMPUTED_VALUE"""),3.0)</f>
        <v>3</v>
      </c>
      <c r="G557" s="38">
        <v>0.0</v>
      </c>
    </row>
    <row r="558">
      <c r="A558" s="38" t="str">
        <f>IFERROR(__xludf.DUMMYFUNCTION("""COMPUTED_VALUE"""),"M021")</f>
        <v>M021</v>
      </c>
      <c r="B558" s="38" t="str">
        <f>IFERROR(__xludf.DUMMYFUNCTION("""COMPUTED_VALUE"""),"XL")</f>
        <v>XL</v>
      </c>
      <c r="C558" s="38" t="str">
        <f>IFERROR(__xludf.DUMMYFUNCTION("""COMPUTED_VALUE"""),"HỒNG CHÓ")</f>
        <v>HỒNG CHÓ</v>
      </c>
      <c r="D558" s="38">
        <f>IFERROR(__xludf.DUMMYFUNCTION("""COMPUTED_VALUE"""),3.0)</f>
        <v>3</v>
      </c>
      <c r="G558" s="38">
        <v>0.0</v>
      </c>
    </row>
    <row r="559">
      <c r="A559" s="38" t="str">
        <f>IFERROR(__xludf.DUMMYFUNCTION("""COMPUTED_VALUE"""),"M021")</f>
        <v>M021</v>
      </c>
      <c r="B559" s="38" t="str">
        <f>IFERROR(__xludf.DUMMYFUNCTION("""COMPUTED_VALUE"""),"XL")</f>
        <v>XL</v>
      </c>
      <c r="C559" s="38" t="str">
        <f>IFERROR(__xludf.DUMMYFUNCTION("""COMPUTED_VALUE"""),"HỒNG KITTY")</f>
        <v>HỒNG KITTY</v>
      </c>
      <c r="D559" s="38">
        <f>IFERROR(__xludf.DUMMYFUNCTION("""COMPUTED_VALUE"""),2.0)</f>
        <v>2</v>
      </c>
      <c r="G559" s="38">
        <v>0.0</v>
      </c>
    </row>
    <row r="560">
      <c r="A560" s="38" t="str">
        <f>IFERROR(__xludf.DUMMYFUNCTION("""COMPUTED_VALUE"""),"M021")</f>
        <v>M021</v>
      </c>
      <c r="B560" s="38" t="str">
        <f>IFERROR(__xludf.DUMMYFUNCTION("""COMPUTED_VALUE"""),"XL")</f>
        <v>XL</v>
      </c>
      <c r="C560" s="38" t="str">
        <f>IFERROR(__xludf.DUMMYFUNCTION("""COMPUTED_VALUE"""),"VÀNG CHÓ")</f>
        <v>VÀNG CHÓ</v>
      </c>
      <c r="D560" s="38">
        <f>IFERROR(__xludf.DUMMYFUNCTION("""COMPUTED_VALUE"""),5.0)</f>
        <v>5</v>
      </c>
      <c r="G560" s="38">
        <v>0.0</v>
      </c>
    </row>
    <row r="561">
      <c r="A561" s="38" t="str">
        <f>IFERROR(__xludf.DUMMYFUNCTION("""COMPUTED_VALUE"""),"M022")</f>
        <v>M022</v>
      </c>
      <c r="B561" s="38" t="str">
        <f>IFERROR(__xludf.DUMMYFUNCTION("""COMPUTED_VALUE"""),"FZ")</f>
        <v>FZ</v>
      </c>
      <c r="C561" s="38"/>
      <c r="D561" s="38">
        <f>IFERROR(__xludf.DUMMYFUNCTION("""COMPUTED_VALUE"""),2.0)</f>
        <v>2</v>
      </c>
      <c r="G561" s="38">
        <v>0.0</v>
      </c>
    </row>
    <row r="562">
      <c r="A562" s="38" t="str">
        <f>IFERROR(__xludf.DUMMYFUNCTION("""COMPUTED_VALUE"""),"M022")</f>
        <v>M022</v>
      </c>
      <c r="B562" s="38" t="str">
        <f>IFERROR(__xludf.DUMMYFUNCTION("""COMPUTED_VALUE"""),"FZ")</f>
        <v>FZ</v>
      </c>
      <c r="C562" s="38" t="str">
        <f>IFERROR(__xludf.DUMMYFUNCTION("""COMPUTED_VALUE"""),"HỒNG")</f>
        <v>HỒNG</v>
      </c>
      <c r="D562" s="38">
        <f>IFERROR(__xludf.DUMMYFUNCTION("""COMPUTED_VALUE"""),93.0)</f>
        <v>93</v>
      </c>
      <c r="G562" s="38">
        <v>0.0</v>
      </c>
    </row>
    <row r="563">
      <c r="A563" s="38" t="str">
        <f>IFERROR(__xludf.DUMMYFUNCTION("""COMPUTED_VALUE"""),"MU01")</f>
        <v>MU01</v>
      </c>
      <c r="B563" s="38" t="str">
        <f>IFERROR(__xludf.DUMMYFUNCTION("""COMPUTED_VALUE"""),"FZ")</f>
        <v>FZ</v>
      </c>
      <c r="C563" s="38" t="str">
        <f>IFERROR(__xludf.DUMMYFUNCTION("""COMPUTED_VALUE"""),"BE")</f>
        <v>BE</v>
      </c>
      <c r="D563" s="38">
        <f>IFERROR(__xludf.DUMMYFUNCTION("""COMPUTED_VALUE"""),37.0)</f>
        <v>37</v>
      </c>
      <c r="G563" s="38">
        <v>0.0</v>
      </c>
    </row>
    <row r="564">
      <c r="A564" s="38" t="str">
        <f>IFERROR(__xludf.DUMMYFUNCTION("""COMPUTED_VALUE"""),"MU01")</f>
        <v>MU01</v>
      </c>
      <c r="B564" s="38" t="str">
        <f>IFERROR(__xludf.DUMMYFUNCTION("""COMPUTED_VALUE"""),"FZ")</f>
        <v>FZ</v>
      </c>
      <c r="C564" s="38" t="str">
        <f>IFERROR(__xludf.DUMMYFUNCTION("""COMPUTED_VALUE"""),"HỒNG")</f>
        <v>HỒNG</v>
      </c>
      <c r="D564" s="38">
        <f>IFERROR(__xludf.DUMMYFUNCTION("""COMPUTED_VALUE"""),9.0)</f>
        <v>9</v>
      </c>
      <c r="G564" s="38">
        <v>0.0</v>
      </c>
    </row>
    <row r="565">
      <c r="A565" s="38" t="str">
        <f>IFERROR(__xludf.DUMMYFUNCTION("""COMPUTED_VALUE"""),"MU01")</f>
        <v>MU01</v>
      </c>
      <c r="B565" s="38" t="str">
        <f>IFERROR(__xludf.DUMMYFUNCTION("""COMPUTED_VALUE"""),"FZ")</f>
        <v>FZ</v>
      </c>
      <c r="C565" s="38" t="str">
        <f>IFERROR(__xludf.DUMMYFUNCTION("""COMPUTED_VALUE"""),"NÂU")</f>
        <v>NÂU</v>
      </c>
      <c r="D565" s="38">
        <f>IFERROR(__xludf.DUMMYFUNCTION("""COMPUTED_VALUE"""),37.0)</f>
        <v>37</v>
      </c>
      <c r="G565" s="38">
        <v>0.0</v>
      </c>
    </row>
    <row r="566">
      <c r="A566" s="38" t="str">
        <f>IFERROR(__xludf.DUMMYFUNCTION("""COMPUTED_VALUE"""),"MU01")</f>
        <v>MU01</v>
      </c>
      <c r="B566" s="38" t="str">
        <f>IFERROR(__xludf.DUMMYFUNCTION("""COMPUTED_VALUE"""),"FZ")</f>
        <v>FZ</v>
      </c>
      <c r="C566" s="38" t="str">
        <f>IFERROR(__xludf.DUMMYFUNCTION("""COMPUTED_VALUE"""),"NÂU NHẠT")</f>
        <v>NÂU NHẠT</v>
      </c>
      <c r="D566" s="38">
        <f>IFERROR(__xludf.DUMMYFUNCTION("""COMPUTED_VALUE"""),34.0)</f>
        <v>34</v>
      </c>
      <c r="G566" s="38">
        <v>0.0</v>
      </c>
    </row>
    <row r="567">
      <c r="A567" s="38" t="str">
        <f>IFERROR(__xludf.DUMMYFUNCTION("""COMPUTED_VALUE"""),"MU01")</f>
        <v>MU01</v>
      </c>
      <c r="B567" s="38" t="str">
        <f>IFERROR(__xludf.DUMMYFUNCTION("""COMPUTED_VALUE"""),"FZ")</f>
        <v>FZ</v>
      </c>
      <c r="C567" s="38" t="str">
        <f>IFERROR(__xludf.DUMMYFUNCTION("""COMPUTED_VALUE"""),"NÂU NHẠT ")</f>
        <v>NÂU NHẠT </v>
      </c>
      <c r="D567" s="38">
        <f>IFERROR(__xludf.DUMMYFUNCTION("""COMPUTED_VALUE"""),1.0)</f>
        <v>1</v>
      </c>
      <c r="G567" s="38">
        <v>0.0</v>
      </c>
    </row>
    <row r="568">
      <c r="A568" s="38" t="str">
        <f>IFERROR(__xludf.DUMMYFUNCTION("""COMPUTED_VALUE"""),"MU01")</f>
        <v>MU01</v>
      </c>
      <c r="B568" s="38" t="str">
        <f>IFERROR(__xludf.DUMMYFUNCTION("""COMPUTED_VALUE"""),"FZ")</f>
        <v>FZ</v>
      </c>
      <c r="C568" s="38" t="str">
        <f>IFERROR(__xludf.DUMMYFUNCTION("""COMPUTED_VALUE"""),"XANH THAN")</f>
        <v>XANH THAN</v>
      </c>
      <c r="D568" s="38">
        <f>IFERROR(__xludf.DUMMYFUNCTION("""COMPUTED_VALUE"""),5.0)</f>
        <v>5</v>
      </c>
      <c r="G568" s="38">
        <v>0.0</v>
      </c>
    </row>
    <row r="569">
      <c r="A569" s="38" t="str">
        <f>IFERROR(__xludf.DUMMYFUNCTION("""COMPUTED_VALUE"""),"MU01")</f>
        <v>MU01</v>
      </c>
      <c r="B569" s="38" t="str">
        <f>IFERROR(__xludf.DUMMYFUNCTION("""COMPUTED_VALUE"""),"FZ")</f>
        <v>FZ</v>
      </c>
      <c r="C569" s="38" t="str">
        <f>IFERROR(__xludf.DUMMYFUNCTION("""COMPUTED_VALUE"""),"ĐEN")</f>
        <v>ĐEN</v>
      </c>
      <c r="D569" s="38">
        <f>IFERROR(__xludf.DUMMYFUNCTION("""COMPUTED_VALUE"""),3.0)</f>
        <v>3</v>
      </c>
      <c r="G569" s="38">
        <v>0.0</v>
      </c>
    </row>
    <row r="570">
      <c r="A570" s="38" t="str">
        <f>IFERROR(__xludf.DUMMYFUNCTION("""COMPUTED_VALUE"""),"MX01")</f>
        <v>MX01</v>
      </c>
      <c r="B570" s="38" t="str">
        <f>IFERROR(__xludf.DUMMYFUNCTION("""COMPUTED_VALUE"""),"FZ")</f>
        <v>FZ</v>
      </c>
      <c r="C570" s="38"/>
      <c r="D570" s="38">
        <f>IFERROR(__xludf.DUMMYFUNCTION("""COMPUTED_VALUE"""),3.0)</f>
        <v>3</v>
      </c>
      <c r="G570" s="38">
        <v>0.0</v>
      </c>
    </row>
    <row r="571">
      <c r="A571" s="38" t="str">
        <f>IFERROR(__xludf.DUMMYFUNCTION("""COMPUTED_VALUE"""),"MX01")</f>
        <v>MX01</v>
      </c>
      <c r="B571" s="38" t="str">
        <f>IFERROR(__xludf.DUMMYFUNCTION("""COMPUTED_VALUE"""),"FZ")</f>
        <v>FZ</v>
      </c>
      <c r="C571" s="38" t="str">
        <f>IFERROR(__xludf.DUMMYFUNCTION("""COMPUTED_VALUE"""),"BE")</f>
        <v>BE</v>
      </c>
      <c r="D571" s="38">
        <f>IFERROR(__xludf.DUMMYFUNCTION("""COMPUTED_VALUE"""),15.0)</f>
        <v>15</v>
      </c>
      <c r="G571" s="38">
        <v>0.0</v>
      </c>
    </row>
    <row r="572">
      <c r="A572" s="38" t="str">
        <f>IFERROR(__xludf.DUMMYFUNCTION("""COMPUTED_VALUE"""),"Mu01")</f>
        <v>Mu01</v>
      </c>
      <c r="B572" s="38" t="str">
        <f>IFERROR(__xludf.DUMMYFUNCTION("""COMPUTED_VALUE"""),"FZ")</f>
        <v>FZ</v>
      </c>
      <c r="C572" s="38" t="str">
        <f>IFERROR(__xludf.DUMMYFUNCTION("""COMPUTED_VALUE"""),"BE")</f>
        <v>BE</v>
      </c>
      <c r="D572" s="38">
        <f>IFERROR(__xludf.DUMMYFUNCTION("""COMPUTED_VALUE"""),3.0)</f>
        <v>3</v>
      </c>
      <c r="G572" s="38">
        <v>0.0</v>
      </c>
    </row>
    <row r="573">
      <c r="A573" s="38" t="str">
        <f>IFERROR(__xludf.DUMMYFUNCTION("""COMPUTED_VALUE"""),"Mu01")</f>
        <v>Mu01</v>
      </c>
      <c r="B573" s="38" t="str">
        <f>IFERROR(__xludf.DUMMYFUNCTION("""COMPUTED_VALUE"""),"FZ")</f>
        <v>FZ</v>
      </c>
      <c r="C573" s="38" t="str">
        <f>IFERROR(__xludf.DUMMYFUNCTION("""COMPUTED_VALUE"""),"HỒNG")</f>
        <v>HỒNG</v>
      </c>
      <c r="D573" s="38">
        <f>IFERROR(__xludf.DUMMYFUNCTION("""COMPUTED_VALUE"""),1.0)</f>
        <v>1</v>
      </c>
      <c r="G573" s="38">
        <v>0.0</v>
      </c>
    </row>
    <row r="574">
      <c r="A574" s="38" t="str">
        <f>IFERROR(__xludf.DUMMYFUNCTION("""COMPUTED_VALUE"""),"Mu01")</f>
        <v>Mu01</v>
      </c>
      <c r="B574" s="38" t="str">
        <f>IFERROR(__xludf.DUMMYFUNCTION("""COMPUTED_VALUE"""),"FZ")</f>
        <v>FZ</v>
      </c>
      <c r="C574" s="38" t="str">
        <f>IFERROR(__xludf.DUMMYFUNCTION("""COMPUTED_VALUE"""),"XANH THAN")</f>
        <v>XANH THAN</v>
      </c>
      <c r="D574" s="38">
        <f>IFERROR(__xludf.DUMMYFUNCTION("""COMPUTED_VALUE"""),1.0)</f>
        <v>1</v>
      </c>
      <c r="G574" s="38">
        <v>0.0</v>
      </c>
    </row>
    <row r="575">
      <c r="A575" s="38" t="str">
        <f>IFERROR(__xludf.DUMMYFUNCTION("""COMPUTED_VALUE"""),"P230MTX362")</f>
        <v>P230MTX362</v>
      </c>
      <c r="B575" s="38" t="str">
        <f>IFERROR(__xludf.DUMMYFUNCTION("""COMPUTED_VALUE"""),"36")</f>
        <v>36</v>
      </c>
      <c r="C575" s="38" t="str">
        <f>IFERROR(__xludf.DUMMYFUNCTION("""COMPUTED_VALUE"""),"NÂU")</f>
        <v>NÂU</v>
      </c>
      <c r="D575" s="38">
        <f>IFERROR(__xludf.DUMMYFUNCTION("""COMPUTED_VALUE"""),1.0)</f>
        <v>1</v>
      </c>
      <c r="G575" s="38">
        <v>0.0</v>
      </c>
    </row>
    <row r="576">
      <c r="A576" s="38" t="str">
        <f>IFERROR(__xludf.DUMMYFUNCTION("""COMPUTED_VALUE"""),"P230MTX362-T800")</f>
        <v>P230MTX362-T800</v>
      </c>
      <c r="B576" s="38" t="str">
        <f>IFERROR(__xludf.DUMMYFUNCTION("""COMPUTED_VALUE"""),"37")</f>
        <v>37</v>
      </c>
      <c r="C576" s="38" t="str">
        <f>IFERROR(__xludf.DUMMYFUNCTION("""COMPUTED_VALUE"""),"BE")</f>
        <v>BE</v>
      </c>
      <c r="D576" s="38">
        <f>IFERROR(__xludf.DUMMYFUNCTION("""COMPUTED_VALUE"""),1.0)</f>
        <v>1</v>
      </c>
      <c r="G576" s="38">
        <v>0.0</v>
      </c>
    </row>
    <row r="577">
      <c r="A577" s="38" t="str">
        <f>IFERROR(__xludf.DUMMYFUNCTION("""COMPUTED_VALUE"""),"P230MTX362-T800")</f>
        <v>P230MTX362-T800</v>
      </c>
      <c r="B577" s="38" t="str">
        <f>IFERROR(__xludf.DUMMYFUNCTION("""COMPUTED_VALUE"""),"38")</f>
        <v>38</v>
      </c>
      <c r="C577" s="38" t="str">
        <f>IFERROR(__xludf.DUMMYFUNCTION("""COMPUTED_VALUE"""),"BE")</f>
        <v>BE</v>
      </c>
      <c r="D577" s="38">
        <f>IFERROR(__xludf.DUMMYFUNCTION("""COMPUTED_VALUE"""),1.0)</f>
        <v>1</v>
      </c>
      <c r="G577" s="38">
        <v>0.0</v>
      </c>
    </row>
    <row r="578">
      <c r="A578" s="38" t="str">
        <f>IFERROR(__xludf.DUMMYFUNCTION("""COMPUTED_VALUE"""),"P230MTX362-T800")</f>
        <v>P230MTX362-T800</v>
      </c>
      <c r="B578" s="38" t="str">
        <f>IFERROR(__xludf.DUMMYFUNCTION("""COMPUTED_VALUE"""),"39")</f>
        <v>39</v>
      </c>
      <c r="C578" s="38" t="str">
        <f>IFERROR(__xludf.DUMMYFUNCTION("""COMPUTED_VALUE"""),"NÂU")</f>
        <v>NÂU</v>
      </c>
      <c r="D578" s="38">
        <f>IFERROR(__xludf.DUMMYFUNCTION("""COMPUTED_VALUE"""),1.0)</f>
        <v>1</v>
      </c>
      <c r="G578" s="38">
        <v>0.0</v>
      </c>
    </row>
    <row r="579">
      <c r="A579" s="38" t="str">
        <f>IFERROR(__xludf.DUMMYFUNCTION("""COMPUTED_VALUE"""),"P230MTX362-T800	")</f>
        <v>P230MTX362-T800	</v>
      </c>
      <c r="B579" s="38" t="str">
        <f>IFERROR(__xludf.DUMMYFUNCTION("""COMPUTED_VALUE"""),"42")</f>
        <v>42</v>
      </c>
      <c r="C579" s="38" t="str">
        <f>IFERROR(__xludf.DUMMYFUNCTION("""COMPUTED_VALUE"""),"ĐEN")</f>
        <v>ĐEN</v>
      </c>
      <c r="D579" s="38">
        <f>IFERROR(__xludf.DUMMYFUNCTION("""COMPUTED_VALUE"""),1.0)</f>
        <v>1</v>
      </c>
      <c r="G579" s="38">
        <v>0.0</v>
      </c>
    </row>
    <row r="580">
      <c r="A580" s="38" t="str">
        <f>IFERROR(__xludf.DUMMYFUNCTION("""COMPUTED_VALUE"""),"P651W13112C")</f>
        <v>P651W13112C</v>
      </c>
      <c r="B580" s="38" t="str">
        <f>IFERROR(__xludf.DUMMYFUNCTION("""COMPUTED_VALUE"""),"35")</f>
        <v>35</v>
      </c>
      <c r="C580" s="38" t="str">
        <f>IFERROR(__xludf.DUMMYFUNCTION("""COMPUTED_VALUE"""),"BE")</f>
        <v>BE</v>
      </c>
      <c r="D580" s="38">
        <f>IFERROR(__xludf.DUMMYFUNCTION("""COMPUTED_VALUE"""),1.0)</f>
        <v>1</v>
      </c>
      <c r="G580" s="38">
        <v>0.0</v>
      </c>
    </row>
    <row r="581">
      <c r="A581" s="38" t="str">
        <f>IFERROR(__xludf.DUMMYFUNCTION("""COMPUTED_VALUE"""),"P651W13112C")</f>
        <v>P651W13112C</v>
      </c>
      <c r="B581" s="38" t="str">
        <f>IFERROR(__xludf.DUMMYFUNCTION("""COMPUTED_VALUE"""),"36")</f>
        <v>36</v>
      </c>
      <c r="C581" s="38" t="str">
        <f>IFERROR(__xludf.DUMMYFUNCTION("""COMPUTED_VALUE"""),"BE")</f>
        <v>BE</v>
      </c>
      <c r="D581" s="38">
        <f>IFERROR(__xludf.DUMMYFUNCTION("""COMPUTED_VALUE"""),2.0)</f>
        <v>2</v>
      </c>
      <c r="G581" s="38">
        <v>0.0</v>
      </c>
    </row>
    <row r="582">
      <c r="A582" s="38" t="str">
        <f>IFERROR(__xludf.DUMMYFUNCTION("""COMPUTED_VALUE"""),"P651W13112C")</f>
        <v>P651W13112C</v>
      </c>
      <c r="B582" s="38" t="str">
        <f>IFERROR(__xludf.DUMMYFUNCTION("""COMPUTED_VALUE"""),"37")</f>
        <v>37</v>
      </c>
      <c r="C582" s="38" t="str">
        <f>IFERROR(__xludf.DUMMYFUNCTION("""COMPUTED_VALUE"""),"BE")</f>
        <v>BE</v>
      </c>
      <c r="D582" s="38">
        <f>IFERROR(__xludf.DUMMYFUNCTION("""COMPUTED_VALUE"""),4.0)</f>
        <v>4</v>
      </c>
      <c r="G582" s="38">
        <v>0.0</v>
      </c>
    </row>
    <row r="583">
      <c r="A583" s="38" t="str">
        <f>IFERROR(__xludf.DUMMYFUNCTION("""COMPUTED_VALUE"""),"P651W13112C")</f>
        <v>P651W13112C</v>
      </c>
      <c r="B583" s="38" t="str">
        <f>IFERROR(__xludf.DUMMYFUNCTION("""COMPUTED_VALUE"""),"37")</f>
        <v>37</v>
      </c>
      <c r="C583" s="38" t="str">
        <f>IFERROR(__xludf.DUMMYFUNCTION("""COMPUTED_VALUE"""),"HỒNG")</f>
        <v>HỒNG</v>
      </c>
      <c r="D583" s="38">
        <f>IFERROR(__xludf.DUMMYFUNCTION("""COMPUTED_VALUE"""),1.0)</f>
        <v>1</v>
      </c>
      <c r="G583" s="38">
        <v>0.0</v>
      </c>
    </row>
    <row r="584">
      <c r="A584" s="38" t="str">
        <f>IFERROR(__xludf.DUMMYFUNCTION("""COMPUTED_VALUE"""),"P651W13112C")</f>
        <v>P651W13112C</v>
      </c>
      <c r="B584" s="38" t="str">
        <f>IFERROR(__xludf.DUMMYFUNCTION("""COMPUTED_VALUE"""),"37")</f>
        <v>37</v>
      </c>
      <c r="C584" s="38" t="str">
        <f>IFERROR(__xludf.DUMMYFUNCTION("""COMPUTED_VALUE"""),"XANH LÁ")</f>
        <v>XANH LÁ</v>
      </c>
      <c r="D584" s="38">
        <f>IFERROR(__xludf.DUMMYFUNCTION("""COMPUTED_VALUE"""),1.0)</f>
        <v>1</v>
      </c>
      <c r="G584" s="38">
        <v>0.0</v>
      </c>
    </row>
    <row r="585">
      <c r="A585" s="38" t="str">
        <f>IFERROR(__xludf.DUMMYFUNCTION("""COMPUTED_VALUE"""),"P651W13112C")</f>
        <v>P651W13112C</v>
      </c>
      <c r="B585" s="38" t="str">
        <f>IFERROR(__xludf.DUMMYFUNCTION("""COMPUTED_VALUE"""),"37")</f>
        <v>37</v>
      </c>
      <c r="C585" s="38" t="str">
        <f>IFERROR(__xludf.DUMMYFUNCTION("""COMPUTED_VALUE"""),"XANH NHẠT")</f>
        <v>XANH NHẠT</v>
      </c>
      <c r="D585" s="38">
        <f>IFERROR(__xludf.DUMMYFUNCTION("""COMPUTED_VALUE"""),1.0)</f>
        <v>1</v>
      </c>
      <c r="G585" s="38">
        <v>0.0</v>
      </c>
    </row>
    <row r="586">
      <c r="A586" s="38" t="str">
        <f>IFERROR(__xludf.DUMMYFUNCTION("""COMPUTED_VALUE"""),"P651W13112C")</f>
        <v>P651W13112C</v>
      </c>
      <c r="B586" s="38" t="str">
        <f>IFERROR(__xludf.DUMMYFUNCTION("""COMPUTED_VALUE"""),"38")</f>
        <v>38</v>
      </c>
      <c r="C586" s="38" t="str">
        <f>IFERROR(__xludf.DUMMYFUNCTION("""COMPUTED_VALUE"""),"BE")</f>
        <v>BE</v>
      </c>
      <c r="D586" s="38">
        <f>IFERROR(__xludf.DUMMYFUNCTION("""COMPUTED_VALUE"""),1.0)</f>
        <v>1</v>
      </c>
      <c r="G586" s="38">
        <v>0.0</v>
      </c>
    </row>
    <row r="587">
      <c r="A587" s="38" t="str">
        <f>IFERROR(__xludf.DUMMYFUNCTION("""COMPUTED_VALUE"""),"P651W13112C")</f>
        <v>P651W13112C</v>
      </c>
      <c r="B587" s="38" t="str">
        <f>IFERROR(__xludf.DUMMYFUNCTION("""COMPUTED_VALUE"""),"39")</f>
        <v>39</v>
      </c>
      <c r="C587" s="38" t="str">
        <f>IFERROR(__xludf.DUMMYFUNCTION("""COMPUTED_VALUE"""),"BE")</f>
        <v>BE</v>
      </c>
      <c r="D587" s="38">
        <f>IFERROR(__xludf.DUMMYFUNCTION("""COMPUTED_VALUE"""),2.0)</f>
        <v>2</v>
      </c>
      <c r="G587" s="38">
        <v>0.0</v>
      </c>
    </row>
    <row r="588">
      <c r="A588" s="38" t="str">
        <f>IFERROR(__xludf.DUMMYFUNCTION("""COMPUTED_VALUE"""),"P651W13112C")</f>
        <v>P651W13112C</v>
      </c>
      <c r="B588" s="38" t="str">
        <f>IFERROR(__xludf.DUMMYFUNCTION("""COMPUTED_VALUE"""),"40")</f>
        <v>40</v>
      </c>
      <c r="C588" s="38" t="str">
        <f>IFERROR(__xludf.DUMMYFUNCTION("""COMPUTED_VALUE"""),"BE")</f>
        <v>BE</v>
      </c>
      <c r="D588" s="38">
        <f>IFERROR(__xludf.DUMMYFUNCTION("""COMPUTED_VALUE"""),1.0)</f>
        <v>1</v>
      </c>
      <c r="G588" s="38">
        <v>0.0</v>
      </c>
    </row>
    <row r="589">
      <c r="A589" s="38" t="str">
        <f>IFERROR(__xludf.DUMMYFUNCTION("""COMPUTED_VALUE"""),"P651W13129")</f>
        <v>P651W13129</v>
      </c>
      <c r="B589" s="38" t="str">
        <f>IFERROR(__xludf.DUMMYFUNCTION("""COMPUTED_VALUE"""),"38")</f>
        <v>38</v>
      </c>
      <c r="C589" s="38" t="str">
        <f>IFERROR(__xludf.DUMMYFUNCTION("""COMPUTED_VALUE"""),"BE")</f>
        <v>BE</v>
      </c>
      <c r="D589" s="38">
        <f>IFERROR(__xludf.DUMMYFUNCTION("""COMPUTED_VALUE"""),1.0)</f>
        <v>1</v>
      </c>
      <c r="G589" s="38">
        <v>0.0</v>
      </c>
    </row>
    <row r="590">
      <c r="A590" s="38" t="str">
        <f>IFERROR(__xludf.DUMMYFUNCTION("""COMPUTED_VALUE"""),"P654W14261")</f>
        <v>P654W14261</v>
      </c>
      <c r="B590" s="38" t="str">
        <f>IFERROR(__xludf.DUMMYFUNCTION("""COMPUTED_VALUE"""),"37")</f>
        <v>37</v>
      </c>
      <c r="C590" s="38" t="str">
        <f>IFERROR(__xludf.DUMMYFUNCTION("""COMPUTED_VALUE"""),"NÂU")</f>
        <v>NÂU</v>
      </c>
      <c r="D590" s="38">
        <f>IFERROR(__xludf.DUMMYFUNCTION("""COMPUTED_VALUE"""),1.0)</f>
        <v>1</v>
      </c>
      <c r="G590" s="38">
        <v>0.0</v>
      </c>
    </row>
    <row r="591">
      <c r="A591" s="38" t="str">
        <f>IFERROR(__xludf.DUMMYFUNCTION("""COMPUTED_VALUE"""),"P661W12375")</f>
        <v>P661W12375</v>
      </c>
      <c r="B591" s="38" t="str">
        <f>IFERROR(__xludf.DUMMYFUNCTION("""COMPUTED_VALUE"""),"35")</f>
        <v>35</v>
      </c>
      <c r="C591" s="38" t="str">
        <f>IFERROR(__xludf.DUMMYFUNCTION("""COMPUTED_VALUE"""),"HỒNG")</f>
        <v>HỒNG</v>
      </c>
      <c r="D591" s="38">
        <f>IFERROR(__xludf.DUMMYFUNCTION("""COMPUTED_VALUE"""),1.0)</f>
        <v>1</v>
      </c>
      <c r="G591" s="38">
        <v>0.0</v>
      </c>
    </row>
    <row r="592">
      <c r="A592" s="38" t="str">
        <f>IFERROR(__xludf.DUMMYFUNCTION("""COMPUTED_VALUE"""),"P661W12375")</f>
        <v>P661W12375</v>
      </c>
      <c r="B592" s="38" t="str">
        <f>IFERROR(__xludf.DUMMYFUNCTION("""COMPUTED_VALUE"""),"38")</f>
        <v>38</v>
      </c>
      <c r="C592" s="38" t="str">
        <f>IFERROR(__xludf.DUMMYFUNCTION("""COMPUTED_VALUE"""),"BE")</f>
        <v>BE</v>
      </c>
      <c r="D592" s="38">
        <f>IFERROR(__xludf.DUMMYFUNCTION("""COMPUTED_VALUE"""),1.0)</f>
        <v>1</v>
      </c>
      <c r="G592" s="38">
        <v>0.0</v>
      </c>
    </row>
    <row r="593">
      <c r="A593" s="38" t="str">
        <f>IFERROR(__xludf.DUMMYFUNCTION("""COMPUTED_VALUE"""),"P661W12375")</f>
        <v>P661W12375</v>
      </c>
      <c r="B593" s="38" t="str">
        <f>IFERROR(__xludf.DUMMYFUNCTION("""COMPUTED_VALUE"""),"38")</f>
        <v>38</v>
      </c>
      <c r="C593" s="38" t="str">
        <f>IFERROR(__xludf.DUMMYFUNCTION("""COMPUTED_VALUE"""),"HỒNG")</f>
        <v>HỒNG</v>
      </c>
      <c r="D593" s="38">
        <f>IFERROR(__xludf.DUMMYFUNCTION("""COMPUTED_VALUE"""),1.0)</f>
        <v>1</v>
      </c>
      <c r="G593" s="38">
        <v>0.0</v>
      </c>
    </row>
    <row r="594">
      <c r="A594" s="38" t="str">
        <f>IFERROR(__xludf.DUMMYFUNCTION("""COMPUTED_VALUE"""),"P661W12375")</f>
        <v>P661W12375</v>
      </c>
      <c r="B594" s="38" t="str">
        <f>IFERROR(__xludf.DUMMYFUNCTION("""COMPUTED_VALUE"""),"39")</f>
        <v>39</v>
      </c>
      <c r="C594" s="38" t="str">
        <f>IFERROR(__xludf.DUMMYFUNCTION("""COMPUTED_VALUE"""),"HỒNG")</f>
        <v>HỒNG</v>
      </c>
      <c r="D594" s="38">
        <f>IFERROR(__xludf.DUMMYFUNCTION("""COMPUTED_VALUE"""),2.0)</f>
        <v>2</v>
      </c>
      <c r="G594" s="38">
        <v>0.0</v>
      </c>
    </row>
    <row r="595">
      <c r="A595" s="38" t="str">
        <f>IFERROR(__xludf.DUMMYFUNCTION("""COMPUTED_VALUE"""),"P661W13310")</f>
        <v>P661W13310</v>
      </c>
      <c r="B595" s="38" t="str">
        <f>IFERROR(__xludf.DUMMYFUNCTION("""COMPUTED_VALUE"""),"36")</f>
        <v>36</v>
      </c>
      <c r="C595" s="38" t="str">
        <f>IFERROR(__xludf.DUMMYFUNCTION("""COMPUTED_VALUE"""),"BE")</f>
        <v>BE</v>
      </c>
      <c r="D595" s="38">
        <f>IFERROR(__xludf.DUMMYFUNCTION("""COMPUTED_VALUE"""),1.0)</f>
        <v>1</v>
      </c>
      <c r="G595" s="38">
        <v>0.0</v>
      </c>
    </row>
    <row r="596">
      <c r="A596" s="38" t="str">
        <f>IFERROR(__xludf.DUMMYFUNCTION("""COMPUTED_VALUE"""),"P661W13310")</f>
        <v>P661W13310</v>
      </c>
      <c r="B596" s="38" t="str">
        <f>IFERROR(__xludf.DUMMYFUNCTION("""COMPUTED_VALUE"""),"37")</f>
        <v>37</v>
      </c>
      <c r="C596" s="38" t="str">
        <f>IFERROR(__xludf.DUMMYFUNCTION("""COMPUTED_VALUE"""),"BE")</f>
        <v>BE</v>
      </c>
      <c r="D596" s="38">
        <f>IFERROR(__xludf.DUMMYFUNCTION("""COMPUTED_VALUE"""),3.0)</f>
        <v>3</v>
      </c>
      <c r="G596" s="38">
        <v>0.0</v>
      </c>
    </row>
    <row r="597">
      <c r="A597" s="38" t="str">
        <f>IFERROR(__xludf.DUMMYFUNCTION("""COMPUTED_VALUE"""),"P661W13310")</f>
        <v>P661W13310</v>
      </c>
      <c r="B597" s="38" t="str">
        <f>IFERROR(__xludf.DUMMYFUNCTION("""COMPUTED_VALUE"""),"37")</f>
        <v>37</v>
      </c>
      <c r="C597" s="38" t="str">
        <f>IFERROR(__xludf.DUMMYFUNCTION("""COMPUTED_VALUE"""),"HỒNG")</f>
        <v>HỒNG</v>
      </c>
      <c r="D597" s="38">
        <f>IFERROR(__xludf.DUMMYFUNCTION("""COMPUTED_VALUE"""),1.0)</f>
        <v>1</v>
      </c>
      <c r="G597" s="38">
        <v>0.0</v>
      </c>
    </row>
    <row r="598">
      <c r="A598" s="38" t="str">
        <f>IFERROR(__xludf.DUMMYFUNCTION("""COMPUTED_VALUE"""),"P661W13310")</f>
        <v>P661W13310</v>
      </c>
      <c r="B598" s="38" t="str">
        <f>IFERROR(__xludf.DUMMYFUNCTION("""COMPUTED_VALUE"""),"38")</f>
        <v>38</v>
      </c>
      <c r="C598" s="38" t="str">
        <f>IFERROR(__xludf.DUMMYFUNCTION("""COMPUTED_VALUE"""),"BE")</f>
        <v>BE</v>
      </c>
      <c r="D598" s="38">
        <f>IFERROR(__xludf.DUMMYFUNCTION("""COMPUTED_VALUE"""),1.0)</f>
        <v>1</v>
      </c>
      <c r="G598" s="38">
        <v>0.0</v>
      </c>
    </row>
    <row r="599">
      <c r="A599" s="38" t="str">
        <f>IFERROR(__xludf.DUMMYFUNCTION("""COMPUTED_VALUE"""),"P661W13310")</f>
        <v>P661W13310</v>
      </c>
      <c r="B599" s="38" t="str">
        <f>IFERROR(__xludf.DUMMYFUNCTION("""COMPUTED_VALUE"""),"39")</f>
        <v>39</v>
      </c>
      <c r="C599" s="38" t="str">
        <f>IFERROR(__xludf.DUMMYFUNCTION("""COMPUTED_VALUE"""),"BE")</f>
        <v>BE</v>
      </c>
      <c r="D599" s="38">
        <f>IFERROR(__xludf.DUMMYFUNCTION("""COMPUTED_VALUE"""),1.0)</f>
        <v>1</v>
      </c>
      <c r="G599" s="38">
        <v>0.0</v>
      </c>
    </row>
    <row r="600">
      <c r="A600" s="38" t="str">
        <f>IFERROR(__xludf.DUMMYFUNCTION("""COMPUTED_VALUE"""),"P661W13310")</f>
        <v>P661W13310</v>
      </c>
      <c r="B600" s="38" t="str">
        <f>IFERROR(__xludf.DUMMYFUNCTION("""COMPUTED_VALUE"""),"39")</f>
        <v>39</v>
      </c>
      <c r="C600" s="38" t="str">
        <f>IFERROR(__xludf.DUMMYFUNCTION("""COMPUTED_VALUE"""),"HỒNG")</f>
        <v>HỒNG</v>
      </c>
      <c r="D600" s="38">
        <f>IFERROR(__xludf.DUMMYFUNCTION("""COMPUTED_VALUE"""),1.0)</f>
        <v>1</v>
      </c>
      <c r="G600" s="38">
        <v>0.0</v>
      </c>
    </row>
    <row r="601">
      <c r="A601" s="38" t="str">
        <f>IFERROR(__xludf.DUMMYFUNCTION("""COMPUTED_VALUE"""),"P661W13363")</f>
        <v>P661W13363</v>
      </c>
      <c r="B601" s="38" t="str">
        <f>IFERROR(__xludf.DUMMYFUNCTION("""COMPUTED_VALUE"""),"36")</f>
        <v>36</v>
      </c>
      <c r="C601" s="38" t="str">
        <f>IFERROR(__xludf.DUMMYFUNCTION("""COMPUTED_VALUE"""),"NÂU")</f>
        <v>NÂU</v>
      </c>
      <c r="D601" s="38">
        <f>IFERROR(__xludf.DUMMYFUNCTION("""COMPUTED_VALUE"""),1.0)</f>
        <v>1</v>
      </c>
      <c r="G601" s="38">
        <v>0.0</v>
      </c>
    </row>
    <row r="602">
      <c r="A602" s="38" t="str">
        <f>IFERROR(__xludf.DUMMYFUNCTION("""COMPUTED_VALUE"""),"P661W13363")</f>
        <v>P661W13363</v>
      </c>
      <c r="B602" s="38" t="str">
        <f>IFERROR(__xludf.DUMMYFUNCTION("""COMPUTED_VALUE"""),"37")</f>
        <v>37</v>
      </c>
      <c r="C602" s="38" t="str">
        <f>IFERROR(__xludf.DUMMYFUNCTION("""COMPUTED_VALUE"""),"NÂU")</f>
        <v>NÂU</v>
      </c>
      <c r="D602" s="38">
        <f>IFERROR(__xludf.DUMMYFUNCTION("""COMPUTED_VALUE"""),1.0)</f>
        <v>1</v>
      </c>
      <c r="G602" s="38">
        <v>0.0</v>
      </c>
    </row>
    <row r="603">
      <c r="A603" s="38" t="str">
        <f>IFERROR(__xludf.DUMMYFUNCTION("""COMPUTED_VALUE"""),"P661W13404")</f>
        <v>P661W13404</v>
      </c>
      <c r="B603" s="38" t="str">
        <f>IFERROR(__xludf.DUMMYFUNCTION("""COMPUTED_VALUE"""),"37")</f>
        <v>37</v>
      </c>
      <c r="C603" s="38" t="str">
        <f>IFERROR(__xludf.DUMMYFUNCTION("""COMPUTED_VALUE"""),"NÂU")</f>
        <v>NÂU</v>
      </c>
      <c r="D603" s="38">
        <f>IFERROR(__xludf.DUMMYFUNCTION("""COMPUTED_VALUE"""),1.0)</f>
        <v>1</v>
      </c>
      <c r="G603" s="38">
        <v>0.0</v>
      </c>
    </row>
    <row r="604">
      <c r="A604" s="38" t="str">
        <f>IFERROR(__xludf.DUMMYFUNCTION("""COMPUTED_VALUE"""),"PE232WAS632")</f>
        <v>PE232WAS632</v>
      </c>
      <c r="B604" s="38" t="str">
        <f>IFERROR(__xludf.DUMMYFUNCTION("""COMPUTED_VALUE"""),"37")</f>
        <v>37</v>
      </c>
      <c r="C604" s="38" t="str">
        <f>IFERROR(__xludf.DUMMYFUNCTION("""COMPUTED_VALUE"""),"TÍM")</f>
        <v>TÍM</v>
      </c>
      <c r="D604" s="38">
        <f>IFERROR(__xludf.DUMMYFUNCTION("""COMPUTED_VALUE"""),1.0)</f>
        <v>1</v>
      </c>
      <c r="G604" s="38">
        <v>0.0</v>
      </c>
    </row>
    <row r="605">
      <c r="A605" s="38" t="str">
        <f>IFERROR(__xludf.DUMMYFUNCTION("""COMPUTED_VALUE"""),"PX231WAS575")</f>
        <v>PX231WAS575</v>
      </c>
      <c r="B605" s="38" t="str">
        <f>IFERROR(__xludf.DUMMYFUNCTION("""COMPUTED_VALUE"""),"36")</f>
        <v>36</v>
      </c>
      <c r="C605" s="38" t="str">
        <f>IFERROR(__xludf.DUMMYFUNCTION("""COMPUTED_VALUE"""),"BE")</f>
        <v>BE</v>
      </c>
      <c r="D605" s="38">
        <f>IFERROR(__xludf.DUMMYFUNCTION("""COMPUTED_VALUE"""),1.0)</f>
        <v>1</v>
      </c>
      <c r="G605" s="38">
        <v>0.0</v>
      </c>
    </row>
    <row r="606">
      <c r="A606" s="38" t="str">
        <f>IFERROR(__xludf.DUMMYFUNCTION("""COMPUTED_VALUE"""),"PX231WAS575")</f>
        <v>PX231WAS575</v>
      </c>
      <c r="B606" s="38" t="str">
        <f>IFERROR(__xludf.DUMMYFUNCTION("""COMPUTED_VALUE"""),"37")</f>
        <v>37</v>
      </c>
      <c r="C606" s="38" t="str">
        <f>IFERROR(__xludf.DUMMYFUNCTION("""COMPUTED_VALUE"""),"BE")</f>
        <v>BE</v>
      </c>
      <c r="D606" s="38">
        <f>IFERROR(__xludf.DUMMYFUNCTION("""COMPUTED_VALUE"""),1.0)</f>
        <v>1</v>
      </c>
      <c r="G606" s="38">
        <v>0.0</v>
      </c>
    </row>
    <row r="607">
      <c r="A607" s="38" t="str">
        <f>IFERROR(__xludf.DUMMYFUNCTION("""COMPUTED_VALUE"""),"PX241WAS932")</f>
        <v>PX241WAS932</v>
      </c>
      <c r="B607" s="38" t="str">
        <f>IFERROR(__xludf.DUMMYFUNCTION("""COMPUTED_VALUE"""),"37")</f>
        <v>37</v>
      </c>
      <c r="C607" s="38" t="str">
        <f>IFERROR(__xludf.DUMMYFUNCTION("""COMPUTED_VALUE"""),"BE")</f>
        <v>BE</v>
      </c>
      <c r="D607" s="38">
        <f>IFERROR(__xludf.DUMMYFUNCTION("""COMPUTED_VALUE"""),1.0)</f>
        <v>1</v>
      </c>
      <c r="G607" s="38">
        <v>0.0</v>
      </c>
    </row>
    <row r="608">
      <c r="A608" s="38" t="str">
        <f>IFERROR(__xludf.DUMMYFUNCTION("""COMPUTED_VALUE"""),"PX241WAS932")</f>
        <v>PX241WAS932</v>
      </c>
      <c r="B608" s="38" t="str">
        <f>IFERROR(__xludf.DUMMYFUNCTION("""COMPUTED_VALUE"""),"38")</f>
        <v>38</v>
      </c>
      <c r="C608" s="38" t="str">
        <f>IFERROR(__xludf.DUMMYFUNCTION("""COMPUTED_VALUE"""),"BE")</f>
        <v>BE</v>
      </c>
      <c r="D608" s="38">
        <f>IFERROR(__xludf.DUMMYFUNCTION("""COMPUTED_VALUE"""),1.0)</f>
        <v>1</v>
      </c>
      <c r="G608" s="38">
        <v>0.0</v>
      </c>
    </row>
    <row r="609">
      <c r="A609" s="38" t="str">
        <f>IFERROR(__xludf.DUMMYFUNCTION("""COMPUTED_VALUE"""),"QUAN1")</f>
        <v>QUAN1</v>
      </c>
      <c r="B609" s="38" t="str">
        <f>IFERROR(__xludf.DUMMYFUNCTION("""COMPUTED_VALUE"""),"L")</f>
        <v>L</v>
      </c>
      <c r="C609" s="38" t="str">
        <f>IFERROR(__xludf.DUMMYFUNCTION("""COMPUTED_VALUE"""),"A")</f>
        <v>A</v>
      </c>
      <c r="D609" s="38">
        <f>IFERROR(__xludf.DUMMYFUNCTION("""COMPUTED_VALUE"""),15.0)</f>
        <v>15</v>
      </c>
      <c r="G609" s="38">
        <v>0.0</v>
      </c>
    </row>
    <row r="610">
      <c r="A610" s="38" t="str">
        <f>IFERROR(__xludf.DUMMYFUNCTION("""COMPUTED_VALUE"""),"QUAN1")</f>
        <v>QUAN1</v>
      </c>
      <c r="B610" s="38" t="str">
        <f>IFERROR(__xludf.DUMMYFUNCTION("""COMPUTED_VALUE"""),"L")</f>
        <v>L</v>
      </c>
      <c r="C610" s="38" t="str">
        <f>IFERROR(__xludf.DUMMYFUNCTION("""COMPUTED_VALUE"""),"B")</f>
        <v>B</v>
      </c>
      <c r="D610" s="38">
        <f>IFERROR(__xludf.DUMMYFUNCTION("""COMPUTED_VALUE"""),16.0)</f>
        <v>16</v>
      </c>
      <c r="G610" s="38">
        <v>0.0</v>
      </c>
    </row>
    <row r="611">
      <c r="A611" s="38" t="str">
        <f>IFERROR(__xludf.DUMMYFUNCTION("""COMPUTED_VALUE"""),"QUAN1")</f>
        <v>QUAN1</v>
      </c>
      <c r="B611" s="38" t="str">
        <f>IFERROR(__xludf.DUMMYFUNCTION("""COMPUTED_VALUE"""),"L")</f>
        <v>L</v>
      </c>
      <c r="C611" s="38" t="str">
        <f>IFERROR(__xludf.DUMMYFUNCTION("""COMPUTED_VALUE"""),"C")</f>
        <v>C</v>
      </c>
      <c r="D611" s="38">
        <f>IFERROR(__xludf.DUMMYFUNCTION("""COMPUTED_VALUE"""),6.0)</f>
        <v>6</v>
      </c>
      <c r="G611" s="38">
        <v>0.0</v>
      </c>
    </row>
    <row r="612">
      <c r="A612" s="38" t="str">
        <f>IFERROR(__xludf.DUMMYFUNCTION("""COMPUTED_VALUE"""),"QUAN1")</f>
        <v>QUAN1</v>
      </c>
      <c r="B612" s="38" t="str">
        <f>IFERROR(__xludf.DUMMYFUNCTION("""COMPUTED_VALUE"""),"M")</f>
        <v>M</v>
      </c>
      <c r="C612" s="38" t="str">
        <f>IFERROR(__xludf.DUMMYFUNCTION("""COMPUTED_VALUE"""),"A")</f>
        <v>A</v>
      </c>
      <c r="D612" s="38">
        <f>IFERROR(__xludf.DUMMYFUNCTION("""COMPUTED_VALUE"""),18.0)</f>
        <v>18</v>
      </c>
      <c r="G612" s="38">
        <v>0.0</v>
      </c>
    </row>
    <row r="613">
      <c r="A613" s="38" t="str">
        <f>IFERROR(__xludf.DUMMYFUNCTION("""COMPUTED_VALUE"""),"QUAN1")</f>
        <v>QUAN1</v>
      </c>
      <c r="B613" s="38" t="str">
        <f>IFERROR(__xludf.DUMMYFUNCTION("""COMPUTED_VALUE"""),"M")</f>
        <v>M</v>
      </c>
      <c r="C613" s="38" t="str">
        <f>IFERROR(__xludf.DUMMYFUNCTION("""COMPUTED_VALUE"""),"B")</f>
        <v>B</v>
      </c>
      <c r="D613" s="38">
        <f>IFERROR(__xludf.DUMMYFUNCTION("""COMPUTED_VALUE"""),14.0)</f>
        <v>14</v>
      </c>
      <c r="G613" s="38">
        <v>0.0</v>
      </c>
    </row>
    <row r="614">
      <c r="A614" s="38" t="str">
        <f>IFERROR(__xludf.DUMMYFUNCTION("""COMPUTED_VALUE"""),"QUAN1")</f>
        <v>QUAN1</v>
      </c>
      <c r="B614" s="38" t="str">
        <f>IFERROR(__xludf.DUMMYFUNCTION("""COMPUTED_VALUE"""),"M")</f>
        <v>M</v>
      </c>
      <c r="C614" s="38" t="str">
        <f>IFERROR(__xludf.DUMMYFUNCTION("""COMPUTED_VALUE"""),"C")</f>
        <v>C</v>
      </c>
      <c r="D614" s="38">
        <f>IFERROR(__xludf.DUMMYFUNCTION("""COMPUTED_VALUE"""),6.0)</f>
        <v>6</v>
      </c>
      <c r="G614" s="38">
        <v>0.0</v>
      </c>
    </row>
    <row r="615">
      <c r="A615" s="38" t="str">
        <f>IFERROR(__xludf.DUMMYFUNCTION("""COMPUTED_VALUE"""),"QUAN1")</f>
        <v>QUAN1</v>
      </c>
      <c r="B615" s="38" t="str">
        <f>IFERROR(__xludf.DUMMYFUNCTION("""COMPUTED_VALUE"""),"M")</f>
        <v>M</v>
      </c>
      <c r="C615" s="38" t="str">
        <f>IFERROR(__xludf.DUMMYFUNCTION("""COMPUTED_VALUE"""),"TRẮNG")</f>
        <v>TRẮNG</v>
      </c>
      <c r="D615" s="38">
        <f>IFERROR(__xludf.DUMMYFUNCTION("""COMPUTED_VALUE"""),1.0)</f>
        <v>1</v>
      </c>
      <c r="G615" s="38">
        <v>0.0</v>
      </c>
    </row>
    <row r="616">
      <c r="A616" s="38" t="str">
        <f>IFERROR(__xludf.DUMMYFUNCTION("""COMPUTED_VALUE"""),"QUAN1")</f>
        <v>QUAN1</v>
      </c>
      <c r="B616" s="38" t="str">
        <f>IFERROR(__xludf.DUMMYFUNCTION("""COMPUTED_VALUE"""),"XL")</f>
        <v>XL</v>
      </c>
      <c r="C616" s="38" t="str">
        <f>IFERROR(__xludf.DUMMYFUNCTION("""COMPUTED_VALUE"""),"A")</f>
        <v>A</v>
      </c>
      <c r="D616" s="38">
        <f>IFERROR(__xludf.DUMMYFUNCTION("""COMPUTED_VALUE"""),1.0)</f>
        <v>1</v>
      </c>
      <c r="G616" s="38">
        <v>0.0</v>
      </c>
    </row>
    <row r="617">
      <c r="A617" s="38" t="str">
        <f>IFERROR(__xludf.DUMMYFUNCTION("""COMPUTED_VALUE"""),"QUAN1")</f>
        <v>QUAN1</v>
      </c>
      <c r="B617" s="38" t="str">
        <f>IFERROR(__xludf.DUMMYFUNCTION("""COMPUTED_VALUE"""),"XL")</f>
        <v>XL</v>
      </c>
      <c r="C617" s="38" t="str">
        <f>IFERROR(__xludf.DUMMYFUNCTION("""COMPUTED_VALUE"""),"B")</f>
        <v>B</v>
      </c>
      <c r="D617" s="38">
        <f>IFERROR(__xludf.DUMMYFUNCTION("""COMPUTED_VALUE"""),1.0)</f>
        <v>1</v>
      </c>
      <c r="G617" s="38">
        <v>0.0</v>
      </c>
    </row>
    <row r="618">
      <c r="A618" s="38" t="str">
        <f>IFERROR(__xludf.DUMMYFUNCTION("""COMPUTED_VALUE"""),"QUAN1")</f>
        <v>QUAN1</v>
      </c>
      <c r="B618" s="38" t="str">
        <f>IFERROR(__xludf.DUMMYFUNCTION("""COMPUTED_VALUE"""),"XL")</f>
        <v>XL</v>
      </c>
      <c r="C618" s="38" t="str">
        <f>IFERROR(__xludf.DUMMYFUNCTION("""COMPUTED_VALUE"""),"C")</f>
        <v>C</v>
      </c>
      <c r="D618" s="38">
        <f>IFERROR(__xludf.DUMMYFUNCTION("""COMPUTED_VALUE"""),2.0)</f>
        <v>2</v>
      </c>
      <c r="G618" s="38">
        <v>0.0</v>
      </c>
    </row>
    <row r="619">
      <c r="A619" s="38" t="str">
        <f>IFERROR(__xludf.DUMMYFUNCTION("""COMPUTED_VALUE"""),"Quan1")</f>
        <v>Quan1</v>
      </c>
      <c r="B619" s="38" t="str">
        <f>IFERROR(__xludf.DUMMYFUNCTION("""COMPUTED_VALUE"""),"L")</f>
        <v>L</v>
      </c>
      <c r="C619" s="38" t="str">
        <f>IFERROR(__xludf.DUMMYFUNCTION("""COMPUTED_VALUE"""),"B")</f>
        <v>B</v>
      </c>
      <c r="D619" s="38">
        <f>IFERROR(__xludf.DUMMYFUNCTION("""COMPUTED_VALUE"""),1.0)</f>
        <v>1</v>
      </c>
      <c r="G619" s="38">
        <v>0.0</v>
      </c>
    </row>
    <row r="620">
      <c r="A620" s="38" t="str">
        <f>IFERROR(__xludf.DUMMYFUNCTION("""COMPUTED_VALUE"""),"TRA1")</f>
        <v>TRA1</v>
      </c>
      <c r="B620" s="38" t="str">
        <f>IFERROR(__xludf.DUMMYFUNCTION("""COMPUTED_VALUE"""),"FZ")</f>
        <v>FZ</v>
      </c>
      <c r="C620" s="38" t="str">
        <f>IFERROR(__xludf.DUMMYFUNCTION("""COMPUTED_VALUE"""),"VÀNG")</f>
        <v>VÀNG</v>
      </c>
      <c r="D620" s="38">
        <f>IFERROR(__xludf.DUMMYFUNCTION("""COMPUTED_VALUE"""),81.0)</f>
        <v>81</v>
      </c>
      <c r="G620" s="38">
        <v>0.0</v>
      </c>
    </row>
    <row r="621">
      <c r="A621" s="38" t="str">
        <f>IFERROR(__xludf.DUMMYFUNCTION("""COMPUTED_VALUE"""),"TUI1")</f>
        <v>TUI1</v>
      </c>
      <c r="B621" s="38" t="str">
        <f>IFERROR(__xludf.DUMMYFUNCTION("""COMPUTED_VALUE"""),"FZ")</f>
        <v>FZ</v>
      </c>
      <c r="C621" s="38" t="str">
        <f>IFERROR(__xludf.DUMMYFUNCTION("""COMPUTED_VALUE"""),"NÂU")</f>
        <v>NÂU</v>
      </c>
      <c r="D621" s="38">
        <f>IFERROR(__xludf.DUMMYFUNCTION("""COMPUTED_VALUE"""),3.0)</f>
        <v>3</v>
      </c>
      <c r="G621" s="38">
        <v>0.0</v>
      </c>
    </row>
    <row r="622">
      <c r="A622" s="38" t="str">
        <f>IFERROR(__xludf.DUMMYFUNCTION("""COMPUTED_VALUE"""),"TUI1")</f>
        <v>TUI1</v>
      </c>
      <c r="B622" s="38" t="str">
        <f>IFERROR(__xludf.DUMMYFUNCTION("""COMPUTED_VALUE"""),"FZ")</f>
        <v>FZ</v>
      </c>
      <c r="C622" s="38" t="str">
        <f>IFERROR(__xludf.DUMMYFUNCTION("""COMPUTED_VALUE"""),"TRẮNG")</f>
        <v>TRẮNG</v>
      </c>
      <c r="D622" s="38">
        <f>IFERROR(__xludf.DUMMYFUNCTION("""COMPUTED_VALUE"""),3.0)</f>
        <v>3</v>
      </c>
      <c r="G622" s="38">
        <v>0.0</v>
      </c>
    </row>
    <row r="623">
      <c r="A623" s="38" t="str">
        <f>IFERROR(__xludf.DUMMYFUNCTION("""COMPUTED_VALUE"""),"TUI1")</f>
        <v>TUI1</v>
      </c>
      <c r="B623" s="38" t="str">
        <f>IFERROR(__xludf.DUMMYFUNCTION("""COMPUTED_VALUE"""),"FZ")</f>
        <v>FZ</v>
      </c>
      <c r="C623" s="38" t="str">
        <f>IFERROR(__xludf.DUMMYFUNCTION("""COMPUTED_VALUE"""),"XANH LÁ")</f>
        <v>XANH LÁ</v>
      </c>
      <c r="D623" s="38">
        <f>IFERROR(__xludf.DUMMYFUNCTION("""COMPUTED_VALUE"""),1.0)</f>
        <v>1</v>
      </c>
      <c r="G623" s="38">
        <v>0.0</v>
      </c>
    </row>
    <row r="624">
      <c r="A624" s="38" t="str">
        <f>IFERROR(__xludf.DUMMYFUNCTION("""COMPUTED_VALUE"""),"TUI1")</f>
        <v>TUI1</v>
      </c>
      <c r="B624" s="38" t="str">
        <f>IFERROR(__xludf.DUMMYFUNCTION("""COMPUTED_VALUE"""),"FZ")</f>
        <v>FZ</v>
      </c>
      <c r="C624" s="38" t="str">
        <f>IFERROR(__xludf.DUMMYFUNCTION("""COMPUTED_VALUE"""),"ĐEN")</f>
        <v>ĐEN</v>
      </c>
      <c r="D624" s="38">
        <f>IFERROR(__xludf.DUMMYFUNCTION("""COMPUTED_VALUE"""),1.0)</f>
        <v>1</v>
      </c>
      <c r="G624" s="38">
        <v>0.0</v>
      </c>
    </row>
    <row r="625">
      <c r="A625" s="38" t="str">
        <f>IFERROR(__xludf.DUMMYFUNCTION("""COMPUTED_VALUE"""),"ck98118")</f>
        <v>ck98118</v>
      </c>
      <c r="B625" s="38" t="str">
        <f>IFERROR(__xludf.DUMMYFUNCTION("""COMPUTED_VALUE"""),"L")</f>
        <v>L</v>
      </c>
      <c r="C625" s="38" t="str">
        <f>IFERROR(__xludf.DUMMYFUNCTION("""COMPUTED_VALUE"""),"ĐEN")</f>
        <v>ĐEN</v>
      </c>
      <c r="D625" s="38">
        <f>IFERROR(__xludf.DUMMYFUNCTION("""COMPUTED_VALUE"""),1.0)</f>
        <v>1</v>
      </c>
      <c r="G625" s="38">
        <v>0.0</v>
      </c>
    </row>
    <row r="626">
      <c r="A626" s="38" t="str">
        <f>IFERROR(__xludf.DUMMYFUNCTION("""COMPUTED_VALUE"""),"ck98118")</f>
        <v>ck98118</v>
      </c>
      <c r="B626" s="38" t="str">
        <f>IFERROR(__xludf.DUMMYFUNCTION("""COMPUTED_VALUE"""),"M")</f>
        <v>M</v>
      </c>
      <c r="C626" s="38" t="str">
        <f>IFERROR(__xludf.DUMMYFUNCTION("""COMPUTED_VALUE"""),"ĐEN")</f>
        <v>ĐEN</v>
      </c>
      <c r="D626" s="38">
        <f>IFERROR(__xludf.DUMMYFUNCTION("""COMPUTED_VALUE"""),1.0)</f>
        <v>1</v>
      </c>
      <c r="G626" s="38">
        <v>0.0</v>
      </c>
    </row>
    <row r="627">
      <c r="A627" s="38" t="str">
        <f>IFERROR(__xludf.DUMMYFUNCTION("""COMPUTED_VALUE"""),"m010")</f>
        <v>m010</v>
      </c>
      <c r="B627" s="38" t="str">
        <f>IFERROR(__xludf.DUMMYFUNCTION("""COMPUTED_VALUE"""),"FZ")</f>
        <v>FZ</v>
      </c>
      <c r="C627" s="38" t="str">
        <f>IFERROR(__xludf.DUMMYFUNCTION("""COMPUTED_VALUE"""),"TRẮNG")</f>
        <v>TRẮNG</v>
      </c>
      <c r="D627" s="38">
        <f>IFERROR(__xludf.DUMMYFUNCTION("""COMPUTED_VALUE"""),1.0)</f>
        <v>1</v>
      </c>
      <c r="G627" s="38">
        <v>0.0</v>
      </c>
    </row>
    <row r="628">
      <c r="G628" s="38" t="s">
        <v>4189</v>
      </c>
    </row>
    <row r="629">
      <c r="G629" s="38" t="s">
        <v>4189</v>
      </c>
    </row>
    <row r="630">
      <c r="G630" s="38" t="s">
        <v>4189</v>
      </c>
    </row>
    <row r="631">
      <c r="G631" s="38" t="s">
        <v>4189</v>
      </c>
    </row>
    <row r="632">
      <c r="G632" s="38" t="s">
        <v>4189</v>
      </c>
    </row>
    <row r="633">
      <c r="G633" s="38" t="s">
        <v>4189</v>
      </c>
    </row>
    <row r="634">
      <c r="G634" s="38" t="s">
        <v>4189</v>
      </c>
    </row>
    <row r="635">
      <c r="G635" s="38" t="s">
        <v>4189</v>
      </c>
    </row>
    <row r="636">
      <c r="G636" s="38" t="s">
        <v>4189</v>
      </c>
    </row>
    <row r="637">
      <c r="G637" s="38" t="s">
        <v>4189</v>
      </c>
    </row>
    <row r="638">
      <c r="G638" s="38" t="s">
        <v>4189</v>
      </c>
    </row>
    <row r="639">
      <c r="G639" s="38" t="s">
        <v>4189</v>
      </c>
    </row>
    <row r="640">
      <c r="G640" s="38" t="s">
        <v>4189</v>
      </c>
    </row>
    <row r="641">
      <c r="G641" s="38" t="s">
        <v>4189</v>
      </c>
    </row>
    <row r="642">
      <c r="G642" s="38" t="s">
        <v>4189</v>
      </c>
    </row>
    <row r="643">
      <c r="G643" s="38" t="s">
        <v>4189</v>
      </c>
    </row>
    <row r="644">
      <c r="G644" s="38" t="s">
        <v>4189</v>
      </c>
    </row>
    <row r="645">
      <c r="G645" s="38" t="s">
        <v>4189</v>
      </c>
    </row>
    <row r="646">
      <c r="G646" s="38" t="s">
        <v>4189</v>
      </c>
    </row>
    <row r="647">
      <c r="G647" s="38" t="s">
        <v>4189</v>
      </c>
    </row>
    <row r="648">
      <c r="G648" s="38" t="s">
        <v>4189</v>
      </c>
    </row>
    <row r="649">
      <c r="G649" s="38" t="s">
        <v>4189</v>
      </c>
    </row>
    <row r="650">
      <c r="G650" s="38" t="s">
        <v>4189</v>
      </c>
    </row>
    <row r="651">
      <c r="G651" s="38" t="s">
        <v>4189</v>
      </c>
    </row>
    <row r="652">
      <c r="G652" s="38" t="s">
        <v>4189</v>
      </c>
    </row>
    <row r="653">
      <c r="G653" s="38" t="s">
        <v>4189</v>
      </c>
    </row>
    <row r="654">
      <c r="G654" s="38" t="s">
        <v>4189</v>
      </c>
    </row>
    <row r="655">
      <c r="G655" s="38" t="s">
        <v>4189</v>
      </c>
    </row>
    <row r="656">
      <c r="G656" s="38" t="s">
        <v>4189</v>
      </c>
    </row>
    <row r="657">
      <c r="G657" s="38" t="s">
        <v>4189</v>
      </c>
    </row>
    <row r="658">
      <c r="G658" s="38" t="s">
        <v>4189</v>
      </c>
    </row>
    <row r="659">
      <c r="G659" s="38" t="s">
        <v>4189</v>
      </c>
    </row>
    <row r="660">
      <c r="G660" s="38" t="s">
        <v>4189</v>
      </c>
    </row>
    <row r="661">
      <c r="G661" s="38" t="s">
        <v>4189</v>
      </c>
    </row>
    <row r="662">
      <c r="G662" s="38" t="s">
        <v>4189</v>
      </c>
    </row>
    <row r="663">
      <c r="G663" s="38" t="s">
        <v>4189</v>
      </c>
    </row>
    <row r="664">
      <c r="G664" s="38" t="s">
        <v>4189</v>
      </c>
    </row>
    <row r="665">
      <c r="G665" s="38" t="s">
        <v>4189</v>
      </c>
    </row>
    <row r="666">
      <c r="G666" s="38" t="s">
        <v>4189</v>
      </c>
    </row>
    <row r="667">
      <c r="G667" s="38" t="s">
        <v>4189</v>
      </c>
    </row>
    <row r="668">
      <c r="G668" s="38" t="s">
        <v>4189</v>
      </c>
    </row>
    <row r="669">
      <c r="G669" s="38" t="s">
        <v>4189</v>
      </c>
    </row>
    <row r="670">
      <c r="G670" s="38" t="s">
        <v>4189</v>
      </c>
    </row>
    <row r="671">
      <c r="G671" s="38" t="s">
        <v>4189</v>
      </c>
    </row>
    <row r="672">
      <c r="G672" s="38" t="s">
        <v>4189</v>
      </c>
    </row>
    <row r="673">
      <c r="G673" s="38" t="s">
        <v>4189</v>
      </c>
    </row>
    <row r="674">
      <c r="G674" s="38" t="s">
        <v>4189</v>
      </c>
    </row>
    <row r="675">
      <c r="G675" s="38" t="s">
        <v>4189</v>
      </c>
    </row>
    <row r="676">
      <c r="G676" s="38" t="s">
        <v>4189</v>
      </c>
    </row>
    <row r="677">
      <c r="G677" s="38" t="s">
        <v>4189</v>
      </c>
    </row>
    <row r="678">
      <c r="G678" s="38" t="s">
        <v>4189</v>
      </c>
    </row>
    <row r="679">
      <c r="G679" s="38" t="s">
        <v>4189</v>
      </c>
    </row>
    <row r="680">
      <c r="G680" s="38" t="s">
        <v>4189</v>
      </c>
    </row>
    <row r="681">
      <c r="G681" s="38" t="s">
        <v>4189</v>
      </c>
    </row>
    <row r="682">
      <c r="G682" s="38" t="s">
        <v>4189</v>
      </c>
    </row>
    <row r="683">
      <c r="G683" s="38" t="s">
        <v>4189</v>
      </c>
    </row>
    <row r="684">
      <c r="G684" s="38" t="s">
        <v>4189</v>
      </c>
    </row>
    <row r="685">
      <c r="G685" s="38" t="s">
        <v>4189</v>
      </c>
    </row>
    <row r="686">
      <c r="G686" s="38" t="s">
        <v>4189</v>
      </c>
    </row>
    <row r="687">
      <c r="G687" s="38" t="s">
        <v>4189</v>
      </c>
    </row>
    <row r="688">
      <c r="G688" s="38" t="s">
        <v>4189</v>
      </c>
    </row>
    <row r="689">
      <c r="G689" s="38" t="s">
        <v>4189</v>
      </c>
    </row>
    <row r="690">
      <c r="G690" s="38" t="s">
        <v>4189</v>
      </c>
    </row>
    <row r="691">
      <c r="G691" s="38" t="s">
        <v>4189</v>
      </c>
    </row>
    <row r="692">
      <c r="G692" s="38" t="s">
        <v>4189</v>
      </c>
    </row>
    <row r="693">
      <c r="G693" s="38" t="s">
        <v>4189</v>
      </c>
    </row>
    <row r="694">
      <c r="G694" s="38" t="s">
        <v>4189</v>
      </c>
    </row>
    <row r="695">
      <c r="G695" s="38" t="s">
        <v>4189</v>
      </c>
    </row>
    <row r="696">
      <c r="G696" s="38" t="s">
        <v>4189</v>
      </c>
    </row>
    <row r="697">
      <c r="G697" s="38" t="s">
        <v>4189</v>
      </c>
    </row>
    <row r="698">
      <c r="G698" s="38" t="s">
        <v>4189</v>
      </c>
    </row>
    <row r="699">
      <c r="G699" s="38" t="s">
        <v>4189</v>
      </c>
    </row>
    <row r="700">
      <c r="G700" s="38" t="s">
        <v>4189</v>
      </c>
    </row>
    <row r="701">
      <c r="G701" s="38" t="s">
        <v>4189</v>
      </c>
    </row>
    <row r="702">
      <c r="G702" s="38" t="s">
        <v>4189</v>
      </c>
    </row>
    <row r="703">
      <c r="G703" s="38" t="s">
        <v>4189</v>
      </c>
    </row>
    <row r="704">
      <c r="G704" s="38" t="s">
        <v>4189</v>
      </c>
    </row>
    <row r="705">
      <c r="G705" s="38" t="s">
        <v>4189</v>
      </c>
    </row>
    <row r="706">
      <c r="G706" s="38" t="s">
        <v>4189</v>
      </c>
    </row>
    <row r="707">
      <c r="G707" s="38" t="s">
        <v>4189</v>
      </c>
    </row>
    <row r="708">
      <c r="G708" s="38" t="s">
        <v>4189</v>
      </c>
    </row>
    <row r="709">
      <c r="G709" s="38" t="s">
        <v>4189</v>
      </c>
    </row>
    <row r="710">
      <c r="G710" s="38" t="s">
        <v>4189</v>
      </c>
    </row>
    <row r="711">
      <c r="G711" s="38" t="s">
        <v>4189</v>
      </c>
    </row>
    <row r="712">
      <c r="G712" s="38" t="s">
        <v>4189</v>
      </c>
    </row>
    <row r="713">
      <c r="G713" s="38" t="s">
        <v>4189</v>
      </c>
    </row>
    <row r="714">
      <c r="G714" s="38" t="s">
        <v>4189</v>
      </c>
    </row>
    <row r="715">
      <c r="G715" s="38" t="s">
        <v>4189</v>
      </c>
    </row>
    <row r="716">
      <c r="G716" s="38" t="s">
        <v>4189</v>
      </c>
    </row>
    <row r="717">
      <c r="G717" s="38" t="s">
        <v>4189</v>
      </c>
    </row>
    <row r="718">
      <c r="G718" s="38" t="s">
        <v>4189</v>
      </c>
    </row>
    <row r="719">
      <c r="G719" s="38" t="s">
        <v>4189</v>
      </c>
    </row>
    <row r="720">
      <c r="G720" s="38" t="s">
        <v>4189</v>
      </c>
    </row>
    <row r="721">
      <c r="G721" s="38" t="s">
        <v>4189</v>
      </c>
    </row>
    <row r="722">
      <c r="G722" s="38" t="s">
        <v>4189</v>
      </c>
    </row>
    <row r="723">
      <c r="G723" s="38" t="s">
        <v>4189</v>
      </c>
    </row>
    <row r="724">
      <c r="G724" s="38" t="s">
        <v>4189</v>
      </c>
    </row>
    <row r="725">
      <c r="G725" s="38" t="s">
        <v>4189</v>
      </c>
    </row>
    <row r="726">
      <c r="G726" s="38" t="s">
        <v>4189</v>
      </c>
    </row>
    <row r="727">
      <c r="G727" s="38" t="s">
        <v>4189</v>
      </c>
    </row>
    <row r="728">
      <c r="G728" s="38" t="s">
        <v>4189</v>
      </c>
    </row>
    <row r="729">
      <c r="G729" s="38" t="s">
        <v>4189</v>
      </c>
    </row>
    <row r="730">
      <c r="G730" s="38" t="s">
        <v>4189</v>
      </c>
    </row>
    <row r="731">
      <c r="G731" s="38" t="s">
        <v>4189</v>
      </c>
    </row>
    <row r="732">
      <c r="G732" s="38" t="s">
        <v>4189</v>
      </c>
    </row>
    <row r="733">
      <c r="G733" s="38" t="s">
        <v>4189</v>
      </c>
    </row>
    <row r="734">
      <c r="G734" s="38" t="s">
        <v>4189</v>
      </c>
    </row>
    <row r="735">
      <c r="G735" s="38" t="s">
        <v>4189</v>
      </c>
    </row>
    <row r="736">
      <c r="G736" s="38" t="s">
        <v>4189</v>
      </c>
    </row>
    <row r="737">
      <c r="G737" s="38" t="s">
        <v>4189</v>
      </c>
    </row>
    <row r="738">
      <c r="G738" s="38" t="s">
        <v>4189</v>
      </c>
    </row>
    <row r="739">
      <c r="G739" s="38" t="s">
        <v>4189</v>
      </c>
    </row>
    <row r="740">
      <c r="G740" s="38" t="s">
        <v>4189</v>
      </c>
    </row>
    <row r="741">
      <c r="G741" s="38" t="s">
        <v>4189</v>
      </c>
    </row>
    <row r="742">
      <c r="G742" s="38" t="s">
        <v>4189</v>
      </c>
    </row>
    <row r="743">
      <c r="G743" s="38" t="s">
        <v>4189</v>
      </c>
    </row>
    <row r="744">
      <c r="G744" s="38" t="s">
        <v>4189</v>
      </c>
    </row>
    <row r="745">
      <c r="G745" s="38" t="s">
        <v>4189</v>
      </c>
    </row>
    <row r="746">
      <c r="G746" s="38" t="s">
        <v>4189</v>
      </c>
    </row>
    <row r="747">
      <c r="G747" s="38" t="s">
        <v>4189</v>
      </c>
    </row>
    <row r="748">
      <c r="G748" s="38" t="s">
        <v>4189</v>
      </c>
    </row>
    <row r="749">
      <c r="G749" s="38" t="s">
        <v>4189</v>
      </c>
    </row>
    <row r="750">
      <c r="G750" s="38" t="s">
        <v>4189</v>
      </c>
    </row>
    <row r="751">
      <c r="G751" s="38" t="s">
        <v>4189</v>
      </c>
    </row>
    <row r="752">
      <c r="G752" s="38" t="s">
        <v>4189</v>
      </c>
    </row>
    <row r="753">
      <c r="G753" s="38" t="s">
        <v>4189</v>
      </c>
    </row>
    <row r="754">
      <c r="G754" s="38" t="s">
        <v>4189</v>
      </c>
    </row>
    <row r="755">
      <c r="G755" s="38" t="s">
        <v>4189</v>
      </c>
    </row>
    <row r="756">
      <c r="G756" s="38" t="s">
        <v>4189</v>
      </c>
    </row>
    <row r="757">
      <c r="G757" s="38" t="s">
        <v>4189</v>
      </c>
    </row>
    <row r="758">
      <c r="G758" s="38" t="s">
        <v>4189</v>
      </c>
    </row>
    <row r="759">
      <c r="G759" s="38" t="s">
        <v>4189</v>
      </c>
    </row>
    <row r="760">
      <c r="G760" s="38" t="s">
        <v>4189</v>
      </c>
    </row>
    <row r="761">
      <c r="G761" s="38" t="s">
        <v>4189</v>
      </c>
    </row>
    <row r="762">
      <c r="G762" s="38" t="s">
        <v>4189</v>
      </c>
    </row>
    <row r="763">
      <c r="G763" s="38" t="s">
        <v>4189</v>
      </c>
    </row>
    <row r="764">
      <c r="G764" s="38" t="s">
        <v>4189</v>
      </c>
    </row>
    <row r="765">
      <c r="G765" s="38" t="s">
        <v>4189</v>
      </c>
    </row>
    <row r="766">
      <c r="G766" s="38" t="s">
        <v>4189</v>
      </c>
    </row>
    <row r="767">
      <c r="G767" s="38" t="s">
        <v>4189</v>
      </c>
    </row>
    <row r="768">
      <c r="G768" s="38" t="s">
        <v>4189</v>
      </c>
    </row>
    <row r="769">
      <c r="G769" s="38" t="s">
        <v>4189</v>
      </c>
    </row>
    <row r="770">
      <c r="G770" s="38" t="s">
        <v>4189</v>
      </c>
    </row>
    <row r="771">
      <c r="G771" s="38" t="s">
        <v>4189</v>
      </c>
    </row>
    <row r="772">
      <c r="G772" s="38" t="s">
        <v>4189</v>
      </c>
    </row>
    <row r="773">
      <c r="G773" s="38" t="s">
        <v>4189</v>
      </c>
    </row>
    <row r="774">
      <c r="G774" s="38" t="s">
        <v>4189</v>
      </c>
    </row>
    <row r="775">
      <c r="G775" s="38" t="s">
        <v>4189</v>
      </c>
    </row>
    <row r="776">
      <c r="G776" s="38" t="s">
        <v>4189</v>
      </c>
    </row>
    <row r="777">
      <c r="G777" s="38" t="s">
        <v>4189</v>
      </c>
    </row>
    <row r="778">
      <c r="G778" s="38" t="s">
        <v>4189</v>
      </c>
    </row>
    <row r="779">
      <c r="G779" s="38" t="s">
        <v>4189</v>
      </c>
    </row>
    <row r="780">
      <c r="G780" s="38" t="s">
        <v>4189</v>
      </c>
    </row>
    <row r="781">
      <c r="G781" s="38" t="s">
        <v>4189</v>
      </c>
    </row>
    <row r="782">
      <c r="G782" s="38" t="s">
        <v>4189</v>
      </c>
    </row>
    <row r="783">
      <c r="G783" s="38" t="s">
        <v>4189</v>
      </c>
    </row>
    <row r="784">
      <c r="G784" s="38" t="s">
        <v>4189</v>
      </c>
    </row>
    <row r="785">
      <c r="G785" s="38" t="s">
        <v>4189</v>
      </c>
    </row>
    <row r="786">
      <c r="G786" s="38" t="s">
        <v>4189</v>
      </c>
    </row>
    <row r="787">
      <c r="G787" s="38" t="s">
        <v>4189</v>
      </c>
    </row>
    <row r="788">
      <c r="G788" s="38" t="s">
        <v>4189</v>
      </c>
    </row>
    <row r="789">
      <c r="G789" s="38" t="s">
        <v>4189</v>
      </c>
    </row>
    <row r="790">
      <c r="G790" s="38" t="s">
        <v>4189</v>
      </c>
    </row>
    <row r="791">
      <c r="G791" s="38" t="s">
        <v>4189</v>
      </c>
    </row>
    <row r="792">
      <c r="G792" s="38" t="s">
        <v>4189</v>
      </c>
    </row>
    <row r="793">
      <c r="G793" s="38" t="s">
        <v>4189</v>
      </c>
    </row>
    <row r="794">
      <c r="G794" s="38" t="s">
        <v>4189</v>
      </c>
    </row>
    <row r="795">
      <c r="G795" s="38" t="s">
        <v>4189</v>
      </c>
    </row>
    <row r="796">
      <c r="G796" s="38" t="s">
        <v>4189</v>
      </c>
    </row>
    <row r="797">
      <c r="G797" s="38" t="s">
        <v>4189</v>
      </c>
    </row>
    <row r="798">
      <c r="G798" s="38" t="s">
        <v>4189</v>
      </c>
    </row>
    <row r="799">
      <c r="G799" s="38" t="s">
        <v>4189</v>
      </c>
    </row>
    <row r="800">
      <c r="G800" s="38" t="s">
        <v>4189</v>
      </c>
    </row>
    <row r="801">
      <c r="G801" s="38" t="s">
        <v>4189</v>
      </c>
    </row>
    <row r="802">
      <c r="G802" s="38" t="s">
        <v>4189</v>
      </c>
    </row>
    <row r="803">
      <c r="G803" s="38" t="s">
        <v>4189</v>
      </c>
    </row>
    <row r="804">
      <c r="G804" s="38" t="s">
        <v>4189</v>
      </c>
    </row>
    <row r="805">
      <c r="G805" s="38" t="s">
        <v>4189</v>
      </c>
    </row>
    <row r="806">
      <c r="G806" s="38" t="s">
        <v>4189</v>
      </c>
    </row>
    <row r="807">
      <c r="G807" s="38" t="s">
        <v>4189</v>
      </c>
    </row>
    <row r="808">
      <c r="G808" s="38" t="s">
        <v>4189</v>
      </c>
    </row>
    <row r="809">
      <c r="G809" s="38" t="s">
        <v>4189</v>
      </c>
    </row>
    <row r="810">
      <c r="G810" s="38" t="s">
        <v>4189</v>
      </c>
    </row>
    <row r="811">
      <c r="G811" s="38" t="s">
        <v>4189</v>
      </c>
    </row>
    <row r="812">
      <c r="G812" s="38" t="s">
        <v>4189</v>
      </c>
    </row>
    <row r="813">
      <c r="G813" s="38" t="s">
        <v>4189</v>
      </c>
    </row>
    <row r="814">
      <c r="G814" s="38" t="s">
        <v>4189</v>
      </c>
    </row>
    <row r="815">
      <c r="G815" s="38" t="s">
        <v>4189</v>
      </c>
    </row>
    <row r="816">
      <c r="G816" s="38" t="s">
        <v>4189</v>
      </c>
    </row>
    <row r="817">
      <c r="G817" s="38" t="s">
        <v>4189</v>
      </c>
    </row>
    <row r="818">
      <c r="G818" s="38" t="s">
        <v>4189</v>
      </c>
    </row>
    <row r="819">
      <c r="G819" s="38" t="s">
        <v>4189</v>
      </c>
    </row>
    <row r="820">
      <c r="G820" s="38" t="s">
        <v>4189</v>
      </c>
    </row>
    <row r="821">
      <c r="G821" s="38" t="s">
        <v>4189</v>
      </c>
    </row>
    <row r="822">
      <c r="G822" s="38" t="s">
        <v>4189</v>
      </c>
    </row>
    <row r="823">
      <c r="G823" s="38" t="s">
        <v>4189</v>
      </c>
    </row>
    <row r="824">
      <c r="G824" s="38" t="s">
        <v>4189</v>
      </c>
    </row>
    <row r="825">
      <c r="G825" s="38" t="s">
        <v>4189</v>
      </c>
    </row>
    <row r="826">
      <c r="G826" s="38" t="s">
        <v>4189</v>
      </c>
    </row>
    <row r="827">
      <c r="G827" s="38" t="s">
        <v>4189</v>
      </c>
    </row>
    <row r="828">
      <c r="G828" s="38" t="s">
        <v>4189</v>
      </c>
    </row>
    <row r="829">
      <c r="G829" s="38" t="s">
        <v>4189</v>
      </c>
    </row>
    <row r="830">
      <c r="G830" s="38" t="s">
        <v>4189</v>
      </c>
    </row>
    <row r="831">
      <c r="G831" s="38" t="s">
        <v>4189</v>
      </c>
    </row>
    <row r="832">
      <c r="G832" s="38" t="s">
        <v>4189</v>
      </c>
    </row>
    <row r="833">
      <c r="G833" s="38" t="s">
        <v>4189</v>
      </c>
    </row>
    <row r="834">
      <c r="G834" s="38" t="s">
        <v>4189</v>
      </c>
    </row>
    <row r="835">
      <c r="G835" s="38" t="s">
        <v>4189</v>
      </c>
    </row>
    <row r="836">
      <c r="G836" s="38" t="s">
        <v>4189</v>
      </c>
    </row>
    <row r="837">
      <c r="G837" s="38" t="s">
        <v>4189</v>
      </c>
    </row>
    <row r="838">
      <c r="G838" s="38" t="s">
        <v>4189</v>
      </c>
    </row>
    <row r="839">
      <c r="G839" s="38" t="s">
        <v>4189</v>
      </c>
    </row>
    <row r="840">
      <c r="G840" s="38" t="s">
        <v>4189</v>
      </c>
    </row>
    <row r="841">
      <c r="G841" s="38" t="s">
        <v>4189</v>
      </c>
    </row>
    <row r="842">
      <c r="G842" s="38" t="s">
        <v>4189</v>
      </c>
    </row>
    <row r="843">
      <c r="G843" s="38" t="s">
        <v>4189</v>
      </c>
    </row>
    <row r="844">
      <c r="G844" s="38" t="s">
        <v>4189</v>
      </c>
    </row>
    <row r="845">
      <c r="G845" s="38" t="s">
        <v>4189</v>
      </c>
    </row>
    <row r="846">
      <c r="G846" s="38" t="s">
        <v>4189</v>
      </c>
    </row>
    <row r="847">
      <c r="G847" s="38" t="s">
        <v>4189</v>
      </c>
    </row>
    <row r="848">
      <c r="G848" s="38" t="s">
        <v>4189</v>
      </c>
    </row>
    <row r="849">
      <c r="G849" s="38" t="s">
        <v>4189</v>
      </c>
    </row>
    <row r="850">
      <c r="G850" s="38" t="s">
        <v>4189</v>
      </c>
    </row>
    <row r="851">
      <c r="G851" s="38" t="s">
        <v>4189</v>
      </c>
    </row>
    <row r="852">
      <c r="G852" s="38" t="s">
        <v>4189</v>
      </c>
    </row>
    <row r="853">
      <c r="G853" s="38" t="s">
        <v>4189</v>
      </c>
    </row>
    <row r="854">
      <c r="G854" s="38" t="s">
        <v>4189</v>
      </c>
    </row>
    <row r="855">
      <c r="G855" s="38" t="s">
        <v>4189</v>
      </c>
    </row>
    <row r="856">
      <c r="G856" s="38" t="s">
        <v>4189</v>
      </c>
    </row>
    <row r="857">
      <c r="G857" s="38" t="s">
        <v>4189</v>
      </c>
    </row>
    <row r="858">
      <c r="G858" s="38" t="s">
        <v>4189</v>
      </c>
    </row>
    <row r="859">
      <c r="G859" s="38" t="s">
        <v>4189</v>
      </c>
    </row>
    <row r="860">
      <c r="G860" s="38" t="s">
        <v>4189</v>
      </c>
    </row>
    <row r="861">
      <c r="G861" s="38" t="s">
        <v>4189</v>
      </c>
    </row>
    <row r="862">
      <c r="G862" s="38" t="s">
        <v>4189</v>
      </c>
    </row>
    <row r="863">
      <c r="G863" s="38" t="s">
        <v>4189</v>
      </c>
    </row>
    <row r="864">
      <c r="G864" s="38" t="s">
        <v>4189</v>
      </c>
    </row>
    <row r="865">
      <c r="G865" s="38" t="s">
        <v>4189</v>
      </c>
    </row>
    <row r="866">
      <c r="G866" s="38" t="s">
        <v>4189</v>
      </c>
    </row>
    <row r="867">
      <c r="G867" s="38" t="s">
        <v>4189</v>
      </c>
    </row>
    <row r="868">
      <c r="G868" s="38" t="s">
        <v>4189</v>
      </c>
    </row>
    <row r="869">
      <c r="G869" s="38" t="s">
        <v>4189</v>
      </c>
    </row>
    <row r="870">
      <c r="G870" s="38" t="s">
        <v>4189</v>
      </c>
    </row>
    <row r="871">
      <c r="G871" s="38" t="s">
        <v>4189</v>
      </c>
    </row>
    <row r="872">
      <c r="G872" s="38" t="s">
        <v>4189</v>
      </c>
    </row>
    <row r="873">
      <c r="G873" s="38" t="s">
        <v>4189</v>
      </c>
    </row>
    <row r="874">
      <c r="G874" s="38" t="s">
        <v>4189</v>
      </c>
    </row>
    <row r="875">
      <c r="G875" s="38" t="s">
        <v>4189</v>
      </c>
    </row>
    <row r="876">
      <c r="G876" s="38" t="s">
        <v>4189</v>
      </c>
    </row>
    <row r="877">
      <c r="G877" s="38" t="s">
        <v>4189</v>
      </c>
    </row>
    <row r="878">
      <c r="G878" s="38" t="s">
        <v>4189</v>
      </c>
    </row>
    <row r="879">
      <c r="G879" s="38" t="s">
        <v>4189</v>
      </c>
    </row>
    <row r="880">
      <c r="G880" s="38" t="s">
        <v>4189</v>
      </c>
    </row>
    <row r="881">
      <c r="G881" s="38" t="s">
        <v>4189</v>
      </c>
    </row>
    <row r="882">
      <c r="G882" s="38" t="s">
        <v>4189</v>
      </c>
    </row>
    <row r="883">
      <c r="G883" s="38" t="s">
        <v>4189</v>
      </c>
    </row>
    <row r="884">
      <c r="G884" s="38" t="s">
        <v>4189</v>
      </c>
    </row>
    <row r="885">
      <c r="G885" s="38" t="s">
        <v>4189</v>
      </c>
    </row>
    <row r="886">
      <c r="G886" s="38" t="s">
        <v>4189</v>
      </c>
    </row>
    <row r="887">
      <c r="G887" s="38" t="s">
        <v>4189</v>
      </c>
    </row>
    <row r="888">
      <c r="G888" s="38" t="s">
        <v>4189</v>
      </c>
    </row>
    <row r="889">
      <c r="G889" s="38" t="s">
        <v>4189</v>
      </c>
    </row>
    <row r="890">
      <c r="G890" s="38" t="s">
        <v>4189</v>
      </c>
    </row>
    <row r="891">
      <c r="G891" s="38" t="s">
        <v>4189</v>
      </c>
    </row>
    <row r="892">
      <c r="G892" s="38" t="s">
        <v>4189</v>
      </c>
    </row>
    <row r="893">
      <c r="G893" s="38" t="s">
        <v>4189</v>
      </c>
    </row>
    <row r="894">
      <c r="G894" s="38" t="s">
        <v>4189</v>
      </c>
    </row>
    <row r="895">
      <c r="G895" s="38" t="s">
        <v>4189</v>
      </c>
    </row>
    <row r="896">
      <c r="G896" s="38" t="s">
        <v>4189</v>
      </c>
    </row>
    <row r="897">
      <c r="G897" s="38" t="s">
        <v>4189</v>
      </c>
    </row>
    <row r="898">
      <c r="G898" s="38" t="s">
        <v>4189</v>
      </c>
    </row>
    <row r="899">
      <c r="G899" s="38" t="s">
        <v>4189</v>
      </c>
    </row>
    <row r="900">
      <c r="G900" s="38" t="s">
        <v>4189</v>
      </c>
    </row>
    <row r="901">
      <c r="G901" s="38" t="s">
        <v>4189</v>
      </c>
    </row>
    <row r="902">
      <c r="G902" s="38" t="s">
        <v>4189</v>
      </c>
    </row>
    <row r="903">
      <c r="G903" s="38" t="s">
        <v>4189</v>
      </c>
    </row>
    <row r="904">
      <c r="G904" s="38" t="s">
        <v>4189</v>
      </c>
    </row>
    <row r="905">
      <c r="G905" s="38" t="s">
        <v>4189</v>
      </c>
    </row>
    <row r="906">
      <c r="G906" s="38" t="s">
        <v>4189</v>
      </c>
    </row>
    <row r="907">
      <c r="G907" s="38" t="s">
        <v>4189</v>
      </c>
    </row>
    <row r="908">
      <c r="G908" s="38" t="s">
        <v>4189</v>
      </c>
    </row>
    <row r="909">
      <c r="G909" s="38" t="s">
        <v>4189</v>
      </c>
    </row>
    <row r="910">
      <c r="G910" s="38" t="s">
        <v>4189</v>
      </c>
    </row>
    <row r="911">
      <c r="G911" s="38" t="s">
        <v>4189</v>
      </c>
    </row>
    <row r="912">
      <c r="G912" s="38" t="s">
        <v>4189</v>
      </c>
    </row>
    <row r="913">
      <c r="G913" s="38" t="s">
        <v>4189</v>
      </c>
    </row>
    <row r="914">
      <c r="G914" s="38" t="s">
        <v>4189</v>
      </c>
    </row>
    <row r="915">
      <c r="G915" s="38" t="s">
        <v>4189</v>
      </c>
    </row>
    <row r="916">
      <c r="G916" s="38" t="s">
        <v>4189</v>
      </c>
    </row>
    <row r="917">
      <c r="G917" s="38" t="s">
        <v>4189</v>
      </c>
    </row>
    <row r="918">
      <c r="G918" s="38" t="s">
        <v>4189</v>
      </c>
    </row>
    <row r="919">
      <c r="G919" s="38" t="s">
        <v>4189</v>
      </c>
    </row>
    <row r="920">
      <c r="G920" s="38" t="s">
        <v>4189</v>
      </c>
    </row>
    <row r="921">
      <c r="G921" s="38" t="s">
        <v>4189</v>
      </c>
    </row>
    <row r="922">
      <c r="G922" s="38" t="s">
        <v>4189</v>
      </c>
    </row>
    <row r="923">
      <c r="G923" s="38" t="s">
        <v>4189</v>
      </c>
    </row>
    <row r="924">
      <c r="G924" s="38" t="s">
        <v>4189</v>
      </c>
    </row>
    <row r="925">
      <c r="G925" s="38" t="s">
        <v>4189</v>
      </c>
    </row>
    <row r="926">
      <c r="G926" s="38" t="s">
        <v>4189</v>
      </c>
    </row>
    <row r="927">
      <c r="G927" s="38" t="s">
        <v>4189</v>
      </c>
    </row>
    <row r="928">
      <c r="G928" s="38" t="s">
        <v>4189</v>
      </c>
    </row>
    <row r="929">
      <c r="G929" s="38" t="s">
        <v>4189</v>
      </c>
    </row>
    <row r="930">
      <c r="G930" s="38" t="s">
        <v>4189</v>
      </c>
    </row>
    <row r="931">
      <c r="G931" s="38" t="s">
        <v>4189</v>
      </c>
    </row>
    <row r="932">
      <c r="G932" s="38" t="s">
        <v>4189</v>
      </c>
    </row>
    <row r="933">
      <c r="G933" s="38" t="s">
        <v>4189</v>
      </c>
    </row>
    <row r="934">
      <c r="G934" s="38" t="s">
        <v>4189</v>
      </c>
    </row>
    <row r="935">
      <c r="G935" s="38" t="s">
        <v>4189</v>
      </c>
    </row>
    <row r="936">
      <c r="G936" s="38" t="s">
        <v>4189</v>
      </c>
    </row>
    <row r="937">
      <c r="G937" s="38" t="s">
        <v>4189</v>
      </c>
    </row>
    <row r="938">
      <c r="G938" s="38" t="s">
        <v>4189</v>
      </c>
    </row>
    <row r="939">
      <c r="G939" s="38" t="s">
        <v>4189</v>
      </c>
    </row>
    <row r="940">
      <c r="G940" s="38" t="s">
        <v>4189</v>
      </c>
    </row>
    <row r="941">
      <c r="G941" s="38" t="s">
        <v>4189</v>
      </c>
    </row>
    <row r="942">
      <c r="G942" s="38" t="s">
        <v>4189</v>
      </c>
    </row>
    <row r="943">
      <c r="G943" s="38" t="s">
        <v>4189</v>
      </c>
    </row>
    <row r="944">
      <c r="G944" s="38" t="s">
        <v>4189</v>
      </c>
    </row>
    <row r="945">
      <c r="G945" s="38" t="s">
        <v>4189</v>
      </c>
    </row>
    <row r="946">
      <c r="G946" s="38" t="s">
        <v>4189</v>
      </c>
    </row>
    <row r="947">
      <c r="G947" s="38" t="s">
        <v>4189</v>
      </c>
    </row>
    <row r="948">
      <c r="G948" s="38" t="s">
        <v>4189</v>
      </c>
    </row>
    <row r="949">
      <c r="G949" s="38" t="s">
        <v>4189</v>
      </c>
    </row>
    <row r="950">
      <c r="G950" s="38" t="s">
        <v>4189</v>
      </c>
    </row>
    <row r="951">
      <c r="G951" s="38" t="s">
        <v>4189</v>
      </c>
    </row>
    <row r="952">
      <c r="G952" s="38" t="s">
        <v>4189</v>
      </c>
    </row>
    <row r="953">
      <c r="G953" s="38" t="s">
        <v>4189</v>
      </c>
    </row>
    <row r="954">
      <c r="G954" s="38" t="s">
        <v>4189</v>
      </c>
    </row>
    <row r="955">
      <c r="G955" s="38" t="s">
        <v>4189</v>
      </c>
    </row>
    <row r="956">
      <c r="G956" s="38" t="s">
        <v>4189</v>
      </c>
    </row>
    <row r="957">
      <c r="G957" s="38" t="s">
        <v>4189</v>
      </c>
    </row>
    <row r="958">
      <c r="G958" s="38" t="s">
        <v>4189</v>
      </c>
    </row>
    <row r="959">
      <c r="G959" s="38" t="s">
        <v>4189</v>
      </c>
    </row>
    <row r="960">
      <c r="G960" s="38" t="s">
        <v>4189</v>
      </c>
    </row>
    <row r="961">
      <c r="G961" s="38" t="s">
        <v>4189</v>
      </c>
    </row>
    <row r="962">
      <c r="G962" s="38" t="s">
        <v>4189</v>
      </c>
    </row>
    <row r="963">
      <c r="G963" s="38" t="s">
        <v>4189</v>
      </c>
    </row>
    <row r="964">
      <c r="G964" s="38" t="s">
        <v>4189</v>
      </c>
    </row>
    <row r="965">
      <c r="G965" s="38" t="s">
        <v>4189</v>
      </c>
    </row>
    <row r="966">
      <c r="G966" s="38" t="s">
        <v>4189</v>
      </c>
    </row>
    <row r="967">
      <c r="G967" s="38" t="s">
        <v>4189</v>
      </c>
    </row>
    <row r="968">
      <c r="G968" s="38" t="s">
        <v>4189</v>
      </c>
    </row>
    <row r="969">
      <c r="G969" s="38" t="s">
        <v>4189</v>
      </c>
    </row>
    <row r="970">
      <c r="G970" s="38" t="s">
        <v>4189</v>
      </c>
    </row>
    <row r="971">
      <c r="G971" s="38" t="s">
        <v>4189</v>
      </c>
    </row>
    <row r="972">
      <c r="G972" s="38" t="s">
        <v>4189</v>
      </c>
    </row>
    <row r="973">
      <c r="G973" s="38" t="s">
        <v>4189</v>
      </c>
    </row>
    <row r="974">
      <c r="G974" s="38" t="s">
        <v>4189</v>
      </c>
    </row>
    <row r="975">
      <c r="G975" s="38" t="s">
        <v>4189</v>
      </c>
    </row>
    <row r="976">
      <c r="G976" s="38" t="s">
        <v>4189</v>
      </c>
    </row>
    <row r="977">
      <c r="G977" s="38" t="s">
        <v>4189</v>
      </c>
    </row>
    <row r="978">
      <c r="G978" s="38" t="s">
        <v>4189</v>
      </c>
    </row>
    <row r="979">
      <c r="G979" s="38" t="s">
        <v>4189</v>
      </c>
    </row>
    <row r="980">
      <c r="G980" s="38" t="s">
        <v>4189</v>
      </c>
    </row>
    <row r="981">
      <c r="G981" s="38" t="s">
        <v>4189</v>
      </c>
    </row>
    <row r="982">
      <c r="G982" s="38" t="s">
        <v>4189</v>
      </c>
    </row>
    <row r="983">
      <c r="G983" s="38" t="s">
        <v>4189</v>
      </c>
    </row>
    <row r="984">
      <c r="G984" s="38" t="s">
        <v>4189</v>
      </c>
    </row>
    <row r="985">
      <c r="G985" s="38" t="s">
        <v>4189</v>
      </c>
    </row>
    <row r="986">
      <c r="G986" s="38" t="s">
        <v>4189</v>
      </c>
    </row>
    <row r="987">
      <c r="G987" s="38" t="s">
        <v>4189</v>
      </c>
    </row>
    <row r="988">
      <c r="G988" s="38" t="s">
        <v>4189</v>
      </c>
    </row>
    <row r="989">
      <c r="G989" s="38" t="s">
        <v>4189</v>
      </c>
    </row>
    <row r="990">
      <c r="G990" s="38" t="s">
        <v>4189</v>
      </c>
    </row>
    <row r="991">
      <c r="G991" s="38" t="s">
        <v>4189</v>
      </c>
    </row>
    <row r="992">
      <c r="G992" s="38" t="s">
        <v>4189</v>
      </c>
    </row>
    <row r="993">
      <c r="G993" s="38" t="s">
        <v>4189</v>
      </c>
    </row>
    <row r="994">
      <c r="G994" s="38" t="s">
        <v>4189</v>
      </c>
    </row>
    <row r="995">
      <c r="G995" s="38" t="s">
        <v>4189</v>
      </c>
    </row>
    <row r="996">
      <c r="G996" s="38" t="s">
        <v>4189</v>
      </c>
    </row>
    <row r="997">
      <c r="G997" s="38" t="s">
        <v>4189</v>
      </c>
    </row>
    <row r="998">
      <c r="G998" s="38" t="s">
        <v>4189</v>
      </c>
    </row>
    <row r="999">
      <c r="G999" s="38" t="s">
        <v>4189</v>
      </c>
    </row>
    <row r="1000">
      <c r="G1000" s="38" t="s">
        <v>4189</v>
      </c>
    </row>
    <row r="1001">
      <c r="G1001" s="38" t="s">
        <v>4189</v>
      </c>
    </row>
    <row r="1002">
      <c r="G1002" s="38" t="s">
        <v>4189</v>
      </c>
    </row>
    <row r="1003">
      <c r="G1003" s="38" t="s">
        <v>4189</v>
      </c>
    </row>
    <row r="1004">
      <c r="G1004" s="38" t="s">
        <v>4189</v>
      </c>
    </row>
    <row r="1005">
      <c r="G1005" s="38" t="s">
        <v>4189</v>
      </c>
    </row>
    <row r="1006">
      <c r="G1006" s="38" t="s">
        <v>4189</v>
      </c>
    </row>
    <row r="1007">
      <c r="G1007" s="38" t="s">
        <v>4189</v>
      </c>
    </row>
    <row r="1008">
      <c r="G1008" s="38" t="s">
        <v>4189</v>
      </c>
    </row>
    <row r="1009">
      <c r="G1009" s="38" t="s">
        <v>4189</v>
      </c>
    </row>
    <row r="1010">
      <c r="G1010" s="38" t="s">
        <v>4189</v>
      </c>
    </row>
    <row r="1011">
      <c r="G1011" s="38" t="s">
        <v>4189</v>
      </c>
    </row>
    <row r="1012">
      <c r="G1012" s="38" t="s">
        <v>4189</v>
      </c>
    </row>
    <row r="1013">
      <c r="G1013" s="38" t="s">
        <v>4189</v>
      </c>
    </row>
    <row r="1014">
      <c r="G1014" s="38" t="s">
        <v>4189</v>
      </c>
    </row>
    <row r="1015">
      <c r="G1015" s="38" t="s">
        <v>4189</v>
      </c>
    </row>
    <row r="1016">
      <c r="G1016" s="38" t="s">
        <v>4189</v>
      </c>
    </row>
    <row r="1017">
      <c r="G1017" s="38" t="s">
        <v>4189</v>
      </c>
    </row>
    <row r="1018">
      <c r="G1018" s="38" t="s">
        <v>4189</v>
      </c>
    </row>
    <row r="1019">
      <c r="G1019" s="38" t="s">
        <v>4189</v>
      </c>
    </row>
    <row r="1020">
      <c r="G1020" s="38" t="s">
        <v>4189</v>
      </c>
    </row>
    <row r="1021">
      <c r="G1021" s="38" t="s">
        <v>4189</v>
      </c>
    </row>
    <row r="1022">
      <c r="G1022" s="38" t="s">
        <v>4189</v>
      </c>
    </row>
    <row r="1023">
      <c r="G1023" s="38" t="s">
        <v>4189</v>
      </c>
    </row>
    <row r="1024">
      <c r="G1024" s="38" t="s">
        <v>4189</v>
      </c>
    </row>
    <row r="1025">
      <c r="G1025" s="38" t="s">
        <v>4189</v>
      </c>
    </row>
    <row r="1026">
      <c r="G1026" s="38" t="s">
        <v>4189</v>
      </c>
    </row>
    <row r="1027">
      <c r="G1027" s="38" t="s">
        <v>4189</v>
      </c>
    </row>
    <row r="1028">
      <c r="G1028" s="38" t="s">
        <v>4189</v>
      </c>
    </row>
    <row r="1029">
      <c r="G1029" s="38" t="s">
        <v>4189</v>
      </c>
    </row>
    <row r="1030">
      <c r="G1030" s="38" t="s">
        <v>4189</v>
      </c>
    </row>
    <row r="1031">
      <c r="G1031" s="38" t="s">
        <v>4189</v>
      </c>
    </row>
    <row r="1032">
      <c r="G1032" s="38" t="s">
        <v>4189</v>
      </c>
    </row>
    <row r="1033">
      <c r="G1033" s="38" t="s">
        <v>4189</v>
      </c>
    </row>
    <row r="1034">
      <c r="G1034" s="38" t="s">
        <v>4189</v>
      </c>
    </row>
    <row r="1035">
      <c r="G1035" s="38" t="s">
        <v>4189</v>
      </c>
    </row>
    <row r="1036">
      <c r="G1036" s="38" t="s">
        <v>4189</v>
      </c>
    </row>
    <row r="1037">
      <c r="G1037" s="38" t="s">
        <v>4189</v>
      </c>
    </row>
    <row r="1038">
      <c r="G1038" s="38" t="s">
        <v>4189</v>
      </c>
    </row>
    <row r="1039">
      <c r="G1039" s="38" t="s">
        <v>4189</v>
      </c>
    </row>
    <row r="1040">
      <c r="G1040" s="38" t="s">
        <v>4189</v>
      </c>
    </row>
    <row r="1041">
      <c r="G1041" s="38" t="s">
        <v>4189</v>
      </c>
    </row>
    <row r="1042">
      <c r="G1042" s="38" t="s">
        <v>4189</v>
      </c>
    </row>
    <row r="1043">
      <c r="G1043" s="38" t="s">
        <v>4189</v>
      </c>
    </row>
    <row r="1044">
      <c r="G1044" s="38" t="s">
        <v>4189</v>
      </c>
    </row>
    <row r="1045">
      <c r="G1045" s="38" t="s">
        <v>4189</v>
      </c>
    </row>
    <row r="1046">
      <c r="G1046" s="38" t="s">
        <v>4189</v>
      </c>
    </row>
    <row r="1047">
      <c r="G1047" s="38" t="s">
        <v>4189</v>
      </c>
    </row>
    <row r="1048">
      <c r="G1048" s="38" t="s">
        <v>4189</v>
      </c>
    </row>
    <row r="1049">
      <c r="G1049" s="38" t="s">
        <v>4189</v>
      </c>
    </row>
    <row r="1050">
      <c r="G1050" s="38" t="s">
        <v>4189</v>
      </c>
    </row>
    <row r="1051">
      <c r="G1051" s="38" t="s">
        <v>4189</v>
      </c>
    </row>
    <row r="1052">
      <c r="G1052" s="38" t="s">
        <v>4189</v>
      </c>
    </row>
    <row r="1053">
      <c r="G1053" s="38" t="s">
        <v>4189</v>
      </c>
    </row>
    <row r="1054">
      <c r="G1054" s="38" t="s">
        <v>4189</v>
      </c>
    </row>
    <row r="1055">
      <c r="G1055" s="38" t="s">
        <v>4189</v>
      </c>
    </row>
    <row r="1056">
      <c r="G1056" s="38" t="s">
        <v>4189</v>
      </c>
    </row>
    <row r="1057">
      <c r="G1057" s="38" t="s">
        <v>4189</v>
      </c>
    </row>
    <row r="1058">
      <c r="G1058" s="38" t="s">
        <v>4189</v>
      </c>
    </row>
    <row r="1059">
      <c r="G1059" s="38" t="s">
        <v>4189</v>
      </c>
    </row>
    <row r="1060">
      <c r="G1060" s="38" t="s">
        <v>4189</v>
      </c>
    </row>
    <row r="1061">
      <c r="G1061" s="38" t="s">
        <v>4189</v>
      </c>
    </row>
    <row r="1062">
      <c r="G1062" s="38" t="s">
        <v>4189</v>
      </c>
    </row>
    <row r="1063">
      <c r="G1063" s="38" t="s">
        <v>4189</v>
      </c>
    </row>
    <row r="1064">
      <c r="G1064" s="38" t="s">
        <v>4189</v>
      </c>
    </row>
    <row r="1065">
      <c r="G1065" s="38" t="s">
        <v>4189</v>
      </c>
    </row>
    <row r="1066">
      <c r="G1066" s="38" t="s">
        <v>4189</v>
      </c>
    </row>
    <row r="1067">
      <c r="G1067" s="38" t="s">
        <v>4189</v>
      </c>
    </row>
    <row r="1068">
      <c r="G1068" s="38" t="s">
        <v>4189</v>
      </c>
    </row>
    <row r="1069">
      <c r="G1069" s="38" t="s">
        <v>4189</v>
      </c>
    </row>
    <row r="1070">
      <c r="G1070" s="38" t="s">
        <v>4189</v>
      </c>
    </row>
    <row r="1071">
      <c r="G1071" s="38" t="s">
        <v>4189</v>
      </c>
    </row>
    <row r="1072">
      <c r="G1072" s="38" t="s">
        <v>4189</v>
      </c>
    </row>
    <row r="1073">
      <c r="G1073" s="38" t="s">
        <v>4189</v>
      </c>
    </row>
    <row r="1074">
      <c r="G1074" s="38" t="s">
        <v>4189</v>
      </c>
    </row>
    <row r="1075">
      <c r="G1075" s="38" t="s">
        <v>4189</v>
      </c>
    </row>
    <row r="1076">
      <c r="G1076" s="38" t="s">
        <v>4189</v>
      </c>
    </row>
    <row r="1077">
      <c r="G1077" s="38" t="s">
        <v>4189</v>
      </c>
    </row>
    <row r="1078">
      <c r="G1078" s="38" t="s">
        <v>4189</v>
      </c>
    </row>
    <row r="1079">
      <c r="G1079" s="38" t="s">
        <v>4189</v>
      </c>
    </row>
    <row r="1080">
      <c r="G1080" s="38" t="s">
        <v>4189</v>
      </c>
    </row>
    <row r="1081">
      <c r="G1081" s="38" t="s">
        <v>4189</v>
      </c>
    </row>
    <row r="1082">
      <c r="G1082" s="38" t="s">
        <v>4189</v>
      </c>
    </row>
    <row r="1083">
      <c r="G1083" s="38" t="s">
        <v>4189</v>
      </c>
    </row>
    <row r="1084">
      <c r="G1084" s="38" t="s">
        <v>4189</v>
      </c>
    </row>
    <row r="1085">
      <c r="G1085" s="38" t="s">
        <v>4189</v>
      </c>
    </row>
    <row r="1086">
      <c r="G1086" s="38" t="s">
        <v>4189</v>
      </c>
    </row>
    <row r="1087">
      <c r="G1087" s="38" t="s">
        <v>4189</v>
      </c>
    </row>
    <row r="1088">
      <c r="G1088" s="38" t="s">
        <v>4189</v>
      </c>
    </row>
    <row r="1089">
      <c r="G1089" s="38" t="s">
        <v>4189</v>
      </c>
    </row>
    <row r="1090">
      <c r="G1090" s="38" t="s">
        <v>4189</v>
      </c>
    </row>
    <row r="1091">
      <c r="G1091" s="38" t="s">
        <v>4189</v>
      </c>
    </row>
    <row r="1092">
      <c r="G1092" s="38" t="s">
        <v>4189</v>
      </c>
    </row>
    <row r="1093">
      <c r="G1093" s="38" t="s">
        <v>4189</v>
      </c>
    </row>
    <row r="1094">
      <c r="G1094" s="38" t="s">
        <v>4189</v>
      </c>
    </row>
    <row r="1095">
      <c r="G1095" s="38" t="s">
        <v>4189</v>
      </c>
    </row>
    <row r="1096">
      <c r="G1096" s="38" t="s">
        <v>4189</v>
      </c>
    </row>
    <row r="1097">
      <c r="G1097" s="38" t="s">
        <v>4189</v>
      </c>
    </row>
    <row r="1098">
      <c r="G1098" s="38" t="s">
        <v>4189</v>
      </c>
    </row>
    <row r="1099">
      <c r="G1099" s="38" t="s">
        <v>4189</v>
      </c>
    </row>
    <row r="1100">
      <c r="G1100" s="38" t="s">
        <v>4189</v>
      </c>
    </row>
    <row r="1101">
      <c r="G1101" s="38" t="s">
        <v>4189</v>
      </c>
    </row>
    <row r="1102">
      <c r="G1102" s="38" t="s">
        <v>4189</v>
      </c>
    </row>
    <row r="1103">
      <c r="G1103" s="38" t="s">
        <v>4189</v>
      </c>
    </row>
    <row r="1104">
      <c r="G1104" s="38" t="s">
        <v>4189</v>
      </c>
    </row>
    <row r="1105">
      <c r="G1105" s="38" t="s">
        <v>4189</v>
      </c>
    </row>
    <row r="1106">
      <c r="G1106" s="38" t="s">
        <v>4189</v>
      </c>
    </row>
    <row r="1107">
      <c r="G1107" s="38" t="s">
        <v>4189</v>
      </c>
    </row>
    <row r="1108">
      <c r="G1108" s="38" t="s">
        <v>4189</v>
      </c>
    </row>
    <row r="1109">
      <c r="G1109" s="38" t="s">
        <v>4189</v>
      </c>
    </row>
    <row r="1110">
      <c r="G1110" s="38" t="s">
        <v>4189</v>
      </c>
    </row>
    <row r="1111">
      <c r="G1111" s="38" t="s">
        <v>4189</v>
      </c>
    </row>
    <row r="1112">
      <c r="G1112" s="38" t="s">
        <v>4189</v>
      </c>
    </row>
    <row r="1113">
      <c r="G1113" s="38" t="s">
        <v>4189</v>
      </c>
    </row>
    <row r="1114">
      <c r="G1114" s="38" t="s">
        <v>4189</v>
      </c>
    </row>
    <row r="1115">
      <c r="G1115" s="38" t="s">
        <v>4189</v>
      </c>
    </row>
    <row r="1116">
      <c r="G1116" s="38" t="s">
        <v>4189</v>
      </c>
    </row>
    <row r="1117">
      <c r="G1117" s="38" t="s">
        <v>4189</v>
      </c>
    </row>
    <row r="1118">
      <c r="G1118" s="38" t="s">
        <v>4189</v>
      </c>
    </row>
    <row r="1119">
      <c r="G1119" s="38" t="s">
        <v>4189</v>
      </c>
    </row>
    <row r="1120">
      <c r="G1120" s="38" t="s">
        <v>4189</v>
      </c>
    </row>
    <row r="1121">
      <c r="G1121" s="38" t="s">
        <v>4189</v>
      </c>
    </row>
    <row r="1122">
      <c r="G1122" s="38" t="s">
        <v>4189</v>
      </c>
    </row>
    <row r="1123">
      <c r="G1123" s="38" t="s">
        <v>4189</v>
      </c>
    </row>
    <row r="1124">
      <c r="G1124" s="38" t="s">
        <v>4189</v>
      </c>
    </row>
    <row r="1125">
      <c r="G1125" s="38" t="s">
        <v>4189</v>
      </c>
    </row>
    <row r="1126">
      <c r="G1126" s="38" t="s">
        <v>4189</v>
      </c>
    </row>
    <row r="1127">
      <c r="G1127" s="38" t="s">
        <v>4189</v>
      </c>
    </row>
    <row r="1128">
      <c r="G1128" s="38" t="s">
        <v>4189</v>
      </c>
    </row>
    <row r="1129">
      <c r="G1129" s="38" t="s">
        <v>4189</v>
      </c>
    </row>
    <row r="1130">
      <c r="G1130" s="38" t="s">
        <v>4189</v>
      </c>
    </row>
    <row r="1131">
      <c r="G1131" s="38" t="s">
        <v>4189</v>
      </c>
    </row>
    <row r="1132">
      <c r="G1132" s="38" t="s">
        <v>4189</v>
      </c>
    </row>
    <row r="1133">
      <c r="G1133" s="38" t="s">
        <v>4189</v>
      </c>
    </row>
    <row r="1134">
      <c r="G1134" s="38" t="s">
        <v>4189</v>
      </c>
    </row>
    <row r="1135">
      <c r="G1135" s="38" t="s">
        <v>4189</v>
      </c>
    </row>
    <row r="1136">
      <c r="G1136" s="38" t="s">
        <v>4189</v>
      </c>
    </row>
    <row r="1137">
      <c r="G1137" s="38" t="s">
        <v>4189</v>
      </c>
    </row>
    <row r="1138">
      <c r="G1138" s="38" t="s">
        <v>4189</v>
      </c>
    </row>
    <row r="1139">
      <c r="G1139" s="38" t="s">
        <v>4189</v>
      </c>
    </row>
    <row r="1140">
      <c r="G1140" s="38" t="s">
        <v>4189</v>
      </c>
    </row>
    <row r="1141">
      <c r="G1141" s="38" t="s">
        <v>4189</v>
      </c>
    </row>
    <row r="1142">
      <c r="G1142" s="38" t="s">
        <v>4189</v>
      </c>
    </row>
    <row r="1143">
      <c r="G1143" s="38" t="s">
        <v>4189</v>
      </c>
    </row>
    <row r="1144">
      <c r="G1144" s="38" t="s">
        <v>4189</v>
      </c>
    </row>
    <row r="1145">
      <c r="G1145" s="38" t="s">
        <v>4189</v>
      </c>
    </row>
    <row r="1146">
      <c r="G1146" s="38" t="s">
        <v>4189</v>
      </c>
    </row>
    <row r="1147">
      <c r="G1147" s="38" t="s">
        <v>4189</v>
      </c>
    </row>
    <row r="1148">
      <c r="G1148" s="38" t="s">
        <v>4189</v>
      </c>
    </row>
    <row r="1149">
      <c r="G1149" s="38" t="s">
        <v>4189</v>
      </c>
    </row>
    <row r="1150">
      <c r="G1150" s="38" t="s">
        <v>4189</v>
      </c>
    </row>
    <row r="1151">
      <c r="G1151" s="38" t="s">
        <v>4189</v>
      </c>
    </row>
    <row r="1152">
      <c r="G1152" s="38" t="s">
        <v>4189</v>
      </c>
    </row>
    <row r="1153">
      <c r="G1153" s="38" t="s">
        <v>4189</v>
      </c>
    </row>
    <row r="1154">
      <c r="G1154" s="38" t="s">
        <v>4189</v>
      </c>
    </row>
    <row r="1155">
      <c r="G1155" s="38" t="s">
        <v>4189</v>
      </c>
    </row>
    <row r="1156">
      <c r="G1156" s="38" t="s">
        <v>4189</v>
      </c>
    </row>
    <row r="1157">
      <c r="G1157" s="38" t="s">
        <v>4189</v>
      </c>
    </row>
    <row r="1158">
      <c r="G1158" s="38" t="s">
        <v>4189</v>
      </c>
    </row>
    <row r="1159">
      <c r="G1159" s="38" t="s">
        <v>4189</v>
      </c>
    </row>
    <row r="1160">
      <c r="G1160" s="38" t="s">
        <v>4189</v>
      </c>
    </row>
    <row r="1161">
      <c r="G1161" s="38" t="s">
        <v>4189</v>
      </c>
    </row>
    <row r="1162">
      <c r="G1162" s="38" t="s">
        <v>4189</v>
      </c>
    </row>
    <row r="1163">
      <c r="G1163" s="38" t="s">
        <v>4189</v>
      </c>
    </row>
    <row r="1164">
      <c r="G1164" s="38" t="s">
        <v>4189</v>
      </c>
    </row>
    <row r="1165">
      <c r="G1165" s="38" t="s">
        <v>4189</v>
      </c>
    </row>
    <row r="1166">
      <c r="G1166" s="38" t="s">
        <v>4189</v>
      </c>
    </row>
    <row r="1167">
      <c r="G1167" s="38" t="s">
        <v>4189</v>
      </c>
    </row>
    <row r="1168">
      <c r="G1168" s="38" t="s">
        <v>4189</v>
      </c>
    </row>
    <row r="1169">
      <c r="G1169" s="38" t="s">
        <v>4189</v>
      </c>
    </row>
    <row r="1170">
      <c r="G1170" s="38" t="s">
        <v>4189</v>
      </c>
    </row>
    <row r="1171">
      <c r="G1171" s="38" t="s">
        <v>4189</v>
      </c>
    </row>
    <row r="1172">
      <c r="G1172" s="38" t="s">
        <v>4189</v>
      </c>
    </row>
    <row r="1173">
      <c r="G1173" s="38" t="s">
        <v>4189</v>
      </c>
    </row>
    <row r="1174">
      <c r="G1174" s="38" t="s">
        <v>4189</v>
      </c>
    </row>
    <row r="1175">
      <c r="G1175" s="38" t="s">
        <v>4189</v>
      </c>
    </row>
    <row r="1176">
      <c r="G1176" s="38" t="s">
        <v>4189</v>
      </c>
    </row>
    <row r="1177">
      <c r="G1177" s="38" t="s">
        <v>4189</v>
      </c>
    </row>
    <row r="1178">
      <c r="G1178" s="38" t="s">
        <v>4189</v>
      </c>
    </row>
    <row r="1179">
      <c r="G1179" s="38" t="s">
        <v>4189</v>
      </c>
    </row>
    <row r="1180">
      <c r="G1180" s="38" t="s">
        <v>4189</v>
      </c>
    </row>
    <row r="1181">
      <c r="G1181" s="38" t="s">
        <v>4189</v>
      </c>
    </row>
    <row r="1182">
      <c r="G1182" s="38" t="s">
        <v>4189</v>
      </c>
    </row>
    <row r="1183">
      <c r="G1183" s="38" t="s">
        <v>4189</v>
      </c>
    </row>
    <row r="1184">
      <c r="G1184" s="38" t="s">
        <v>4189</v>
      </c>
    </row>
    <row r="1185">
      <c r="G1185" s="38" t="s">
        <v>4189</v>
      </c>
    </row>
    <row r="1186">
      <c r="G1186" s="38" t="s">
        <v>4189</v>
      </c>
    </row>
    <row r="1187">
      <c r="G1187" s="38" t="s">
        <v>4189</v>
      </c>
    </row>
    <row r="1188">
      <c r="G1188" s="38" t="s">
        <v>4189</v>
      </c>
    </row>
    <row r="1189">
      <c r="G1189" s="38" t="s">
        <v>4189</v>
      </c>
    </row>
    <row r="1190">
      <c r="G1190" s="38" t="s">
        <v>4189</v>
      </c>
    </row>
    <row r="1191">
      <c r="G1191" s="38" t="s">
        <v>4189</v>
      </c>
    </row>
    <row r="1192">
      <c r="G1192" s="38" t="s">
        <v>4189</v>
      </c>
    </row>
    <row r="1193">
      <c r="G1193" s="38" t="s">
        <v>4189</v>
      </c>
    </row>
    <row r="1194">
      <c r="G1194" s="38" t="s">
        <v>4189</v>
      </c>
    </row>
    <row r="1195">
      <c r="G1195" s="38" t="s">
        <v>4189</v>
      </c>
    </row>
    <row r="1196">
      <c r="G1196" s="38" t="s">
        <v>4189</v>
      </c>
    </row>
    <row r="1197">
      <c r="G1197" s="38" t="s">
        <v>4189</v>
      </c>
    </row>
    <row r="1198">
      <c r="G1198" s="38" t="s">
        <v>4189</v>
      </c>
    </row>
    <row r="1199">
      <c r="G1199" s="38" t="s">
        <v>4189</v>
      </c>
    </row>
    <row r="1200">
      <c r="G1200" s="38" t="s">
        <v>4189</v>
      </c>
    </row>
    <row r="1201">
      <c r="G1201" s="38" t="s">
        <v>4189</v>
      </c>
    </row>
    <row r="1202">
      <c r="G1202" s="38" t="s">
        <v>4189</v>
      </c>
    </row>
    <row r="1203">
      <c r="G1203" s="38" t="s">
        <v>4189</v>
      </c>
    </row>
    <row r="1204">
      <c r="G1204" s="38" t="s">
        <v>4189</v>
      </c>
    </row>
    <row r="1205">
      <c r="G1205" s="38" t="s">
        <v>4189</v>
      </c>
    </row>
    <row r="1206">
      <c r="G1206" s="38" t="s">
        <v>4189</v>
      </c>
    </row>
    <row r="1207">
      <c r="G1207" s="38" t="s">
        <v>4189</v>
      </c>
    </row>
    <row r="1208">
      <c r="G1208" s="38" t="s">
        <v>4189</v>
      </c>
    </row>
    <row r="1209">
      <c r="G1209" s="38" t="s">
        <v>4189</v>
      </c>
    </row>
    <row r="1210">
      <c r="G1210" s="38" t="s">
        <v>4189</v>
      </c>
    </row>
    <row r="1211">
      <c r="G1211" s="38" t="s">
        <v>4189</v>
      </c>
    </row>
    <row r="1212">
      <c r="G1212" s="38" t="s">
        <v>4189</v>
      </c>
    </row>
    <row r="1213">
      <c r="G1213" s="38" t="s">
        <v>4189</v>
      </c>
    </row>
    <row r="1214">
      <c r="G1214" s="38" t="s">
        <v>4189</v>
      </c>
    </row>
    <row r="1215">
      <c r="G1215" s="38" t="s">
        <v>4189</v>
      </c>
    </row>
    <row r="1216">
      <c r="G1216" s="38" t="s">
        <v>4189</v>
      </c>
    </row>
    <row r="1217">
      <c r="G1217" s="38" t="s">
        <v>4189</v>
      </c>
    </row>
    <row r="1218">
      <c r="G1218" s="38" t="s">
        <v>4189</v>
      </c>
    </row>
    <row r="1219">
      <c r="G1219" s="38" t="s">
        <v>4189</v>
      </c>
    </row>
    <row r="1220">
      <c r="G1220" s="38" t="s">
        <v>4189</v>
      </c>
    </row>
    <row r="1221">
      <c r="G1221" s="38" t="s">
        <v>4189</v>
      </c>
    </row>
    <row r="1222">
      <c r="G1222" s="38" t="s">
        <v>4189</v>
      </c>
    </row>
    <row r="1223">
      <c r="G1223" s="38" t="s">
        <v>4189</v>
      </c>
    </row>
    <row r="1224">
      <c r="G1224" s="38" t="s">
        <v>4189</v>
      </c>
    </row>
    <row r="1225">
      <c r="G1225" s="38" t="s">
        <v>4189</v>
      </c>
    </row>
    <row r="1226">
      <c r="G1226" s="38" t="s">
        <v>4189</v>
      </c>
    </row>
    <row r="1227">
      <c r="G1227" s="38" t="s">
        <v>4189</v>
      </c>
    </row>
    <row r="1228">
      <c r="G1228" s="38" t="s">
        <v>4189</v>
      </c>
    </row>
    <row r="1229">
      <c r="G1229" s="38" t="s">
        <v>4189</v>
      </c>
    </row>
    <row r="1230">
      <c r="G1230" s="38" t="s">
        <v>4189</v>
      </c>
    </row>
    <row r="1231">
      <c r="G1231" s="38" t="s">
        <v>4189</v>
      </c>
    </row>
    <row r="1232">
      <c r="G1232" s="38" t="s">
        <v>4189</v>
      </c>
    </row>
    <row r="1233">
      <c r="G1233" s="38" t="s">
        <v>4189</v>
      </c>
    </row>
    <row r="1234">
      <c r="G1234" s="38" t="s">
        <v>4189</v>
      </c>
    </row>
    <row r="1235">
      <c r="G1235" s="38" t="s">
        <v>4189</v>
      </c>
    </row>
    <row r="1236">
      <c r="G1236" s="38" t="s">
        <v>4189</v>
      </c>
    </row>
    <row r="1237">
      <c r="G1237" s="38" t="s">
        <v>4189</v>
      </c>
    </row>
    <row r="1238">
      <c r="G1238" s="38" t="s">
        <v>4189</v>
      </c>
    </row>
    <row r="1239">
      <c r="G1239" s="38" t="s">
        <v>4189</v>
      </c>
    </row>
    <row r="1240">
      <c r="G1240" s="38" t="s">
        <v>4189</v>
      </c>
    </row>
    <row r="1241">
      <c r="G1241" s="38" t="s">
        <v>4189</v>
      </c>
    </row>
    <row r="1242">
      <c r="G1242" s="38" t="s">
        <v>4189</v>
      </c>
    </row>
    <row r="1243">
      <c r="G1243" s="38" t="s">
        <v>4189</v>
      </c>
    </row>
    <row r="1244">
      <c r="G1244" s="38" t="s">
        <v>4189</v>
      </c>
    </row>
    <row r="1245">
      <c r="G1245" s="38" t="s">
        <v>4189</v>
      </c>
    </row>
    <row r="1246">
      <c r="G1246" s="38" t="s">
        <v>4189</v>
      </c>
    </row>
    <row r="1247">
      <c r="G1247" s="38" t="s">
        <v>4189</v>
      </c>
    </row>
    <row r="1248">
      <c r="G1248" s="38" t="s">
        <v>4189</v>
      </c>
    </row>
    <row r="1249">
      <c r="G1249" s="38" t="s">
        <v>4189</v>
      </c>
    </row>
    <row r="1250">
      <c r="G1250" s="38" t="s">
        <v>4189</v>
      </c>
    </row>
    <row r="1251">
      <c r="G1251" s="38" t="s">
        <v>4189</v>
      </c>
    </row>
    <row r="1252">
      <c r="G1252" s="38" t="s">
        <v>4189</v>
      </c>
    </row>
    <row r="1253">
      <c r="G1253" s="38" t="s">
        <v>4189</v>
      </c>
    </row>
    <row r="1254">
      <c r="G1254" s="38" t="s">
        <v>4189</v>
      </c>
    </row>
    <row r="1255">
      <c r="G1255" s="38" t="s">
        <v>4189</v>
      </c>
    </row>
    <row r="1256">
      <c r="G1256" s="38" t="s">
        <v>4189</v>
      </c>
    </row>
    <row r="1257">
      <c r="G1257" s="38" t="s">
        <v>4189</v>
      </c>
    </row>
    <row r="1258">
      <c r="G1258" s="38" t="s">
        <v>4189</v>
      </c>
    </row>
    <row r="1259">
      <c r="G1259" s="38" t="s">
        <v>4189</v>
      </c>
    </row>
    <row r="1260">
      <c r="G1260" s="38" t="s">
        <v>4189</v>
      </c>
    </row>
    <row r="1261">
      <c r="G1261" s="38" t="s">
        <v>4189</v>
      </c>
    </row>
    <row r="1262">
      <c r="G1262" s="38" t="s">
        <v>4189</v>
      </c>
    </row>
    <row r="1263">
      <c r="G1263" s="38" t="s">
        <v>4189</v>
      </c>
    </row>
    <row r="1264">
      <c r="G1264" s="38" t="s">
        <v>4189</v>
      </c>
    </row>
    <row r="1265">
      <c r="G1265" s="38" t="s">
        <v>4189</v>
      </c>
    </row>
    <row r="1266">
      <c r="G1266" s="38" t="s">
        <v>4189</v>
      </c>
    </row>
    <row r="1267">
      <c r="G1267" s="38" t="s">
        <v>4189</v>
      </c>
    </row>
    <row r="1268">
      <c r="G1268" s="38" t="s">
        <v>4189</v>
      </c>
    </row>
    <row r="1269">
      <c r="G1269" s="38" t="s">
        <v>4189</v>
      </c>
    </row>
    <row r="1270">
      <c r="G1270" s="38" t="s">
        <v>4189</v>
      </c>
    </row>
    <row r="1271">
      <c r="G1271" s="38" t="s">
        <v>4189</v>
      </c>
    </row>
    <row r="1272">
      <c r="G1272" s="38" t="s">
        <v>4189</v>
      </c>
    </row>
    <row r="1273">
      <c r="G1273" s="38" t="s">
        <v>4189</v>
      </c>
    </row>
    <row r="1274">
      <c r="G1274" s="38" t="s">
        <v>4189</v>
      </c>
    </row>
    <row r="1275">
      <c r="G1275" s="38" t="s">
        <v>4189</v>
      </c>
    </row>
    <row r="1276">
      <c r="G1276" s="38" t="s">
        <v>4189</v>
      </c>
    </row>
    <row r="1277">
      <c r="G1277" s="38" t="s">
        <v>4189</v>
      </c>
    </row>
    <row r="1278">
      <c r="G1278" s="38" t="s">
        <v>4189</v>
      </c>
    </row>
    <row r="1279">
      <c r="G1279" s="38" t="s">
        <v>4189</v>
      </c>
    </row>
    <row r="1280">
      <c r="G1280" s="38" t="s">
        <v>4189</v>
      </c>
    </row>
    <row r="1281">
      <c r="G1281" s="38" t="s">
        <v>4189</v>
      </c>
    </row>
    <row r="1282">
      <c r="G1282" s="38" t="s">
        <v>4189</v>
      </c>
    </row>
    <row r="1283">
      <c r="G1283" s="38" t="s">
        <v>4189</v>
      </c>
    </row>
    <row r="1284">
      <c r="G1284" s="38" t="s">
        <v>4189</v>
      </c>
    </row>
    <row r="1285">
      <c r="G1285" s="38" t="s">
        <v>4189</v>
      </c>
    </row>
    <row r="1286">
      <c r="G1286" s="38" t="s">
        <v>4189</v>
      </c>
    </row>
    <row r="1287">
      <c r="G1287" s="38" t="s">
        <v>4189</v>
      </c>
    </row>
    <row r="1288">
      <c r="G1288" s="38" t="s">
        <v>4189</v>
      </c>
    </row>
    <row r="1289">
      <c r="G1289" s="38" t="s">
        <v>4189</v>
      </c>
    </row>
    <row r="1290">
      <c r="G1290" s="38" t="s">
        <v>4189</v>
      </c>
    </row>
    <row r="1291">
      <c r="G1291" s="38" t="s">
        <v>4189</v>
      </c>
    </row>
    <row r="1292">
      <c r="G1292" s="38" t="s">
        <v>4189</v>
      </c>
    </row>
    <row r="1293">
      <c r="G1293" s="38" t="s">
        <v>4189</v>
      </c>
    </row>
    <row r="1294">
      <c r="G1294" s="38" t="s">
        <v>4189</v>
      </c>
    </row>
    <row r="1295">
      <c r="G1295" s="38" t="s">
        <v>4189</v>
      </c>
    </row>
    <row r="1296">
      <c r="G1296" s="38" t="s">
        <v>4189</v>
      </c>
    </row>
    <row r="1297">
      <c r="G1297" s="38" t="s">
        <v>4189</v>
      </c>
    </row>
    <row r="1298">
      <c r="G1298" s="38" t="s">
        <v>4189</v>
      </c>
    </row>
    <row r="1299">
      <c r="G1299" s="38" t="s">
        <v>4189</v>
      </c>
    </row>
    <row r="1300">
      <c r="G1300" s="38" t="s">
        <v>4189</v>
      </c>
    </row>
    <row r="1301">
      <c r="G1301" s="38" t="s">
        <v>4189</v>
      </c>
    </row>
    <row r="1302">
      <c r="G1302" s="38" t="s">
        <v>4189</v>
      </c>
    </row>
    <row r="1303">
      <c r="G1303" s="38" t="s">
        <v>4189</v>
      </c>
    </row>
    <row r="1304">
      <c r="G1304" s="38" t="s">
        <v>4189</v>
      </c>
    </row>
    <row r="1305">
      <c r="G1305" s="38" t="s">
        <v>4189</v>
      </c>
    </row>
    <row r="1306">
      <c r="G1306" s="38" t="s">
        <v>4189</v>
      </c>
    </row>
    <row r="1307">
      <c r="G1307" s="38" t="s">
        <v>4189</v>
      </c>
    </row>
    <row r="1308">
      <c r="G1308" s="38" t="s">
        <v>4189</v>
      </c>
    </row>
    <row r="1309">
      <c r="G1309" s="38" t="s">
        <v>4189</v>
      </c>
    </row>
    <row r="1310">
      <c r="G1310" s="38" t="s">
        <v>4189</v>
      </c>
    </row>
    <row r="1311">
      <c r="G1311" s="38" t="s">
        <v>4189</v>
      </c>
    </row>
    <row r="1312">
      <c r="G1312" s="38" t="s">
        <v>4189</v>
      </c>
    </row>
    <row r="1313">
      <c r="G1313" s="38" t="s">
        <v>4189</v>
      </c>
    </row>
    <row r="1314">
      <c r="G1314" s="38" t="s">
        <v>4189</v>
      </c>
    </row>
    <row r="1315">
      <c r="G1315" s="38" t="s">
        <v>4189</v>
      </c>
    </row>
    <row r="1316">
      <c r="G1316" s="38" t="s">
        <v>4189</v>
      </c>
    </row>
    <row r="1317">
      <c r="G1317" s="38" t="s">
        <v>4189</v>
      </c>
    </row>
    <row r="1318">
      <c r="G1318" s="38" t="s">
        <v>4189</v>
      </c>
    </row>
    <row r="1319">
      <c r="G1319" s="38" t="s">
        <v>4189</v>
      </c>
    </row>
    <row r="1320">
      <c r="G1320" s="38" t="s">
        <v>4189</v>
      </c>
    </row>
    <row r="1321">
      <c r="G1321" s="38" t="s">
        <v>4189</v>
      </c>
    </row>
    <row r="1322">
      <c r="G1322" s="38" t="s">
        <v>4189</v>
      </c>
    </row>
    <row r="1323">
      <c r="G1323" s="38" t="s">
        <v>4189</v>
      </c>
    </row>
    <row r="1324">
      <c r="G1324" s="38" t="s">
        <v>4189</v>
      </c>
    </row>
    <row r="1325">
      <c r="G1325" s="38" t="s">
        <v>4189</v>
      </c>
    </row>
    <row r="1326">
      <c r="G1326" s="38" t="s">
        <v>4189</v>
      </c>
    </row>
    <row r="1327">
      <c r="G1327" s="38" t="s">
        <v>4189</v>
      </c>
    </row>
    <row r="1328">
      <c r="G1328" s="38" t="s">
        <v>4189</v>
      </c>
    </row>
    <row r="1329">
      <c r="G1329" s="38" t="s">
        <v>4189</v>
      </c>
    </row>
    <row r="1330">
      <c r="G1330" s="38" t="s">
        <v>4189</v>
      </c>
    </row>
    <row r="1331">
      <c r="G1331" s="38" t="s">
        <v>4189</v>
      </c>
    </row>
    <row r="1332">
      <c r="G1332" s="38" t="s">
        <v>4189</v>
      </c>
    </row>
    <row r="1333">
      <c r="G1333" s="38" t="s">
        <v>4189</v>
      </c>
    </row>
    <row r="1334">
      <c r="G1334" s="38" t="s">
        <v>4189</v>
      </c>
    </row>
    <row r="1335">
      <c r="G1335" s="38" t="s">
        <v>4189</v>
      </c>
    </row>
    <row r="1336">
      <c r="G1336" s="38" t="s">
        <v>4189</v>
      </c>
    </row>
    <row r="1337">
      <c r="G1337" s="38" t="s">
        <v>4189</v>
      </c>
    </row>
    <row r="1338">
      <c r="G1338" s="38" t="s">
        <v>4189</v>
      </c>
    </row>
    <row r="1339">
      <c r="G1339" s="38" t="s">
        <v>4189</v>
      </c>
    </row>
    <row r="1340">
      <c r="G1340" s="38" t="s">
        <v>4189</v>
      </c>
    </row>
    <row r="1341">
      <c r="G1341" s="38" t="s">
        <v>4189</v>
      </c>
    </row>
    <row r="1342">
      <c r="G1342" s="38" t="s">
        <v>4189</v>
      </c>
    </row>
    <row r="1343">
      <c r="G1343" s="38" t="s">
        <v>4189</v>
      </c>
    </row>
    <row r="1344">
      <c r="G1344" s="38" t="s">
        <v>4189</v>
      </c>
    </row>
    <row r="1345">
      <c r="G1345" s="38" t="s">
        <v>4189</v>
      </c>
    </row>
    <row r="1346">
      <c r="G1346" s="38" t="s">
        <v>4189</v>
      </c>
    </row>
    <row r="1347">
      <c r="G1347" s="38" t="s">
        <v>4189</v>
      </c>
    </row>
    <row r="1348">
      <c r="G1348" s="38" t="s">
        <v>4189</v>
      </c>
    </row>
    <row r="1349">
      <c r="G1349" s="38" t="s">
        <v>4189</v>
      </c>
    </row>
    <row r="1350">
      <c r="G1350" s="38" t="s">
        <v>4189</v>
      </c>
    </row>
    <row r="1351">
      <c r="G1351" s="38" t="s">
        <v>4189</v>
      </c>
    </row>
    <row r="1352">
      <c r="G1352" s="38" t="s">
        <v>4189</v>
      </c>
    </row>
    <row r="1353">
      <c r="G1353" s="38" t="s">
        <v>4189</v>
      </c>
    </row>
    <row r="1354">
      <c r="G1354" s="38" t="s">
        <v>4189</v>
      </c>
    </row>
    <row r="1355">
      <c r="G1355" s="38" t="s">
        <v>4189</v>
      </c>
    </row>
    <row r="1356">
      <c r="G1356" s="38" t="s">
        <v>4189</v>
      </c>
    </row>
    <row r="1357">
      <c r="G1357" s="38" t="s">
        <v>4189</v>
      </c>
    </row>
    <row r="1358">
      <c r="G1358" s="38" t="s">
        <v>4189</v>
      </c>
    </row>
    <row r="1359">
      <c r="G1359" s="38" t="s">
        <v>4189</v>
      </c>
    </row>
    <row r="1360">
      <c r="G1360" s="38" t="s">
        <v>4189</v>
      </c>
    </row>
    <row r="1361">
      <c r="G1361" s="38" t="s">
        <v>4189</v>
      </c>
    </row>
    <row r="1362">
      <c r="G1362" s="38" t="s">
        <v>4189</v>
      </c>
    </row>
    <row r="1363">
      <c r="G1363" s="38" t="s">
        <v>4189</v>
      </c>
    </row>
    <row r="1364">
      <c r="G1364" s="38" t="s">
        <v>4189</v>
      </c>
    </row>
    <row r="1365">
      <c r="G1365" s="38" t="s">
        <v>4189</v>
      </c>
    </row>
    <row r="1366">
      <c r="G1366" s="38" t="s">
        <v>4189</v>
      </c>
    </row>
    <row r="1367">
      <c r="G1367" s="38" t="s">
        <v>4189</v>
      </c>
    </row>
    <row r="1368">
      <c r="G1368" s="38" t="s">
        <v>4189</v>
      </c>
    </row>
    <row r="1369">
      <c r="G1369" s="38" t="s">
        <v>4189</v>
      </c>
    </row>
    <row r="1370">
      <c r="G1370" s="38" t="s">
        <v>4189</v>
      </c>
    </row>
    <row r="1371">
      <c r="G1371" s="38" t="s">
        <v>4189</v>
      </c>
    </row>
    <row r="1372">
      <c r="G1372" s="38" t="s">
        <v>4189</v>
      </c>
    </row>
    <row r="1373">
      <c r="G1373" s="38" t="s">
        <v>4189</v>
      </c>
    </row>
    <row r="1374">
      <c r="G1374" s="38" t="s">
        <v>4189</v>
      </c>
    </row>
    <row r="1375">
      <c r="G1375" s="38" t="s">
        <v>4189</v>
      </c>
    </row>
    <row r="1376">
      <c r="G1376" s="38" t="s">
        <v>4189</v>
      </c>
    </row>
    <row r="1377">
      <c r="G1377" s="38" t="s">
        <v>4189</v>
      </c>
    </row>
    <row r="1378">
      <c r="G1378" s="38" t="s">
        <v>4189</v>
      </c>
    </row>
    <row r="1379">
      <c r="G1379" s="38" t="s">
        <v>4189</v>
      </c>
    </row>
    <row r="1380">
      <c r="G1380" s="38" t="s">
        <v>4189</v>
      </c>
    </row>
    <row r="1381">
      <c r="G1381" s="38" t="s">
        <v>4189</v>
      </c>
    </row>
    <row r="1382">
      <c r="G1382" s="38" t="s">
        <v>4189</v>
      </c>
    </row>
    <row r="1383">
      <c r="G1383" s="38" t="s">
        <v>4189</v>
      </c>
    </row>
    <row r="1384">
      <c r="G1384" s="38" t="s">
        <v>4189</v>
      </c>
    </row>
    <row r="1385">
      <c r="G1385" s="38" t="s">
        <v>4189</v>
      </c>
    </row>
    <row r="1386">
      <c r="G1386" s="38" t="s">
        <v>4189</v>
      </c>
    </row>
    <row r="1387">
      <c r="G1387" s="38" t="s">
        <v>4189</v>
      </c>
    </row>
    <row r="1388">
      <c r="G1388" s="38" t="s">
        <v>4189</v>
      </c>
    </row>
    <row r="1389">
      <c r="G1389" s="38" t="s">
        <v>4189</v>
      </c>
    </row>
    <row r="1390">
      <c r="G1390" s="38" t="s">
        <v>4189</v>
      </c>
    </row>
    <row r="1391">
      <c r="G1391" s="38" t="s">
        <v>4189</v>
      </c>
    </row>
    <row r="1392">
      <c r="G1392" s="38" t="s">
        <v>4189</v>
      </c>
    </row>
    <row r="1393">
      <c r="G1393" s="38" t="s">
        <v>4189</v>
      </c>
    </row>
    <row r="1394">
      <c r="G1394" s="38" t="s">
        <v>4189</v>
      </c>
    </row>
    <row r="1395">
      <c r="G1395" s="38" t="s">
        <v>4189</v>
      </c>
    </row>
    <row r="1396">
      <c r="G1396" s="38" t="s">
        <v>4189</v>
      </c>
    </row>
    <row r="1397">
      <c r="G1397" s="38" t="s">
        <v>4189</v>
      </c>
    </row>
    <row r="1398">
      <c r="G1398" s="38" t="s">
        <v>4189</v>
      </c>
    </row>
    <row r="1399">
      <c r="G1399" s="38" t="s">
        <v>4189</v>
      </c>
    </row>
    <row r="1400">
      <c r="G1400" s="38" t="s">
        <v>4189</v>
      </c>
    </row>
    <row r="1401">
      <c r="G1401" s="38" t="s">
        <v>4189</v>
      </c>
    </row>
    <row r="1402">
      <c r="G1402" s="38" t="s">
        <v>4189</v>
      </c>
    </row>
    <row r="1403">
      <c r="G1403" s="38" t="s">
        <v>4189</v>
      </c>
    </row>
    <row r="1404">
      <c r="G1404" s="38" t="s">
        <v>4189</v>
      </c>
    </row>
    <row r="1405">
      <c r="G1405" s="38" t="s">
        <v>4189</v>
      </c>
    </row>
    <row r="1406">
      <c r="G1406" s="38" t="s">
        <v>4189</v>
      </c>
    </row>
    <row r="1407">
      <c r="G1407" s="38" t="s">
        <v>4189</v>
      </c>
    </row>
    <row r="1408">
      <c r="G1408" s="38" t="s">
        <v>4189</v>
      </c>
    </row>
    <row r="1409">
      <c r="G1409" s="38" t="s">
        <v>4189</v>
      </c>
    </row>
    <row r="1410">
      <c r="G1410" s="38" t="s">
        <v>4189</v>
      </c>
    </row>
    <row r="1411">
      <c r="G1411" s="38" t="s">
        <v>4189</v>
      </c>
    </row>
    <row r="1412">
      <c r="G1412" s="38" t="s">
        <v>4189</v>
      </c>
    </row>
    <row r="1413">
      <c r="G1413" s="38" t="s">
        <v>4189</v>
      </c>
    </row>
    <row r="1414">
      <c r="G1414" s="38" t="s">
        <v>4189</v>
      </c>
    </row>
    <row r="1415">
      <c r="G1415" s="38" t="s">
        <v>4189</v>
      </c>
    </row>
    <row r="1416">
      <c r="G1416" s="38" t="s">
        <v>4189</v>
      </c>
    </row>
    <row r="1417">
      <c r="G1417" s="38" t="s">
        <v>4189</v>
      </c>
    </row>
    <row r="1418">
      <c r="G1418" s="38" t="s">
        <v>4189</v>
      </c>
    </row>
    <row r="1419">
      <c r="G1419" s="38" t="s">
        <v>4189</v>
      </c>
    </row>
    <row r="1420">
      <c r="G1420" s="38" t="s">
        <v>4189</v>
      </c>
    </row>
    <row r="1421">
      <c r="G1421" s="38" t="s">
        <v>4189</v>
      </c>
    </row>
    <row r="1422">
      <c r="G1422" s="38" t="s">
        <v>4189</v>
      </c>
    </row>
    <row r="1423">
      <c r="G1423" s="38" t="s">
        <v>4189</v>
      </c>
    </row>
    <row r="1424">
      <c r="G1424" s="38" t="s">
        <v>4189</v>
      </c>
    </row>
    <row r="1425">
      <c r="G1425" s="38" t="s">
        <v>4189</v>
      </c>
    </row>
    <row r="1426">
      <c r="G1426" s="38" t="s">
        <v>4189</v>
      </c>
    </row>
    <row r="1427">
      <c r="G1427" s="38" t="s">
        <v>4189</v>
      </c>
    </row>
    <row r="1428">
      <c r="G1428" s="38" t="s">
        <v>4189</v>
      </c>
    </row>
    <row r="1429">
      <c r="G1429" s="38" t="s">
        <v>4189</v>
      </c>
    </row>
    <row r="1430">
      <c r="G1430" s="38" t="s">
        <v>4189</v>
      </c>
    </row>
    <row r="1431">
      <c r="G1431" s="38" t="s">
        <v>4189</v>
      </c>
    </row>
    <row r="1432">
      <c r="G1432" s="38" t="s">
        <v>4189</v>
      </c>
    </row>
    <row r="1433">
      <c r="G1433" s="38" t="s">
        <v>4189</v>
      </c>
    </row>
    <row r="1434">
      <c r="G1434" s="38" t="s">
        <v>4189</v>
      </c>
    </row>
    <row r="1435">
      <c r="G1435" s="38" t="s">
        <v>4189</v>
      </c>
    </row>
    <row r="1436">
      <c r="G1436" s="38" t="s">
        <v>4189</v>
      </c>
    </row>
    <row r="1437">
      <c r="G1437" s="38" t="s">
        <v>4189</v>
      </c>
    </row>
    <row r="1438">
      <c r="G1438" s="38" t="s">
        <v>4189</v>
      </c>
    </row>
    <row r="1439">
      <c r="G1439" s="38" t="s">
        <v>4189</v>
      </c>
    </row>
    <row r="1440">
      <c r="G1440" s="38" t="s">
        <v>4189</v>
      </c>
    </row>
    <row r="1441">
      <c r="G1441" s="38" t="s">
        <v>4189</v>
      </c>
    </row>
    <row r="1442">
      <c r="G1442" s="38" t="s">
        <v>4189</v>
      </c>
    </row>
    <row r="1443">
      <c r="G1443" s="38" t="s">
        <v>4189</v>
      </c>
    </row>
    <row r="1444">
      <c r="G1444" s="38" t="s">
        <v>4189</v>
      </c>
    </row>
    <row r="1445">
      <c r="G1445" s="38" t="s">
        <v>4189</v>
      </c>
    </row>
    <row r="1446">
      <c r="G1446" s="38" t="s">
        <v>4189</v>
      </c>
    </row>
    <row r="1447">
      <c r="G1447" s="38" t="s">
        <v>4189</v>
      </c>
    </row>
    <row r="1448">
      <c r="G1448" s="38" t="s">
        <v>4189</v>
      </c>
    </row>
    <row r="1449">
      <c r="G1449" s="38" t="s">
        <v>4189</v>
      </c>
    </row>
    <row r="1450">
      <c r="G1450" s="38" t="s">
        <v>4189</v>
      </c>
    </row>
    <row r="1451">
      <c r="G1451" s="38" t="s">
        <v>4189</v>
      </c>
    </row>
    <row r="1452">
      <c r="G1452" s="38" t="s">
        <v>4189</v>
      </c>
    </row>
    <row r="1453">
      <c r="G1453" s="38" t="s">
        <v>4189</v>
      </c>
    </row>
    <row r="1454">
      <c r="G1454" s="38" t="s">
        <v>4189</v>
      </c>
    </row>
    <row r="1455">
      <c r="G1455" s="38" t="s">
        <v>4189</v>
      </c>
    </row>
    <row r="1456">
      <c r="G1456" s="38" t="s">
        <v>4189</v>
      </c>
    </row>
    <row r="1457">
      <c r="G1457" s="38" t="s">
        <v>4189</v>
      </c>
    </row>
    <row r="1458">
      <c r="G1458" s="38" t="s">
        <v>4189</v>
      </c>
    </row>
    <row r="1459">
      <c r="G1459" s="38" t="s">
        <v>4189</v>
      </c>
    </row>
    <row r="1460">
      <c r="G1460" s="38" t="s">
        <v>4189</v>
      </c>
    </row>
    <row r="1461">
      <c r="G1461" s="38" t="s">
        <v>4189</v>
      </c>
    </row>
    <row r="1462">
      <c r="G1462" s="38" t="s">
        <v>4189</v>
      </c>
    </row>
    <row r="1463">
      <c r="G1463" s="38" t="s">
        <v>4189</v>
      </c>
    </row>
    <row r="1464">
      <c r="G1464" s="38" t="s">
        <v>4189</v>
      </c>
    </row>
    <row r="1465">
      <c r="G1465" s="38" t="s">
        <v>4189</v>
      </c>
    </row>
    <row r="1466">
      <c r="G1466" s="38" t="s">
        <v>4189</v>
      </c>
    </row>
    <row r="1467">
      <c r="G1467" s="38" t="s">
        <v>4189</v>
      </c>
    </row>
    <row r="1468">
      <c r="G1468" s="38" t="s">
        <v>4189</v>
      </c>
    </row>
    <row r="1469">
      <c r="G1469" s="38" t="s">
        <v>4189</v>
      </c>
    </row>
    <row r="1470">
      <c r="G1470" s="38" t="s">
        <v>4189</v>
      </c>
    </row>
    <row r="1471">
      <c r="G1471" s="38" t="s">
        <v>4189</v>
      </c>
    </row>
    <row r="1472">
      <c r="G1472" s="38" t="s">
        <v>4189</v>
      </c>
    </row>
    <row r="1473">
      <c r="G1473" s="38" t="s">
        <v>4189</v>
      </c>
    </row>
    <row r="1474">
      <c r="G1474" s="38" t="s">
        <v>4189</v>
      </c>
    </row>
    <row r="1475">
      <c r="G1475" s="38" t="s">
        <v>4189</v>
      </c>
    </row>
    <row r="1476">
      <c r="G1476" s="38" t="s">
        <v>4189</v>
      </c>
    </row>
    <row r="1477">
      <c r="G1477" s="38" t="s">
        <v>4189</v>
      </c>
    </row>
    <row r="1478">
      <c r="G1478" s="38" t="s">
        <v>4189</v>
      </c>
    </row>
    <row r="1479">
      <c r="G1479" s="38" t="s">
        <v>4189</v>
      </c>
    </row>
    <row r="1480">
      <c r="G1480" s="38" t="s">
        <v>4189</v>
      </c>
    </row>
    <row r="1481">
      <c r="G1481" s="38" t="s">
        <v>4189</v>
      </c>
    </row>
    <row r="1482">
      <c r="G1482" s="38" t="s">
        <v>4189</v>
      </c>
    </row>
    <row r="1483">
      <c r="G1483" s="38" t="s">
        <v>4189</v>
      </c>
    </row>
    <row r="1484">
      <c r="G1484" s="38" t="s">
        <v>4189</v>
      </c>
    </row>
    <row r="1485">
      <c r="G1485" s="38" t="s">
        <v>4189</v>
      </c>
    </row>
    <row r="1486">
      <c r="G1486" s="38" t="s">
        <v>4189</v>
      </c>
    </row>
    <row r="1487">
      <c r="G1487" s="38" t="s">
        <v>4189</v>
      </c>
    </row>
    <row r="1488">
      <c r="G1488" s="38" t="s">
        <v>4189</v>
      </c>
    </row>
    <row r="1489">
      <c r="G1489" s="38" t="s">
        <v>4189</v>
      </c>
    </row>
    <row r="1490">
      <c r="G1490" s="38" t="s">
        <v>4189</v>
      </c>
    </row>
    <row r="1491">
      <c r="G1491" s="38" t="s">
        <v>4189</v>
      </c>
    </row>
    <row r="1492">
      <c r="G1492" s="38" t="s">
        <v>4189</v>
      </c>
    </row>
    <row r="1493">
      <c r="G1493" s="38" t="s">
        <v>4189</v>
      </c>
    </row>
    <row r="1494">
      <c r="G1494" s="38" t="s">
        <v>4189</v>
      </c>
    </row>
    <row r="1495">
      <c r="G1495" s="38" t="s">
        <v>4189</v>
      </c>
    </row>
    <row r="1496">
      <c r="G1496" s="38" t="s">
        <v>4189</v>
      </c>
    </row>
    <row r="1497">
      <c r="G1497" s="38" t="s">
        <v>4189</v>
      </c>
    </row>
    <row r="1498">
      <c r="G1498" s="38" t="s">
        <v>4189</v>
      </c>
    </row>
    <row r="1499">
      <c r="G1499" s="38" t="s">
        <v>4189</v>
      </c>
    </row>
    <row r="1500">
      <c r="G1500" s="38" t="s">
        <v>4189</v>
      </c>
    </row>
    <row r="1501">
      <c r="G1501" s="38" t="s">
        <v>4189</v>
      </c>
    </row>
    <row r="1502">
      <c r="G1502" s="38" t="s">
        <v>4189</v>
      </c>
    </row>
    <row r="1503">
      <c r="G1503" s="38" t="s">
        <v>4189</v>
      </c>
    </row>
    <row r="1504">
      <c r="G1504" s="38" t="s">
        <v>4189</v>
      </c>
    </row>
    <row r="1505">
      <c r="G1505" s="38" t="s">
        <v>4189</v>
      </c>
    </row>
    <row r="1506">
      <c r="G1506" s="38" t="s">
        <v>4189</v>
      </c>
    </row>
    <row r="1507">
      <c r="G1507" s="38" t="s">
        <v>4189</v>
      </c>
    </row>
    <row r="1508">
      <c r="G1508" s="38" t="s">
        <v>4189</v>
      </c>
    </row>
    <row r="1509">
      <c r="G1509" s="38" t="s">
        <v>4189</v>
      </c>
    </row>
    <row r="1510">
      <c r="G1510" s="38" t="s">
        <v>4189</v>
      </c>
    </row>
    <row r="1511">
      <c r="G1511" s="38" t="s">
        <v>4189</v>
      </c>
    </row>
    <row r="1512">
      <c r="G1512" s="38" t="s">
        <v>4189</v>
      </c>
    </row>
    <row r="1513">
      <c r="G1513" s="38" t="s">
        <v>4189</v>
      </c>
    </row>
    <row r="1514">
      <c r="G1514" s="38" t="s">
        <v>4189</v>
      </c>
    </row>
    <row r="1515">
      <c r="G1515" s="38" t="s">
        <v>4189</v>
      </c>
    </row>
    <row r="1516">
      <c r="G1516" s="38" t="s">
        <v>4189</v>
      </c>
    </row>
    <row r="1517">
      <c r="G1517" s="38" t="s">
        <v>4189</v>
      </c>
    </row>
    <row r="1518">
      <c r="G1518" s="38" t="s">
        <v>4189</v>
      </c>
    </row>
    <row r="1519">
      <c r="G1519" s="38" t="s">
        <v>4189</v>
      </c>
    </row>
    <row r="1520">
      <c r="G1520" s="38" t="s">
        <v>4189</v>
      </c>
    </row>
    <row r="1521">
      <c r="G1521" s="38" t="s">
        <v>4189</v>
      </c>
    </row>
    <row r="1522">
      <c r="G1522" s="38" t="s">
        <v>4189</v>
      </c>
    </row>
    <row r="1523">
      <c r="G1523" s="38" t="s">
        <v>4189</v>
      </c>
    </row>
    <row r="1524">
      <c r="G1524" s="38" t="s">
        <v>4189</v>
      </c>
    </row>
    <row r="1525">
      <c r="G1525" s="38" t="s">
        <v>4189</v>
      </c>
    </row>
    <row r="1526">
      <c r="G1526" s="38" t="s">
        <v>4189</v>
      </c>
    </row>
    <row r="1527">
      <c r="G1527" s="38" t="s">
        <v>4189</v>
      </c>
    </row>
    <row r="1528">
      <c r="G1528" s="38" t="s">
        <v>4189</v>
      </c>
    </row>
    <row r="1529">
      <c r="G1529" s="38" t="s">
        <v>4189</v>
      </c>
    </row>
    <row r="1530">
      <c r="G1530" s="38" t="s">
        <v>4189</v>
      </c>
    </row>
    <row r="1531">
      <c r="G1531" s="38" t="s">
        <v>4189</v>
      </c>
    </row>
    <row r="1532">
      <c r="G1532" s="38" t="s">
        <v>4189</v>
      </c>
    </row>
    <row r="1533">
      <c r="G1533" s="38" t="s">
        <v>4189</v>
      </c>
    </row>
    <row r="1534">
      <c r="G1534" s="38" t="s">
        <v>4189</v>
      </c>
    </row>
    <row r="1535">
      <c r="G1535" s="38" t="s">
        <v>4189</v>
      </c>
    </row>
    <row r="1536">
      <c r="G1536" s="38" t="s">
        <v>4189</v>
      </c>
    </row>
    <row r="1537">
      <c r="G1537" s="38" t="s">
        <v>4189</v>
      </c>
    </row>
    <row r="1538">
      <c r="G1538" s="38" t="s">
        <v>4189</v>
      </c>
    </row>
    <row r="1539">
      <c r="G1539" s="38" t="s">
        <v>4189</v>
      </c>
    </row>
    <row r="1540">
      <c r="G1540" s="38" t="s">
        <v>4189</v>
      </c>
    </row>
    <row r="1541">
      <c r="G1541" s="38" t="s">
        <v>4189</v>
      </c>
    </row>
    <row r="1542">
      <c r="G1542" s="38" t="s">
        <v>4189</v>
      </c>
    </row>
    <row r="1543">
      <c r="G1543" s="38" t="s">
        <v>4189</v>
      </c>
    </row>
    <row r="1544">
      <c r="G1544" s="38" t="s">
        <v>4189</v>
      </c>
    </row>
    <row r="1545">
      <c r="G1545" s="38" t="s">
        <v>4189</v>
      </c>
    </row>
    <row r="1546">
      <c r="G1546" s="38" t="s">
        <v>4189</v>
      </c>
    </row>
    <row r="1547">
      <c r="G1547" s="38" t="s">
        <v>4189</v>
      </c>
    </row>
    <row r="1548">
      <c r="G1548" s="38" t="s">
        <v>4189</v>
      </c>
    </row>
    <row r="1549">
      <c r="G1549" s="38" t="s">
        <v>4189</v>
      </c>
    </row>
    <row r="1550">
      <c r="G1550" s="38" t="s">
        <v>4189</v>
      </c>
    </row>
    <row r="1551">
      <c r="G1551" s="38" t="s">
        <v>4189</v>
      </c>
    </row>
    <row r="1552">
      <c r="G1552" s="38" t="s">
        <v>4189</v>
      </c>
    </row>
    <row r="1553">
      <c r="G1553" s="38" t="s">
        <v>4189</v>
      </c>
    </row>
    <row r="1554">
      <c r="G1554" s="38" t="s">
        <v>4189</v>
      </c>
    </row>
    <row r="1555">
      <c r="G1555" s="38" t="s">
        <v>4189</v>
      </c>
    </row>
    <row r="1556">
      <c r="G1556" s="38" t="s">
        <v>4189</v>
      </c>
    </row>
    <row r="1557">
      <c r="G1557" s="38" t="s">
        <v>4189</v>
      </c>
    </row>
    <row r="1558">
      <c r="G1558" s="38" t="s">
        <v>4189</v>
      </c>
    </row>
    <row r="1559">
      <c r="G1559" s="38" t="s">
        <v>4189</v>
      </c>
    </row>
    <row r="1560">
      <c r="G1560" s="38" t="s">
        <v>4189</v>
      </c>
    </row>
    <row r="1561">
      <c r="G1561" s="38" t="s">
        <v>4189</v>
      </c>
    </row>
    <row r="1562">
      <c r="G1562" s="38" t="s">
        <v>4189</v>
      </c>
    </row>
    <row r="1563">
      <c r="G1563" s="38" t="s">
        <v>4189</v>
      </c>
    </row>
    <row r="1564">
      <c r="G1564" s="38" t="s">
        <v>4189</v>
      </c>
    </row>
    <row r="1565">
      <c r="G1565" s="38" t="s">
        <v>4189</v>
      </c>
    </row>
    <row r="1566">
      <c r="G1566" s="38" t="s">
        <v>4189</v>
      </c>
    </row>
    <row r="1567">
      <c r="G1567" s="38" t="s">
        <v>4189</v>
      </c>
    </row>
    <row r="1568">
      <c r="G1568" s="38" t="s">
        <v>4189</v>
      </c>
    </row>
    <row r="1569">
      <c r="G1569" s="38" t="s">
        <v>4189</v>
      </c>
    </row>
    <row r="1570">
      <c r="G1570" s="38" t="s">
        <v>4189</v>
      </c>
    </row>
    <row r="1571">
      <c r="G1571" s="38" t="s">
        <v>4189</v>
      </c>
    </row>
    <row r="1572">
      <c r="G1572" s="38" t="s">
        <v>4189</v>
      </c>
    </row>
    <row r="1573">
      <c r="G1573" s="38" t="s">
        <v>4189</v>
      </c>
    </row>
    <row r="1574">
      <c r="G1574" s="38" t="s">
        <v>4189</v>
      </c>
    </row>
    <row r="1575">
      <c r="G1575" s="38" t="s">
        <v>4189</v>
      </c>
    </row>
    <row r="1576">
      <c r="G1576" s="38" t="s">
        <v>4189</v>
      </c>
    </row>
    <row r="1577">
      <c r="G1577" s="38" t="s">
        <v>4189</v>
      </c>
    </row>
    <row r="1578">
      <c r="G1578" s="38" t="s">
        <v>4189</v>
      </c>
    </row>
    <row r="1579">
      <c r="G1579" s="38" t="s">
        <v>4189</v>
      </c>
    </row>
    <row r="1580">
      <c r="G1580" s="38" t="s">
        <v>4189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3</v>
      </c>
      <c r="C1" s="2" t="s">
        <v>4</v>
      </c>
      <c r="D1" s="2" t="s">
        <v>4190</v>
      </c>
    </row>
    <row r="2">
      <c r="A2" s="38" t="s">
        <v>4191</v>
      </c>
      <c r="B2" s="38" t="s">
        <v>75</v>
      </c>
      <c r="C2" s="38" t="s">
        <v>58</v>
      </c>
      <c r="D2" s="38">
        <v>1.0</v>
      </c>
    </row>
    <row r="3">
      <c r="A3" s="38" t="s">
        <v>4191</v>
      </c>
      <c r="B3" s="38" t="s">
        <v>22</v>
      </c>
      <c r="C3" s="38" t="s">
        <v>58</v>
      </c>
      <c r="D3" s="38">
        <v>2.0</v>
      </c>
    </row>
    <row r="4">
      <c r="A4" s="38" t="s">
        <v>4191</v>
      </c>
      <c r="B4" s="38" t="s">
        <v>12</v>
      </c>
      <c r="C4" s="38" t="s">
        <v>58</v>
      </c>
      <c r="D4" s="38">
        <v>6.0</v>
      </c>
    </row>
    <row r="5">
      <c r="A5" s="38" t="s">
        <v>4192</v>
      </c>
      <c r="B5" s="38" t="s">
        <v>12</v>
      </c>
      <c r="C5" s="38" t="s">
        <v>58</v>
      </c>
      <c r="D5" s="38">
        <v>2.0</v>
      </c>
    </row>
    <row r="6">
      <c r="A6" s="38" t="s">
        <v>4193</v>
      </c>
      <c r="B6" s="38" t="s">
        <v>22</v>
      </c>
      <c r="C6" s="38" t="s">
        <v>58</v>
      </c>
      <c r="D6" s="38">
        <v>5.0</v>
      </c>
    </row>
    <row r="7">
      <c r="A7" s="38" t="s">
        <v>4193</v>
      </c>
      <c r="B7" s="38" t="s">
        <v>12</v>
      </c>
      <c r="C7" s="38" t="s">
        <v>58</v>
      </c>
      <c r="D7" s="38">
        <v>4.0</v>
      </c>
    </row>
    <row r="8">
      <c r="A8" s="38" t="s">
        <v>4194</v>
      </c>
      <c r="B8" s="38" t="s">
        <v>22</v>
      </c>
      <c r="C8" s="38" t="s">
        <v>26</v>
      </c>
      <c r="D8" s="38">
        <v>1.0</v>
      </c>
    </row>
    <row r="9">
      <c r="A9" s="38" t="s">
        <v>4194</v>
      </c>
      <c r="B9" s="38" t="s">
        <v>12</v>
      </c>
      <c r="C9" s="38" t="s">
        <v>47</v>
      </c>
      <c r="D9" s="38">
        <v>1.0</v>
      </c>
    </row>
    <row r="10">
      <c r="A10" s="38" t="s">
        <v>4195</v>
      </c>
      <c r="B10" s="38" t="s">
        <v>75</v>
      </c>
      <c r="C10" s="38" t="s">
        <v>58</v>
      </c>
      <c r="D10" s="38">
        <v>2.0</v>
      </c>
    </row>
    <row r="11">
      <c r="A11" s="38" t="s">
        <v>4195</v>
      </c>
      <c r="B11" s="38" t="s">
        <v>22</v>
      </c>
      <c r="C11" s="38" t="s">
        <v>58</v>
      </c>
      <c r="D11" s="38">
        <v>3.0</v>
      </c>
    </row>
    <row r="12">
      <c r="A12" s="38" t="s">
        <v>4195</v>
      </c>
      <c r="B12" s="38" t="s">
        <v>12</v>
      </c>
      <c r="C12" s="38" t="s">
        <v>58</v>
      </c>
      <c r="D12" s="38">
        <v>5.0</v>
      </c>
    </row>
    <row r="13">
      <c r="A13" s="38" t="s">
        <v>4196</v>
      </c>
      <c r="B13" s="38" t="s">
        <v>12</v>
      </c>
      <c r="C13" s="38" t="s">
        <v>16</v>
      </c>
      <c r="D13" s="38">
        <v>2.0</v>
      </c>
    </row>
    <row r="14">
      <c r="A14" s="38" t="s">
        <v>4196</v>
      </c>
      <c r="B14" s="38" t="s">
        <v>12</v>
      </c>
      <c r="C14" s="38" t="s">
        <v>13</v>
      </c>
      <c r="D14" s="38">
        <v>1.0</v>
      </c>
    </row>
    <row r="15">
      <c r="A15" s="38" t="s">
        <v>4196</v>
      </c>
      <c r="B15" s="38" t="s">
        <v>12</v>
      </c>
      <c r="C15" s="38" t="s">
        <v>23</v>
      </c>
      <c r="D15" s="38">
        <v>1.0</v>
      </c>
    </row>
    <row r="16">
      <c r="A16" s="38" t="s">
        <v>4196</v>
      </c>
      <c r="B16" s="38" t="s">
        <v>12</v>
      </c>
      <c r="C16" s="38" t="s">
        <v>18</v>
      </c>
      <c r="D16" s="38">
        <v>2.0</v>
      </c>
    </row>
    <row r="17">
      <c r="A17" s="38" t="s">
        <v>4197</v>
      </c>
      <c r="B17" s="38" t="s">
        <v>22</v>
      </c>
      <c r="C17" s="38" t="s">
        <v>58</v>
      </c>
      <c r="D17" s="38">
        <v>3.0</v>
      </c>
    </row>
    <row r="18">
      <c r="A18" s="38" t="s">
        <v>4197</v>
      </c>
      <c r="B18" s="38" t="s">
        <v>12</v>
      </c>
      <c r="C18" s="38" t="s">
        <v>58</v>
      </c>
      <c r="D18" s="38">
        <v>3.0</v>
      </c>
    </row>
    <row r="19">
      <c r="A19" s="38" t="s">
        <v>4198</v>
      </c>
      <c r="B19" s="38" t="s">
        <v>22</v>
      </c>
      <c r="C19" s="38" t="s">
        <v>18</v>
      </c>
      <c r="D19" s="38">
        <v>3.0</v>
      </c>
    </row>
    <row r="20">
      <c r="A20" s="38" t="s">
        <v>4198</v>
      </c>
      <c r="B20" s="38" t="s">
        <v>12</v>
      </c>
      <c r="C20" s="38" t="s">
        <v>18</v>
      </c>
      <c r="D20" s="38">
        <v>1.0</v>
      </c>
    </row>
    <row r="21">
      <c r="A21" s="38" t="s">
        <v>4199</v>
      </c>
      <c r="B21" s="38" t="s">
        <v>22</v>
      </c>
      <c r="C21" s="38" t="s">
        <v>26</v>
      </c>
      <c r="D21" s="38">
        <v>3.0</v>
      </c>
    </row>
    <row r="22">
      <c r="A22" s="38" t="s">
        <v>4199</v>
      </c>
      <c r="B22" s="38" t="s">
        <v>12</v>
      </c>
      <c r="C22" s="38" t="s">
        <v>26</v>
      </c>
      <c r="D22" s="38">
        <v>3.0</v>
      </c>
    </row>
    <row r="23">
      <c r="A23" s="38" t="s">
        <v>4199</v>
      </c>
      <c r="B23" s="38" t="s">
        <v>12</v>
      </c>
      <c r="C23" s="38" t="s">
        <v>18</v>
      </c>
      <c r="D23" s="38">
        <v>1.0</v>
      </c>
    </row>
    <row r="24">
      <c r="A24" s="38" t="s">
        <v>4200</v>
      </c>
      <c r="B24" s="38" t="s">
        <v>46</v>
      </c>
      <c r="C24" s="38" t="s">
        <v>47</v>
      </c>
      <c r="D24" s="38">
        <v>5.0</v>
      </c>
    </row>
    <row r="25">
      <c r="A25" s="38" t="s">
        <v>4200</v>
      </c>
      <c r="B25" s="38" t="s">
        <v>46</v>
      </c>
      <c r="C25" s="38" t="s">
        <v>16</v>
      </c>
      <c r="D25" s="38">
        <v>7.0</v>
      </c>
    </row>
    <row r="26">
      <c r="A26" s="38" t="s">
        <v>4201</v>
      </c>
      <c r="B26" s="38" t="s">
        <v>22</v>
      </c>
      <c r="C26" s="38" t="s">
        <v>13</v>
      </c>
      <c r="D26" s="38">
        <v>1.0</v>
      </c>
    </row>
    <row r="27">
      <c r="A27" s="38" t="s">
        <v>4201</v>
      </c>
      <c r="B27" s="38" t="s">
        <v>12</v>
      </c>
      <c r="C27" s="38" t="s">
        <v>26</v>
      </c>
      <c r="D27" s="38">
        <v>1.0</v>
      </c>
    </row>
    <row r="28">
      <c r="A28" s="38" t="s">
        <v>4201</v>
      </c>
      <c r="B28" s="38" t="s">
        <v>12</v>
      </c>
      <c r="C28" s="38" t="s">
        <v>18</v>
      </c>
      <c r="D28" s="38">
        <v>1.0</v>
      </c>
    </row>
    <row r="29">
      <c r="A29" s="38" t="s">
        <v>4202</v>
      </c>
      <c r="B29" s="38" t="s">
        <v>22</v>
      </c>
      <c r="C29" s="38" t="s">
        <v>23</v>
      </c>
      <c r="D29" s="38">
        <v>2.0</v>
      </c>
    </row>
    <row r="30">
      <c r="A30" s="38" t="s">
        <v>4202</v>
      </c>
      <c r="B30" s="38" t="s">
        <v>22</v>
      </c>
      <c r="C30" s="38" t="s">
        <v>18</v>
      </c>
      <c r="D30" s="38">
        <v>4.0</v>
      </c>
    </row>
    <row r="31">
      <c r="A31" s="38" t="s">
        <v>4202</v>
      </c>
      <c r="B31" s="38" t="s">
        <v>12</v>
      </c>
      <c r="C31" s="38" t="s">
        <v>13</v>
      </c>
      <c r="D31" s="38">
        <v>2.0</v>
      </c>
    </row>
    <row r="32">
      <c r="A32" s="38" t="s">
        <v>4202</v>
      </c>
      <c r="B32" s="38" t="s">
        <v>12</v>
      </c>
      <c r="C32" s="38" t="s">
        <v>23</v>
      </c>
      <c r="D32" s="38">
        <v>1.0</v>
      </c>
    </row>
    <row r="33">
      <c r="A33" s="38" t="s">
        <v>4202</v>
      </c>
      <c r="B33" s="38" t="s">
        <v>12</v>
      </c>
      <c r="C33" s="38" t="s">
        <v>18</v>
      </c>
      <c r="D33" s="38">
        <v>4.0</v>
      </c>
    </row>
    <row r="34">
      <c r="A34" s="38" t="s">
        <v>4203</v>
      </c>
      <c r="B34" s="38" t="s">
        <v>22</v>
      </c>
      <c r="C34" s="38" t="s">
        <v>58</v>
      </c>
      <c r="D34" s="38">
        <v>5.0</v>
      </c>
    </row>
    <row r="35">
      <c r="A35" s="38" t="s">
        <v>4203</v>
      </c>
      <c r="B35" s="38" t="s">
        <v>12</v>
      </c>
      <c r="C35" s="38" t="s">
        <v>58</v>
      </c>
      <c r="D35" s="38">
        <v>10.0</v>
      </c>
    </row>
    <row r="36">
      <c r="A36" s="38" t="s">
        <v>4204</v>
      </c>
      <c r="B36" s="38" t="s">
        <v>22</v>
      </c>
      <c r="C36" s="38" t="s">
        <v>47</v>
      </c>
      <c r="D36" s="38">
        <v>1.0</v>
      </c>
    </row>
    <row r="37">
      <c r="A37" s="38" t="s">
        <v>4204</v>
      </c>
      <c r="B37" s="38" t="s">
        <v>12</v>
      </c>
      <c r="C37" s="38" t="s">
        <v>47</v>
      </c>
      <c r="D37" s="38">
        <v>2.0</v>
      </c>
    </row>
    <row r="38">
      <c r="A38" s="38" t="s">
        <v>4205</v>
      </c>
      <c r="B38" s="38" t="s">
        <v>22</v>
      </c>
      <c r="C38" s="38" t="s">
        <v>26</v>
      </c>
      <c r="D38" s="38">
        <v>1.0</v>
      </c>
    </row>
    <row r="39">
      <c r="A39" s="38" t="s">
        <v>4205</v>
      </c>
      <c r="B39" s="38" t="s">
        <v>12</v>
      </c>
      <c r="C39" s="38" t="s">
        <v>26</v>
      </c>
      <c r="D39" s="38">
        <v>1.0</v>
      </c>
    </row>
    <row r="40">
      <c r="A40" s="38" t="s">
        <v>4206</v>
      </c>
      <c r="B40" s="38" t="s">
        <v>22</v>
      </c>
      <c r="C40" s="38" t="s">
        <v>58</v>
      </c>
      <c r="D40" s="38">
        <v>1.0</v>
      </c>
    </row>
    <row r="41">
      <c r="A41" s="38" t="s">
        <v>4206</v>
      </c>
      <c r="B41" s="38" t="s">
        <v>12</v>
      </c>
      <c r="C41" s="38" t="s">
        <v>58</v>
      </c>
      <c r="D41" s="38">
        <v>3.0</v>
      </c>
    </row>
    <row r="42">
      <c r="A42" s="38" t="s">
        <v>4207</v>
      </c>
      <c r="B42" s="38" t="s">
        <v>46</v>
      </c>
      <c r="C42" s="38" t="s">
        <v>47</v>
      </c>
      <c r="D42" s="38">
        <v>6.0</v>
      </c>
    </row>
    <row r="43">
      <c r="A43" s="38" t="s">
        <v>4207</v>
      </c>
      <c r="B43" s="38" t="s">
        <v>46</v>
      </c>
      <c r="C43" s="38" t="s">
        <v>23</v>
      </c>
      <c r="D43" s="38">
        <v>3.0</v>
      </c>
    </row>
    <row r="44">
      <c r="A44" s="38" t="s">
        <v>4208</v>
      </c>
      <c r="B44" s="38" t="s">
        <v>22</v>
      </c>
      <c r="C44" s="38" t="s">
        <v>13</v>
      </c>
      <c r="D44" s="38">
        <v>19.0</v>
      </c>
    </row>
    <row r="45">
      <c r="A45" s="38" t="s">
        <v>4208</v>
      </c>
      <c r="B45" s="38" t="s">
        <v>12</v>
      </c>
      <c r="C45" s="38" t="s">
        <v>13</v>
      </c>
      <c r="D45" s="38">
        <v>25.0</v>
      </c>
    </row>
    <row r="46">
      <c r="A46" s="38" t="s">
        <v>4209</v>
      </c>
      <c r="B46" s="38" t="s">
        <v>75</v>
      </c>
      <c r="C46" s="38" t="s">
        <v>58</v>
      </c>
      <c r="D46" s="38">
        <v>4.0</v>
      </c>
    </row>
    <row r="47">
      <c r="A47" s="38" t="s">
        <v>4209</v>
      </c>
      <c r="B47" s="38" t="s">
        <v>22</v>
      </c>
      <c r="C47" s="38" t="s">
        <v>58</v>
      </c>
      <c r="D47" s="38">
        <v>26.0</v>
      </c>
    </row>
    <row r="48">
      <c r="A48" s="38" t="s">
        <v>4209</v>
      </c>
      <c r="B48" s="38" t="s">
        <v>12</v>
      </c>
      <c r="C48" s="38" t="s">
        <v>58</v>
      </c>
      <c r="D48" s="38">
        <v>25.0</v>
      </c>
    </row>
    <row r="49">
      <c r="A49" s="38" t="s">
        <v>4210</v>
      </c>
      <c r="B49" s="38" t="s">
        <v>75</v>
      </c>
      <c r="C49" s="38" t="s">
        <v>58</v>
      </c>
      <c r="D49" s="38">
        <v>1.0</v>
      </c>
    </row>
    <row r="50">
      <c r="A50" s="38" t="s">
        <v>4210</v>
      </c>
      <c r="B50" s="38" t="s">
        <v>22</v>
      </c>
      <c r="C50" s="38" t="s">
        <v>58</v>
      </c>
      <c r="D50" s="38">
        <v>9.0</v>
      </c>
    </row>
    <row r="51">
      <c r="A51" s="38" t="s">
        <v>4210</v>
      </c>
      <c r="B51" s="38" t="s">
        <v>12</v>
      </c>
      <c r="C51" s="38" t="s">
        <v>58</v>
      </c>
      <c r="D51" s="38">
        <v>11.0</v>
      </c>
    </row>
    <row r="52">
      <c r="A52" s="38" t="s">
        <v>4211</v>
      </c>
      <c r="B52" s="38" t="s">
        <v>22</v>
      </c>
      <c r="C52" s="38" t="s">
        <v>13</v>
      </c>
      <c r="D52" s="38">
        <v>3.0</v>
      </c>
    </row>
    <row r="53">
      <c r="A53" s="38" t="s">
        <v>4211</v>
      </c>
      <c r="B53" s="38" t="s">
        <v>22</v>
      </c>
      <c r="C53" s="38" t="s">
        <v>23</v>
      </c>
      <c r="D53" s="38">
        <v>2.0</v>
      </c>
    </row>
    <row r="54">
      <c r="A54" s="38" t="s">
        <v>4211</v>
      </c>
      <c r="B54" s="38" t="s">
        <v>12</v>
      </c>
      <c r="C54" s="38" t="s">
        <v>16</v>
      </c>
      <c r="D54" s="38">
        <v>3.0</v>
      </c>
    </row>
    <row r="55">
      <c r="A55" s="38" t="s">
        <v>4211</v>
      </c>
      <c r="B55" s="38" t="s">
        <v>12</v>
      </c>
      <c r="C55" s="38" t="s">
        <v>13</v>
      </c>
      <c r="D55" s="38">
        <v>5.0</v>
      </c>
    </row>
    <row r="56">
      <c r="A56" s="38" t="s">
        <v>4211</v>
      </c>
      <c r="B56" s="38" t="s">
        <v>12</v>
      </c>
      <c r="C56" s="38" t="s">
        <v>58</v>
      </c>
      <c r="D56" s="38">
        <v>2.0</v>
      </c>
    </row>
    <row r="57">
      <c r="A57" s="38" t="s">
        <v>4211</v>
      </c>
      <c r="B57" s="38" t="s">
        <v>12</v>
      </c>
      <c r="C57" s="38" t="s">
        <v>23</v>
      </c>
      <c r="D57" s="38">
        <v>1.0</v>
      </c>
    </row>
    <row r="58">
      <c r="A58" s="38" t="s">
        <v>4211</v>
      </c>
      <c r="B58" s="38" t="s">
        <v>12</v>
      </c>
      <c r="C58" s="38" t="s">
        <v>18</v>
      </c>
      <c r="D58" s="38">
        <v>1.0</v>
      </c>
    </row>
    <row r="59">
      <c r="A59" s="38" t="s">
        <v>4212</v>
      </c>
      <c r="B59" s="38" t="s">
        <v>22</v>
      </c>
      <c r="C59" s="38" t="s">
        <v>16</v>
      </c>
      <c r="D59" s="38">
        <v>1.0</v>
      </c>
    </row>
    <row r="60">
      <c r="A60" s="38" t="s">
        <v>4212</v>
      </c>
      <c r="B60" s="38" t="s">
        <v>22</v>
      </c>
      <c r="C60" s="38" t="s">
        <v>26</v>
      </c>
      <c r="D60" s="38">
        <v>5.0</v>
      </c>
    </row>
    <row r="61">
      <c r="A61" s="38" t="s">
        <v>4212</v>
      </c>
      <c r="B61" s="38" t="s">
        <v>22</v>
      </c>
      <c r="C61" s="38" t="s">
        <v>13</v>
      </c>
      <c r="D61" s="38">
        <v>8.0</v>
      </c>
    </row>
    <row r="62">
      <c r="A62" s="38" t="s">
        <v>4212</v>
      </c>
      <c r="B62" s="38" t="s">
        <v>22</v>
      </c>
      <c r="C62" s="38" t="s">
        <v>198</v>
      </c>
      <c r="D62" s="38">
        <v>2.0</v>
      </c>
    </row>
    <row r="63">
      <c r="A63" s="38" t="s">
        <v>4212</v>
      </c>
      <c r="B63" s="38" t="s">
        <v>22</v>
      </c>
      <c r="C63" s="38" t="s">
        <v>18</v>
      </c>
      <c r="D63" s="38">
        <v>16.0</v>
      </c>
    </row>
    <row r="64">
      <c r="A64" s="38" t="s">
        <v>4212</v>
      </c>
      <c r="B64" s="38" t="s">
        <v>22</v>
      </c>
      <c r="C64" s="38" t="s">
        <v>27</v>
      </c>
      <c r="D64" s="38">
        <v>1.0</v>
      </c>
    </row>
    <row r="65">
      <c r="A65" s="38" t="s">
        <v>4212</v>
      </c>
      <c r="B65" s="38" t="s">
        <v>12</v>
      </c>
      <c r="C65" s="38" t="s">
        <v>16</v>
      </c>
      <c r="D65" s="38">
        <v>3.0</v>
      </c>
    </row>
    <row r="66">
      <c r="A66" s="38" t="s">
        <v>4212</v>
      </c>
      <c r="B66" s="38" t="s">
        <v>12</v>
      </c>
      <c r="C66" s="38" t="s">
        <v>26</v>
      </c>
      <c r="D66" s="38">
        <v>5.0</v>
      </c>
    </row>
    <row r="67">
      <c r="A67" s="38" t="s">
        <v>4212</v>
      </c>
      <c r="B67" s="38" t="s">
        <v>12</v>
      </c>
      <c r="C67" s="38" t="s">
        <v>13</v>
      </c>
      <c r="D67" s="38">
        <v>13.0</v>
      </c>
    </row>
    <row r="68">
      <c r="A68" s="38" t="s">
        <v>4212</v>
      </c>
      <c r="B68" s="38" t="s">
        <v>12</v>
      </c>
      <c r="C68" s="38" t="s">
        <v>18</v>
      </c>
      <c r="D68" s="38">
        <v>16.0</v>
      </c>
    </row>
    <row r="69">
      <c r="A69" s="38" t="s">
        <v>4213</v>
      </c>
      <c r="B69" s="38" t="s">
        <v>22</v>
      </c>
      <c r="C69" s="38" t="s">
        <v>26</v>
      </c>
      <c r="D69" s="38">
        <v>2.0</v>
      </c>
    </row>
    <row r="70">
      <c r="A70" s="38" t="s">
        <v>4213</v>
      </c>
      <c r="B70" s="38" t="s">
        <v>22</v>
      </c>
      <c r="C70" s="38" t="s">
        <v>13</v>
      </c>
      <c r="D70" s="38">
        <v>6.0</v>
      </c>
    </row>
    <row r="71">
      <c r="A71" s="38" t="s">
        <v>4213</v>
      </c>
      <c r="B71" s="38" t="s">
        <v>22</v>
      </c>
      <c r="C71" s="38" t="s">
        <v>23</v>
      </c>
      <c r="D71" s="38">
        <v>1.0</v>
      </c>
    </row>
    <row r="72">
      <c r="A72" s="38" t="s">
        <v>4213</v>
      </c>
      <c r="B72" s="38" t="s">
        <v>22</v>
      </c>
      <c r="C72" s="38" t="s">
        <v>18</v>
      </c>
      <c r="D72" s="38">
        <v>4.0</v>
      </c>
    </row>
    <row r="73">
      <c r="A73" s="38" t="s">
        <v>4213</v>
      </c>
      <c r="B73" s="38" t="s">
        <v>22</v>
      </c>
      <c r="C73" s="38" t="s">
        <v>27</v>
      </c>
      <c r="D73" s="38">
        <v>1.0</v>
      </c>
    </row>
    <row r="74">
      <c r="A74" s="38" t="s">
        <v>4213</v>
      </c>
      <c r="B74" s="38" t="s">
        <v>12</v>
      </c>
      <c r="C74" s="38" t="s">
        <v>16</v>
      </c>
      <c r="D74" s="38">
        <v>3.0</v>
      </c>
    </row>
    <row r="75">
      <c r="A75" s="38" t="s">
        <v>4213</v>
      </c>
      <c r="B75" s="38" t="s">
        <v>12</v>
      </c>
      <c r="C75" s="38" t="s">
        <v>26</v>
      </c>
      <c r="D75" s="38">
        <v>2.0</v>
      </c>
    </row>
    <row r="76">
      <c r="A76" s="38" t="s">
        <v>4213</v>
      </c>
      <c r="B76" s="38" t="s">
        <v>12</v>
      </c>
      <c r="C76" s="38" t="s">
        <v>13</v>
      </c>
      <c r="D76" s="38">
        <v>10.0</v>
      </c>
    </row>
    <row r="77">
      <c r="A77" s="38" t="s">
        <v>4213</v>
      </c>
      <c r="B77" s="38" t="s">
        <v>12</v>
      </c>
      <c r="C77" s="38" t="s">
        <v>23</v>
      </c>
      <c r="D77" s="38">
        <v>4.0</v>
      </c>
    </row>
    <row r="78">
      <c r="A78" s="38" t="s">
        <v>4213</v>
      </c>
      <c r="B78" s="38" t="s">
        <v>12</v>
      </c>
      <c r="C78" s="38" t="s">
        <v>20</v>
      </c>
      <c r="D78" s="38">
        <v>1.0</v>
      </c>
    </row>
    <row r="79">
      <c r="A79" s="38" t="s">
        <v>4213</v>
      </c>
      <c r="B79" s="38" t="s">
        <v>12</v>
      </c>
      <c r="C79" s="38" t="s">
        <v>18</v>
      </c>
      <c r="D79" s="38">
        <v>6.0</v>
      </c>
    </row>
    <row r="80">
      <c r="A80" s="38" t="s">
        <v>4213</v>
      </c>
      <c r="B80" s="38" t="s">
        <v>12</v>
      </c>
      <c r="C80" s="38" t="s">
        <v>27</v>
      </c>
      <c r="D80" s="38">
        <v>1.0</v>
      </c>
    </row>
    <row r="81">
      <c r="A81" s="38" t="s">
        <v>4214</v>
      </c>
      <c r="B81" s="38" t="s">
        <v>22</v>
      </c>
      <c r="C81" s="38" t="s">
        <v>58</v>
      </c>
      <c r="D81" s="38">
        <v>7.0</v>
      </c>
    </row>
    <row r="82">
      <c r="A82" s="38" t="s">
        <v>4214</v>
      </c>
      <c r="B82" s="38" t="s">
        <v>12</v>
      </c>
      <c r="C82" s="38" t="s">
        <v>58</v>
      </c>
      <c r="D82" s="38">
        <v>13.0</v>
      </c>
    </row>
    <row r="83">
      <c r="A83" s="38" t="s">
        <v>269</v>
      </c>
      <c r="B83" s="38" t="s">
        <v>4215</v>
      </c>
      <c r="C83" s="38" t="s">
        <v>47</v>
      </c>
      <c r="D83" s="38">
        <v>1.0</v>
      </c>
    </row>
    <row r="84">
      <c r="A84" s="38" t="s">
        <v>269</v>
      </c>
      <c r="B84" s="38" t="s">
        <v>4215</v>
      </c>
      <c r="C84" s="38" t="s">
        <v>18</v>
      </c>
      <c r="D84" s="38">
        <v>1.0</v>
      </c>
    </row>
    <row r="85">
      <c r="A85" s="38" t="s">
        <v>269</v>
      </c>
      <c r="B85" s="38" t="s">
        <v>4216</v>
      </c>
      <c r="C85" s="38" t="s">
        <v>47</v>
      </c>
      <c r="D85" s="38">
        <v>6.0</v>
      </c>
    </row>
    <row r="86">
      <c r="A86" s="38" t="s">
        <v>269</v>
      </c>
      <c r="B86" s="38" t="s">
        <v>4216</v>
      </c>
      <c r="C86" s="38" t="s">
        <v>18</v>
      </c>
      <c r="D86" s="38">
        <v>3.0</v>
      </c>
    </row>
    <row r="87">
      <c r="A87" s="38" t="s">
        <v>269</v>
      </c>
      <c r="B87" s="38" t="s">
        <v>4217</v>
      </c>
      <c r="C87" s="38" t="s">
        <v>47</v>
      </c>
      <c r="D87" s="38">
        <v>8.0</v>
      </c>
    </row>
    <row r="88">
      <c r="A88" s="38" t="s">
        <v>269</v>
      </c>
      <c r="B88" s="38" t="s">
        <v>4217</v>
      </c>
      <c r="C88" s="38" t="s">
        <v>18</v>
      </c>
      <c r="D88" s="38">
        <v>11.0</v>
      </c>
    </row>
    <row r="89">
      <c r="A89" s="38" t="s">
        <v>269</v>
      </c>
      <c r="B89" s="38" t="s">
        <v>4218</v>
      </c>
      <c r="C89" s="38" t="s">
        <v>47</v>
      </c>
      <c r="D89" s="38">
        <v>7.0</v>
      </c>
    </row>
    <row r="90">
      <c r="A90" s="38" t="s">
        <v>269</v>
      </c>
      <c r="B90" s="38" t="s">
        <v>4218</v>
      </c>
      <c r="C90" s="38" t="s">
        <v>18</v>
      </c>
      <c r="D90" s="38">
        <v>5.0</v>
      </c>
    </row>
    <row r="91">
      <c r="A91" s="38" t="s">
        <v>269</v>
      </c>
      <c r="B91" s="38" t="s">
        <v>4219</v>
      </c>
      <c r="C91" s="38" t="s">
        <v>47</v>
      </c>
      <c r="D91" s="38">
        <v>5.0</v>
      </c>
    </row>
    <row r="92">
      <c r="A92" s="38" t="s">
        <v>269</v>
      </c>
      <c r="B92" s="38" t="s">
        <v>4219</v>
      </c>
      <c r="C92" s="38" t="s">
        <v>18</v>
      </c>
      <c r="D92" s="38">
        <v>8.0</v>
      </c>
    </row>
    <row r="93">
      <c r="A93" s="38" t="s">
        <v>269</v>
      </c>
      <c r="B93" s="38" t="s">
        <v>4220</v>
      </c>
      <c r="C93" s="38" t="s">
        <v>47</v>
      </c>
      <c r="D93" s="38">
        <v>2.0</v>
      </c>
    </row>
    <row r="94">
      <c r="A94" s="38" t="s">
        <v>378</v>
      </c>
      <c r="B94" s="38" t="s">
        <v>46</v>
      </c>
      <c r="C94" s="38" t="s">
        <v>47</v>
      </c>
      <c r="D94" s="2">
        <v>20.0</v>
      </c>
      <c r="G94" s="38">
        <v>0.0</v>
      </c>
      <c r="H94" s="38">
        <f t="shared" ref="H94:H97" si="1">(D94-G94)</f>
        <v>20</v>
      </c>
    </row>
    <row r="95">
      <c r="A95" s="38" t="s">
        <v>378</v>
      </c>
      <c r="B95" s="38" t="s">
        <v>46</v>
      </c>
      <c r="C95" s="38" t="s">
        <v>13</v>
      </c>
      <c r="D95" s="2">
        <v>50.0</v>
      </c>
      <c r="G95" s="38">
        <v>0.0</v>
      </c>
      <c r="H95" s="38">
        <f t="shared" si="1"/>
        <v>50</v>
      </c>
    </row>
    <row r="96">
      <c r="A96" s="38" t="s">
        <v>378</v>
      </c>
      <c r="B96" s="38" t="s">
        <v>46</v>
      </c>
      <c r="C96" s="38" t="s">
        <v>23</v>
      </c>
      <c r="D96" s="2">
        <v>25.0</v>
      </c>
      <c r="G96" s="38">
        <v>0.0</v>
      </c>
      <c r="H96" s="38">
        <f t="shared" si="1"/>
        <v>25</v>
      </c>
    </row>
    <row r="97">
      <c r="A97" s="38" t="s">
        <v>378</v>
      </c>
      <c r="B97" s="38" t="s">
        <v>46</v>
      </c>
      <c r="C97" s="38" t="s">
        <v>18</v>
      </c>
      <c r="D97" s="2">
        <v>45.0</v>
      </c>
      <c r="G97" s="38">
        <v>0.0</v>
      </c>
      <c r="H97" s="38">
        <f t="shared" si="1"/>
        <v>45</v>
      </c>
    </row>
    <row r="98">
      <c r="A98" s="38" t="s">
        <v>361</v>
      </c>
      <c r="B98" s="38" t="s">
        <v>46</v>
      </c>
      <c r="C98" s="38" t="s">
        <v>16</v>
      </c>
      <c r="D98" s="38">
        <v>5.0</v>
      </c>
    </row>
    <row r="99">
      <c r="A99" s="38" t="s">
        <v>361</v>
      </c>
      <c r="B99" s="38" t="s">
        <v>46</v>
      </c>
      <c r="C99" s="38" t="s">
        <v>338</v>
      </c>
      <c r="D99" s="38">
        <v>1.0</v>
      </c>
    </row>
    <row r="100">
      <c r="A100" s="38" t="s">
        <v>361</v>
      </c>
      <c r="B100" s="38" t="s">
        <v>46</v>
      </c>
      <c r="C100" s="38" t="s">
        <v>340</v>
      </c>
      <c r="D100" s="38">
        <v>6.0</v>
      </c>
    </row>
    <row r="101">
      <c r="A101" s="38" t="s">
        <v>376</v>
      </c>
      <c r="B101" s="38" t="s">
        <v>4215</v>
      </c>
      <c r="C101" s="38" t="s">
        <v>26</v>
      </c>
      <c r="D101" s="38">
        <v>2.0</v>
      </c>
    </row>
    <row r="102">
      <c r="A102" s="38" t="s">
        <v>376</v>
      </c>
      <c r="B102" s="38" t="s">
        <v>4216</v>
      </c>
      <c r="C102" s="38" t="s">
        <v>26</v>
      </c>
      <c r="D102" s="38">
        <v>1.0</v>
      </c>
    </row>
    <row r="103">
      <c r="A103" s="38" t="s">
        <v>376</v>
      </c>
      <c r="B103" s="38" t="s">
        <v>4217</v>
      </c>
      <c r="C103" s="38" t="s">
        <v>47</v>
      </c>
      <c r="D103" s="38">
        <v>1.0</v>
      </c>
    </row>
    <row r="104">
      <c r="A104" s="38" t="s">
        <v>376</v>
      </c>
      <c r="B104" s="38" t="s">
        <v>4217</v>
      </c>
      <c r="C104" s="38" t="s">
        <v>26</v>
      </c>
      <c r="D104" s="38">
        <v>1.0</v>
      </c>
    </row>
    <row r="105">
      <c r="A105" s="38" t="s">
        <v>376</v>
      </c>
      <c r="B105" s="38" t="s">
        <v>4218</v>
      </c>
      <c r="C105" s="38" t="s">
        <v>26</v>
      </c>
      <c r="D105" s="38">
        <v>1.0</v>
      </c>
    </row>
    <row r="106">
      <c r="A106" s="38" t="s">
        <v>4221</v>
      </c>
      <c r="B106" s="38" t="s">
        <v>75</v>
      </c>
      <c r="C106" s="38" t="s">
        <v>340</v>
      </c>
      <c r="D106" s="38">
        <v>2.0</v>
      </c>
    </row>
    <row r="107">
      <c r="A107" s="38" t="s">
        <v>4221</v>
      </c>
      <c r="B107" s="38" t="s">
        <v>22</v>
      </c>
      <c r="C107" s="38" t="s">
        <v>340</v>
      </c>
      <c r="D107" s="38">
        <v>5.0</v>
      </c>
    </row>
    <row r="108">
      <c r="A108" s="38" t="s">
        <v>4221</v>
      </c>
      <c r="B108" s="38" t="s">
        <v>12</v>
      </c>
      <c r="C108" s="38" t="s">
        <v>340</v>
      </c>
      <c r="D108" s="38">
        <v>5.0</v>
      </c>
    </row>
    <row r="109">
      <c r="A109" s="38" t="s">
        <v>4222</v>
      </c>
      <c r="B109" s="38" t="s">
        <v>46</v>
      </c>
      <c r="C109" s="38" t="s">
        <v>16</v>
      </c>
      <c r="D109" s="38">
        <v>14.0</v>
      </c>
    </row>
    <row r="110">
      <c r="A110" s="38" t="s">
        <v>4222</v>
      </c>
      <c r="B110" s="38" t="s">
        <v>46</v>
      </c>
      <c r="C110" s="38" t="s">
        <v>13</v>
      </c>
      <c r="D110" s="38">
        <v>6.0</v>
      </c>
    </row>
    <row r="111">
      <c r="A111" s="38" t="s">
        <v>4222</v>
      </c>
      <c r="B111" s="38" t="s">
        <v>46</v>
      </c>
      <c r="C111" s="38" t="s">
        <v>338</v>
      </c>
      <c r="D111" s="38">
        <v>4.0</v>
      </c>
    </row>
    <row r="112">
      <c r="A112" s="38" t="s">
        <v>4222</v>
      </c>
      <c r="B112" s="38" t="s">
        <v>46</v>
      </c>
      <c r="C112" s="38" t="s">
        <v>340</v>
      </c>
      <c r="D112" s="38">
        <v>1.0</v>
      </c>
    </row>
    <row r="113">
      <c r="A113" s="38" t="s">
        <v>4222</v>
      </c>
      <c r="B113" s="38" t="s">
        <v>46</v>
      </c>
      <c r="C113" s="38" t="s">
        <v>23</v>
      </c>
      <c r="D113" s="38">
        <v>3.0</v>
      </c>
    </row>
    <row r="114">
      <c r="A114" s="38" t="s">
        <v>4222</v>
      </c>
      <c r="B114" s="38" t="s">
        <v>46</v>
      </c>
      <c r="C114" s="38" t="s">
        <v>18</v>
      </c>
      <c r="D114" s="38">
        <v>4.0</v>
      </c>
    </row>
    <row r="115">
      <c r="A115" s="38" t="s">
        <v>4222</v>
      </c>
      <c r="B115" s="38" t="s">
        <v>46</v>
      </c>
      <c r="C115" s="38" t="s">
        <v>27</v>
      </c>
      <c r="D115" s="38">
        <v>1.0</v>
      </c>
    </row>
    <row r="116">
      <c r="A116" s="38" t="s">
        <v>4223</v>
      </c>
      <c r="B116" s="38" t="s">
        <v>75</v>
      </c>
      <c r="C116" s="38" t="s">
        <v>58</v>
      </c>
      <c r="D116" s="38">
        <v>1.0</v>
      </c>
    </row>
    <row r="117">
      <c r="A117" s="38" t="s">
        <v>4223</v>
      </c>
      <c r="B117" s="38" t="s">
        <v>22</v>
      </c>
      <c r="C117" s="38" t="s">
        <v>58</v>
      </c>
      <c r="D117" s="38">
        <v>9.0</v>
      </c>
    </row>
    <row r="118">
      <c r="A118" s="38" t="s">
        <v>4223</v>
      </c>
      <c r="B118" s="38" t="s">
        <v>12</v>
      </c>
      <c r="C118" s="38" t="s">
        <v>58</v>
      </c>
      <c r="D118" s="38">
        <v>11.0</v>
      </c>
    </row>
    <row r="119">
      <c r="A119" s="38" t="s">
        <v>4224</v>
      </c>
      <c r="B119" s="38" t="s">
        <v>22</v>
      </c>
      <c r="C119" s="38" t="s">
        <v>58</v>
      </c>
      <c r="D119" s="38">
        <v>1.0</v>
      </c>
    </row>
    <row r="120">
      <c r="A120" s="38" t="s">
        <v>4224</v>
      </c>
      <c r="B120" s="38" t="s">
        <v>22</v>
      </c>
      <c r="C120" s="38" t="s">
        <v>23</v>
      </c>
      <c r="D120" s="38">
        <v>2.0</v>
      </c>
    </row>
    <row r="121">
      <c r="A121" s="38" t="s">
        <v>4224</v>
      </c>
      <c r="B121" s="38" t="s">
        <v>12</v>
      </c>
      <c r="C121" s="38" t="s">
        <v>16</v>
      </c>
      <c r="D121" s="38">
        <v>1.0</v>
      </c>
    </row>
    <row r="122">
      <c r="A122" s="38" t="s">
        <v>4224</v>
      </c>
      <c r="B122" s="38" t="s">
        <v>12</v>
      </c>
      <c r="C122" s="38" t="s">
        <v>58</v>
      </c>
      <c r="D122" s="38">
        <v>3.0</v>
      </c>
    </row>
    <row r="123">
      <c r="A123" s="38" t="s">
        <v>4224</v>
      </c>
      <c r="B123" s="38" t="s">
        <v>12</v>
      </c>
      <c r="C123" s="38" t="s">
        <v>23</v>
      </c>
      <c r="D123" s="38">
        <v>5.0</v>
      </c>
    </row>
    <row r="124">
      <c r="A124" s="38" t="s">
        <v>4225</v>
      </c>
      <c r="B124" s="38" t="s">
        <v>22</v>
      </c>
      <c r="C124" s="38" t="s">
        <v>18</v>
      </c>
      <c r="D124" s="38">
        <v>3.0</v>
      </c>
    </row>
    <row r="125">
      <c r="A125" s="38" t="s">
        <v>4225</v>
      </c>
      <c r="B125" s="38" t="s">
        <v>22</v>
      </c>
      <c r="C125" s="38" t="s">
        <v>27</v>
      </c>
      <c r="D125" s="38">
        <v>1.0</v>
      </c>
    </row>
    <row r="126">
      <c r="A126" s="38" t="s">
        <v>4225</v>
      </c>
      <c r="B126" s="38" t="s">
        <v>12</v>
      </c>
      <c r="C126" s="38" t="s">
        <v>27</v>
      </c>
      <c r="D126" s="38">
        <v>2.0</v>
      </c>
    </row>
  </sheetData>
  <drawing r:id="rId1"/>
</worksheet>
</file>